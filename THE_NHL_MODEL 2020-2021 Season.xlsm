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ceb6ebe6bfdcf97/Documents/"/>
    </mc:Choice>
  </mc:AlternateContent>
  <xr:revisionPtr revIDLastSave="0" documentId="14_{1584FDCA-9B66-48C5-AD8F-674ABF09EC76}" xr6:coauthVersionLast="47" xr6:coauthVersionMax="47" xr10:uidLastSave="{00000000-0000-0000-0000-000000000000}"/>
  <bookViews>
    <workbookView xWindow="-110" yWindow="-110" windowWidth="22780" windowHeight="14660" tabRatio="781" xr2:uid="{A6436149-BE9B-4F96-88A7-6DFDB2A59944}"/>
  </bookViews>
  <sheets>
    <sheet name="Raw Data" sheetId="28" r:id="rId1"/>
    <sheet name="Expected Goals Against" sheetId="27" r:id="rId2"/>
    <sheet name="Expected Goals For " sheetId="25" r:id="rId3"/>
    <sheet name="Model Outputs" sheetId="36" r:id="rId4"/>
    <sheet name="Sheet1" sheetId="41" r:id="rId5"/>
    <sheet name="Backtest" sheetId="38" r:id="rId6"/>
    <sheet name="Sheet40" sheetId="40" r:id="rId7"/>
  </sheets>
  <definedNames>
    <definedName name="ExternalData_1" localSheetId="4" hidden="1">Sheet1!$A$4:$AR$35</definedName>
    <definedName name="ExternalData_2" localSheetId="4" hidden="1">Sheet1!$A$39:$AR$70</definedName>
    <definedName name="ExternalData_3" localSheetId="4" hidden="1">Sheet1!$A$74:$AR$105</definedName>
    <definedName name="ExternalData_4" localSheetId="4" hidden="1">Sheet1!$A$109:$AR$140</definedName>
    <definedName name="ExternalData_5" localSheetId="4" hidden="1">Sheet1!$A$144:$AR$175</definedName>
    <definedName name="ExternalData_6" localSheetId="4" hidden="1">Sheet1!$A$179:$AR$210</definedName>
    <definedName name="solver_adj" localSheetId="6" hidden="1">Sheet40!$T$3:$T$202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Sheet40!$Q$3:$Q$202</definedName>
    <definedName name="solver_lhs2" localSheetId="6" hidden="1">Sheet40!$Q$3:$Q$202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2</definedName>
    <definedName name="solver_nwt" localSheetId="6" hidden="1">1</definedName>
    <definedName name="solver_opt" localSheetId="6" hidden="1">Sheet40!$X$5</definedName>
    <definedName name="solver_pre" localSheetId="6" hidden="1">0.000001</definedName>
    <definedName name="solver_rbv" localSheetId="6" hidden="1">2</definedName>
    <definedName name="solver_rel1" localSheetId="6" hidden="1">1</definedName>
    <definedName name="solver_rel2" localSheetId="6" hidden="1">3</definedName>
    <definedName name="solver_rhs1" localSheetId="6" hidden="1">70</definedName>
    <definedName name="solver_rhs2" localSheetId="6" hidden="1">3.5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300</definedName>
    <definedName name="solver_ver" localSheetId="6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36" l="1"/>
  <c r="X5" i="36"/>
  <c r="X4" i="36"/>
  <c r="V5" i="36"/>
  <c r="V4" i="36"/>
  <c r="P5" i="36"/>
  <c r="P4" i="36"/>
  <c r="N4" i="36"/>
  <c r="E4" i="36"/>
  <c r="N5" i="36"/>
  <c r="AI23" i="36" s="1"/>
  <c r="H4" i="36"/>
  <c r="B3" i="36"/>
  <c r="Z7" i="25"/>
  <c r="BP414" i="36" l="1"/>
  <c r="BP413" i="36"/>
  <c r="BP412" i="36"/>
  <c r="BP411" i="36"/>
  <c r="BP410" i="36"/>
  <c r="BP409" i="36"/>
  <c r="BP408" i="36"/>
  <c r="BP407" i="36"/>
  <c r="BP406" i="36"/>
  <c r="BP405" i="36"/>
  <c r="BP404" i="36"/>
  <c r="BP403" i="36"/>
  <c r="BP402" i="36"/>
  <c r="BP401" i="36"/>
  <c r="BP400" i="36"/>
  <c r="BP399" i="36"/>
  <c r="BP398" i="36"/>
  <c r="BP397" i="36"/>
  <c r="BP396" i="36"/>
  <c r="BP395" i="36"/>
  <c r="BP394" i="36"/>
  <c r="BP393" i="36"/>
  <c r="AA15" i="36"/>
  <c r="AA16" i="36"/>
  <c r="AA17" i="36"/>
  <c r="AA18" i="36"/>
  <c r="AA19" i="36"/>
  <c r="AA20" i="36"/>
  <c r="AA21" i="36"/>
  <c r="AA22" i="36"/>
  <c r="AA23" i="36"/>
  <c r="AA24" i="36"/>
  <c r="AA25" i="36"/>
  <c r="AA26" i="36"/>
  <c r="AA27" i="36"/>
  <c r="AA28" i="36"/>
  <c r="AA29" i="36"/>
  <c r="AA30" i="36"/>
  <c r="AA31" i="36"/>
  <c r="AA32" i="36"/>
  <c r="AA33" i="36"/>
  <c r="AA34" i="36"/>
  <c r="AA35" i="36"/>
  <c r="AA36" i="36"/>
  <c r="AA37" i="36"/>
  <c r="AA38" i="36"/>
  <c r="AA39" i="36"/>
  <c r="AA40" i="36"/>
  <c r="AA41" i="36"/>
  <c r="AA42" i="36"/>
  <c r="AA14" i="36"/>
  <c r="BP392" i="36"/>
  <c r="BP391" i="36"/>
  <c r="BP390" i="36"/>
  <c r="BP389" i="36"/>
  <c r="BP388" i="36"/>
  <c r="BP387" i="36"/>
  <c r="BP386" i="36"/>
  <c r="BP385" i="36"/>
  <c r="BP384" i="36"/>
  <c r="BP383" i="36"/>
  <c r="BP382" i="36"/>
  <c r="BP381" i="36"/>
  <c r="BP380" i="36"/>
  <c r="BP379" i="36"/>
  <c r="BP378" i="36"/>
  <c r="BP377" i="36"/>
  <c r="BP376" i="36"/>
  <c r="BP375" i="36"/>
  <c r="BP374" i="36"/>
  <c r="BP373" i="36"/>
  <c r="BP372" i="36"/>
  <c r="BP371" i="36"/>
  <c r="BP370" i="36"/>
  <c r="BP369" i="36"/>
  <c r="BP368" i="36"/>
  <c r="BP367" i="36"/>
  <c r="BP366" i="36"/>
  <c r="BP365" i="36"/>
  <c r="BP364" i="36"/>
  <c r="BP363" i="36"/>
  <c r="BP362" i="36"/>
  <c r="BP361" i="36"/>
  <c r="BP360" i="36"/>
  <c r="BP359" i="36"/>
  <c r="BP358" i="36"/>
  <c r="BP357" i="36"/>
  <c r="BP197" i="36" l="1"/>
  <c r="BP198" i="36"/>
  <c r="BP199" i="36"/>
  <c r="BP200" i="36"/>
  <c r="BP201" i="36"/>
  <c r="BP202" i="36"/>
  <c r="BP203" i="36"/>
  <c r="BP204" i="36"/>
  <c r="BP205" i="36"/>
  <c r="BP206" i="36"/>
  <c r="BP207" i="36"/>
  <c r="BP208" i="36"/>
  <c r="BP196" i="36"/>
  <c r="CI183" i="36"/>
  <c r="BP334" i="36"/>
  <c r="BP333" i="36"/>
  <c r="BP332" i="36"/>
  <c r="BP331" i="36"/>
  <c r="BP330" i="36"/>
  <c r="BP329" i="36"/>
  <c r="BP328" i="36"/>
  <c r="BP327" i="36"/>
  <c r="BP326" i="36"/>
  <c r="BP325" i="36"/>
  <c r="BP324" i="36"/>
  <c r="BP323" i="36"/>
  <c r="BP322" i="36"/>
  <c r="BP321" i="36"/>
  <c r="BP320" i="36"/>
  <c r="BP319" i="36"/>
  <c r="BP318" i="36"/>
  <c r="BP317" i="36"/>
  <c r="BP316" i="36"/>
  <c r="BP315" i="36"/>
  <c r="BP314" i="36"/>
  <c r="BP313" i="36"/>
  <c r="BP312" i="36"/>
  <c r="BP311" i="36"/>
  <c r="BP310" i="36"/>
  <c r="BP309" i="36"/>
  <c r="BP308" i="36"/>
  <c r="BP307" i="36"/>
  <c r="BP306" i="36"/>
  <c r="BP305" i="36"/>
  <c r="BP304" i="36"/>
  <c r="BP303" i="36"/>
  <c r="BP302" i="36"/>
  <c r="BP301" i="36"/>
  <c r="BP300" i="36"/>
  <c r="BP299" i="36"/>
  <c r="BP298" i="36"/>
  <c r="BP297" i="36"/>
  <c r="BP296" i="36"/>
  <c r="BP295" i="36"/>
  <c r="BP294" i="36"/>
  <c r="BP293" i="36"/>
  <c r="BP292" i="36"/>
  <c r="BP291" i="36"/>
  <c r="BP290" i="36"/>
  <c r="BP289" i="36"/>
  <c r="BP288" i="36"/>
  <c r="BP287" i="36"/>
  <c r="BP286" i="36"/>
  <c r="BP285" i="36"/>
  <c r="BP284" i="36"/>
  <c r="BP283" i="36"/>
  <c r="BP282" i="36"/>
  <c r="BP281" i="36"/>
  <c r="BP280" i="36"/>
  <c r="BP279" i="36"/>
  <c r="BP278" i="36"/>
  <c r="BP277" i="36"/>
  <c r="BP276" i="36"/>
  <c r="BP275" i="36"/>
  <c r="BP264" i="36"/>
  <c r="BP263" i="36"/>
  <c r="BP262" i="36"/>
  <c r="BP261" i="36"/>
  <c r="BP260" i="36"/>
  <c r="BP259" i="36"/>
  <c r="BP258" i="36"/>
  <c r="BP257" i="36"/>
  <c r="BP256" i="36"/>
  <c r="BP255" i="36"/>
  <c r="BP254" i="36"/>
  <c r="BP253" i="36"/>
  <c r="BP252" i="36"/>
  <c r="BP251" i="36"/>
  <c r="BP250" i="36"/>
  <c r="BP249" i="36"/>
  <c r="BP248" i="36"/>
  <c r="BP247" i="36"/>
  <c r="BP246" i="36"/>
  <c r="BP245" i="36"/>
  <c r="BP244" i="36"/>
  <c r="BP243" i="36"/>
  <c r="BP242" i="36"/>
  <c r="BP241" i="36"/>
  <c r="D7" i="27" a="1"/>
  <c r="D7" i="27" s="1"/>
  <c r="C7" i="27" a="1"/>
  <c r="C7" i="27" s="1"/>
  <c r="B7" i="27" a="1"/>
  <c r="B7" i="27" s="1"/>
  <c r="BP240" i="36"/>
  <c r="BP239" i="36"/>
  <c r="BP238" i="36"/>
  <c r="BP237" i="36"/>
  <c r="BP236" i="36"/>
  <c r="BP235" i="36"/>
  <c r="BP234" i="36"/>
  <c r="BP233" i="36"/>
  <c r="BP232" i="36"/>
  <c r="BP231" i="36"/>
  <c r="BP230" i="36"/>
  <c r="BP229" i="36"/>
  <c r="AH12" i="36" l="1"/>
  <c r="BP182" i="36" l="1"/>
  <c r="BP183" i="36"/>
  <c r="BP184" i="36"/>
  <c r="BP185" i="36"/>
  <c r="BP186" i="36"/>
  <c r="BP187" i="36"/>
  <c r="BP188" i="36"/>
  <c r="BP189" i="36"/>
  <c r="BP190" i="36"/>
  <c r="BP191" i="36"/>
  <c r="BP192" i="36"/>
  <c r="BP193" i="36"/>
  <c r="BP194" i="36"/>
  <c r="BP195" i="36"/>
  <c r="BP181" i="36"/>
  <c r="J7" i="25" l="1" a="1"/>
  <c r="J7" i="25" s="1"/>
  <c r="E7" i="25" a="1"/>
  <c r="E7" i="25" s="1"/>
  <c r="B7" i="25" a="1"/>
  <c r="B7" i="25" s="1"/>
  <c r="D7" i="25" a="1"/>
  <c r="D7" i="25" s="1"/>
  <c r="P7" i="27" a="1"/>
  <c r="P7" i="27" s="1"/>
  <c r="Q7" i="27" a="1"/>
  <c r="Q7" i="27" s="1"/>
  <c r="C7" i="25" a="1"/>
  <c r="C7" i="25" s="1"/>
  <c r="M7" i="27" a="1"/>
  <c r="AG13" i="36"/>
  <c r="M7" i="27" l="1"/>
  <c r="U4" i="40"/>
  <c r="V3" i="40"/>
  <c r="U3" i="40"/>
  <c r="F42" i="38" l="1"/>
  <c r="R7" i="36"/>
  <c r="R8" i="36" l="1"/>
  <c r="R5" i="36" s="1"/>
  <c r="U4" i="36"/>
  <c r="R4" i="36" l="1"/>
  <c r="X5" i="40"/>
  <c r="AI20" i="36" l="1"/>
  <c r="M37" i="38"/>
  <c r="U5" i="40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36" i="40"/>
  <c r="U37" i="40"/>
  <c r="U38" i="40"/>
  <c r="U39" i="40"/>
  <c r="U40" i="40"/>
  <c r="U41" i="40"/>
  <c r="U42" i="40"/>
  <c r="U43" i="40"/>
  <c r="U44" i="40"/>
  <c r="U45" i="40"/>
  <c r="U46" i="40"/>
  <c r="U47" i="40"/>
  <c r="U48" i="40"/>
  <c r="U49" i="40"/>
  <c r="U50" i="40"/>
  <c r="U51" i="40"/>
  <c r="U52" i="40"/>
  <c r="U53" i="40"/>
  <c r="U54" i="40"/>
  <c r="U55" i="40"/>
  <c r="U56" i="40"/>
  <c r="U57" i="40"/>
  <c r="U58" i="40"/>
  <c r="U59" i="40"/>
  <c r="U60" i="40"/>
  <c r="U61" i="40"/>
  <c r="U62" i="40"/>
  <c r="U63" i="40"/>
  <c r="U64" i="40"/>
  <c r="U65" i="40"/>
  <c r="U66" i="40"/>
  <c r="U67" i="40"/>
  <c r="U68" i="40"/>
  <c r="U69" i="40"/>
  <c r="U70" i="40"/>
  <c r="U71" i="40"/>
  <c r="U72" i="40"/>
  <c r="U73" i="40"/>
  <c r="U74" i="40"/>
  <c r="U75" i="40"/>
  <c r="U76" i="40"/>
  <c r="U77" i="40"/>
  <c r="U78" i="40"/>
  <c r="U79" i="40"/>
  <c r="U80" i="40"/>
  <c r="U81" i="40"/>
  <c r="U82" i="40"/>
  <c r="U83" i="40"/>
  <c r="U84" i="40"/>
  <c r="U85" i="40"/>
  <c r="U86" i="40"/>
  <c r="U87" i="40"/>
  <c r="U88" i="40"/>
  <c r="U89" i="40"/>
  <c r="U90" i="40"/>
  <c r="U91" i="40"/>
  <c r="U92" i="40"/>
  <c r="U93" i="40"/>
  <c r="U94" i="40"/>
  <c r="U95" i="40"/>
  <c r="U96" i="40"/>
  <c r="U97" i="40"/>
  <c r="U98" i="40"/>
  <c r="U99" i="40"/>
  <c r="U100" i="40"/>
  <c r="U101" i="40"/>
  <c r="U102" i="40"/>
  <c r="U103" i="40"/>
  <c r="U104" i="40"/>
  <c r="U105" i="40"/>
  <c r="U106" i="40"/>
  <c r="U107" i="40"/>
  <c r="U108" i="40"/>
  <c r="U109" i="40"/>
  <c r="U110" i="40"/>
  <c r="U111" i="40"/>
  <c r="U112" i="40"/>
  <c r="U113" i="40"/>
  <c r="U114" i="40"/>
  <c r="U115" i="40"/>
  <c r="U116" i="40"/>
  <c r="U117" i="40"/>
  <c r="U118" i="40"/>
  <c r="U119" i="40"/>
  <c r="U120" i="40"/>
  <c r="U121" i="40"/>
  <c r="U122" i="40"/>
  <c r="U123" i="40"/>
  <c r="U124" i="40"/>
  <c r="U125" i="40"/>
  <c r="U126" i="40"/>
  <c r="U127" i="40"/>
  <c r="U128" i="40"/>
  <c r="U129" i="40"/>
  <c r="U130" i="40"/>
  <c r="U131" i="40"/>
  <c r="U132" i="40"/>
  <c r="U133" i="40"/>
  <c r="U134" i="40"/>
  <c r="U135" i="40"/>
  <c r="U136" i="40"/>
  <c r="U137" i="40"/>
  <c r="U138" i="40"/>
  <c r="U139" i="40"/>
  <c r="U140" i="40"/>
  <c r="U141" i="40"/>
  <c r="U142" i="40"/>
  <c r="U143" i="40"/>
  <c r="U144" i="40"/>
  <c r="U145" i="40"/>
  <c r="U146" i="40"/>
  <c r="U147" i="40"/>
  <c r="U148" i="40"/>
  <c r="U149" i="40"/>
  <c r="U150" i="40"/>
  <c r="U151" i="40"/>
  <c r="U152" i="40"/>
  <c r="U153" i="40"/>
  <c r="U154" i="40"/>
  <c r="U155" i="40"/>
  <c r="U156" i="40"/>
  <c r="U157" i="40"/>
  <c r="U158" i="40"/>
  <c r="U159" i="40"/>
  <c r="U160" i="40"/>
  <c r="U161" i="40"/>
  <c r="U162" i="40"/>
  <c r="U163" i="40"/>
  <c r="U164" i="40"/>
  <c r="U165" i="40"/>
  <c r="U166" i="40"/>
  <c r="U167" i="40"/>
  <c r="U168" i="40"/>
  <c r="U169" i="40"/>
  <c r="U170" i="40"/>
  <c r="U171" i="40"/>
  <c r="U172" i="40"/>
  <c r="U173" i="40"/>
  <c r="U174" i="40"/>
  <c r="U175" i="40"/>
  <c r="U176" i="40"/>
  <c r="U177" i="40"/>
  <c r="U178" i="40"/>
  <c r="U179" i="40"/>
  <c r="U180" i="40"/>
  <c r="U181" i="40"/>
  <c r="U182" i="40"/>
  <c r="U183" i="40"/>
  <c r="U184" i="40"/>
  <c r="U185" i="40"/>
  <c r="U186" i="40"/>
  <c r="U187" i="40"/>
  <c r="U188" i="40"/>
  <c r="U189" i="40"/>
  <c r="U190" i="40"/>
  <c r="U191" i="40"/>
  <c r="U192" i="40"/>
  <c r="U193" i="40"/>
  <c r="U194" i="40"/>
  <c r="U195" i="40"/>
  <c r="U196" i="40"/>
  <c r="U197" i="40"/>
  <c r="U198" i="40"/>
  <c r="U199" i="40"/>
  <c r="U200" i="40"/>
  <c r="U201" i="40"/>
  <c r="U202" i="40"/>
  <c r="X4" i="40"/>
  <c r="V4" i="40"/>
  <c r="V5" i="40"/>
  <c r="V6" i="40"/>
  <c r="V7" i="40"/>
  <c r="V8" i="40"/>
  <c r="V9" i="40"/>
  <c r="V10" i="40"/>
  <c r="V11" i="40"/>
  <c r="V12" i="40"/>
  <c r="V13" i="40"/>
  <c r="V14" i="40"/>
  <c r="V15" i="40"/>
  <c r="V16" i="40"/>
  <c r="V17" i="40"/>
  <c r="V18" i="40"/>
  <c r="V19" i="40"/>
  <c r="V20" i="40"/>
  <c r="V21" i="40"/>
  <c r="V22" i="40"/>
  <c r="V23" i="40"/>
  <c r="V24" i="40"/>
  <c r="V25" i="40"/>
  <c r="V26" i="40"/>
  <c r="V27" i="40"/>
  <c r="V28" i="40"/>
  <c r="V29" i="40"/>
  <c r="V30" i="40"/>
  <c r="V31" i="40"/>
  <c r="V32" i="40"/>
  <c r="V33" i="40"/>
  <c r="V34" i="40"/>
  <c r="V35" i="40"/>
  <c r="V36" i="40"/>
  <c r="V37" i="40"/>
  <c r="V38" i="40"/>
  <c r="V39" i="40"/>
  <c r="V40" i="40"/>
  <c r="V41" i="40"/>
  <c r="V42" i="40"/>
  <c r="V43" i="40"/>
  <c r="V44" i="40"/>
  <c r="V45" i="40"/>
  <c r="V46" i="40"/>
  <c r="V47" i="40"/>
  <c r="V48" i="40"/>
  <c r="V49" i="40"/>
  <c r="V50" i="40"/>
  <c r="V51" i="40"/>
  <c r="V52" i="40"/>
  <c r="V53" i="40"/>
  <c r="V54" i="40"/>
  <c r="V55" i="40"/>
  <c r="V56" i="40"/>
  <c r="V57" i="40"/>
  <c r="V58" i="40"/>
  <c r="V59" i="40"/>
  <c r="V60" i="40"/>
  <c r="V61" i="40"/>
  <c r="V62" i="40"/>
  <c r="V63" i="40"/>
  <c r="V64" i="40"/>
  <c r="V65" i="40"/>
  <c r="V66" i="40"/>
  <c r="V67" i="40"/>
  <c r="V68" i="40"/>
  <c r="V69" i="40"/>
  <c r="V70" i="40"/>
  <c r="V71" i="40"/>
  <c r="V72" i="40"/>
  <c r="V73" i="40"/>
  <c r="V74" i="40"/>
  <c r="V75" i="40"/>
  <c r="V76" i="40"/>
  <c r="V77" i="40"/>
  <c r="V78" i="40"/>
  <c r="V79" i="40"/>
  <c r="V80" i="40"/>
  <c r="V81" i="40"/>
  <c r="V82" i="40"/>
  <c r="V83" i="40"/>
  <c r="V84" i="40"/>
  <c r="V85" i="40"/>
  <c r="V86" i="40"/>
  <c r="V87" i="40"/>
  <c r="V88" i="40"/>
  <c r="V89" i="40"/>
  <c r="V90" i="40"/>
  <c r="V91" i="40"/>
  <c r="V92" i="40"/>
  <c r="V93" i="40"/>
  <c r="V94" i="40"/>
  <c r="V95" i="40"/>
  <c r="V96" i="40"/>
  <c r="V97" i="40"/>
  <c r="V98" i="40"/>
  <c r="V99" i="40"/>
  <c r="V100" i="40"/>
  <c r="V101" i="40"/>
  <c r="V102" i="40"/>
  <c r="V103" i="40"/>
  <c r="V104" i="40"/>
  <c r="V105" i="40"/>
  <c r="V106" i="40"/>
  <c r="V107" i="40"/>
  <c r="V108" i="40"/>
  <c r="V109" i="40"/>
  <c r="V110" i="40"/>
  <c r="V111" i="40"/>
  <c r="V112" i="40"/>
  <c r="V113" i="40"/>
  <c r="V114" i="40"/>
  <c r="V115" i="40"/>
  <c r="V116" i="40"/>
  <c r="V117" i="40"/>
  <c r="V118" i="40"/>
  <c r="V119" i="40"/>
  <c r="V120" i="40"/>
  <c r="V121" i="40"/>
  <c r="V122" i="40"/>
  <c r="V123" i="40"/>
  <c r="V124" i="40"/>
  <c r="V125" i="40"/>
  <c r="V126" i="40"/>
  <c r="V127" i="40"/>
  <c r="V128" i="40"/>
  <c r="V129" i="40"/>
  <c r="V130" i="40"/>
  <c r="V131" i="40"/>
  <c r="V132" i="40"/>
  <c r="V133" i="40"/>
  <c r="V134" i="40"/>
  <c r="V135" i="40"/>
  <c r="V136" i="40"/>
  <c r="V137" i="40"/>
  <c r="V138" i="40"/>
  <c r="V139" i="40"/>
  <c r="V140" i="40"/>
  <c r="V141" i="40"/>
  <c r="V142" i="40"/>
  <c r="V143" i="40"/>
  <c r="V144" i="40"/>
  <c r="V145" i="40"/>
  <c r="V146" i="40"/>
  <c r="V147" i="40"/>
  <c r="V148" i="40"/>
  <c r="V149" i="40"/>
  <c r="V150" i="40"/>
  <c r="V151" i="40"/>
  <c r="V152" i="40"/>
  <c r="V153" i="40"/>
  <c r="V154" i="40"/>
  <c r="V155" i="40"/>
  <c r="V156" i="40"/>
  <c r="V157" i="40"/>
  <c r="V158" i="40"/>
  <c r="V159" i="40"/>
  <c r="V160" i="40"/>
  <c r="V161" i="40"/>
  <c r="V162" i="40"/>
  <c r="V163" i="40"/>
  <c r="V164" i="40"/>
  <c r="V165" i="40"/>
  <c r="V166" i="40"/>
  <c r="V167" i="40"/>
  <c r="V168" i="40"/>
  <c r="V169" i="40"/>
  <c r="V170" i="40"/>
  <c r="V171" i="40"/>
  <c r="V172" i="40"/>
  <c r="V173" i="40"/>
  <c r="V174" i="40"/>
  <c r="V175" i="40"/>
  <c r="V176" i="40"/>
  <c r="V177" i="40"/>
  <c r="V178" i="40"/>
  <c r="V179" i="40"/>
  <c r="V180" i="40"/>
  <c r="V181" i="40"/>
  <c r="V182" i="40"/>
  <c r="V183" i="40"/>
  <c r="V184" i="40"/>
  <c r="V185" i="40"/>
  <c r="V186" i="40"/>
  <c r="V187" i="40"/>
  <c r="V188" i="40"/>
  <c r="V189" i="40"/>
  <c r="V190" i="40"/>
  <c r="V191" i="40"/>
  <c r="V192" i="40"/>
  <c r="V193" i="40"/>
  <c r="V194" i="40"/>
  <c r="V195" i="40"/>
  <c r="V196" i="40"/>
  <c r="V197" i="40"/>
  <c r="V198" i="40"/>
  <c r="V199" i="40"/>
  <c r="V200" i="40"/>
  <c r="V201" i="40"/>
  <c r="V202" i="40"/>
  <c r="U54" i="38"/>
  <c r="U56" i="38"/>
  <c r="U58" i="38"/>
  <c r="U59" i="38"/>
  <c r="U60" i="38"/>
  <c r="U61" i="38"/>
  <c r="U62" i="38"/>
  <c r="U63" i="38"/>
  <c r="U64" i="38"/>
  <c r="U65" i="38"/>
  <c r="U66" i="38"/>
  <c r="U68" i="38"/>
  <c r="U69" i="38"/>
  <c r="U71" i="38"/>
  <c r="U72" i="38"/>
  <c r="U74" i="38"/>
  <c r="U76" i="38"/>
  <c r="U77" i="38"/>
  <c r="U78" i="38"/>
  <c r="U80" i="38"/>
  <c r="U81" i="38"/>
  <c r="U82" i="38"/>
  <c r="U83" i="38"/>
  <c r="U84" i="38"/>
  <c r="U85" i="38"/>
  <c r="U87" i="38"/>
  <c r="U88" i="38"/>
  <c r="U90" i="38"/>
  <c r="U91" i="38"/>
  <c r="U92" i="38"/>
  <c r="U93" i="38"/>
  <c r="U94" i="38"/>
  <c r="U96" i="38"/>
  <c r="U98" i="38"/>
  <c r="U99" i="38"/>
  <c r="U100" i="38"/>
  <c r="U102" i="38"/>
  <c r="U103" i="38"/>
  <c r="U104" i="38"/>
  <c r="U105" i="38"/>
  <c r="U106" i="38"/>
  <c r="U107" i="38"/>
  <c r="U108" i="38"/>
  <c r="U109" i="38"/>
  <c r="U111" i="38"/>
  <c r="U112" i="38"/>
  <c r="U114" i="38"/>
  <c r="U115" i="38"/>
  <c r="U116" i="38"/>
  <c r="U117" i="38"/>
  <c r="U118" i="38"/>
  <c r="U120" i="38"/>
  <c r="U121" i="38"/>
  <c r="U122" i="38"/>
  <c r="U123" i="38"/>
  <c r="U124" i="38"/>
  <c r="U125" i="38"/>
  <c r="U126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4" i="38"/>
  <c r="U145" i="38"/>
  <c r="U146" i="38"/>
  <c r="U147" i="38"/>
  <c r="U148" i="38"/>
  <c r="U149" i="38"/>
  <c r="U150" i="38"/>
  <c r="U151" i="38"/>
  <c r="U152" i="38"/>
  <c r="U154" i="38"/>
  <c r="U155" i="38"/>
  <c r="U156" i="38"/>
  <c r="U158" i="38"/>
  <c r="U159" i="38"/>
  <c r="U160" i="38"/>
  <c r="U161" i="38"/>
  <c r="U163" i="38"/>
  <c r="U164" i="38"/>
  <c r="U166" i="38"/>
  <c r="U167" i="38"/>
  <c r="U168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9" i="38"/>
  <c r="U211" i="38"/>
  <c r="U212" i="38"/>
  <c r="U213" i="38"/>
  <c r="U214" i="38"/>
  <c r="U215" i="38"/>
  <c r="U216" i="38"/>
  <c r="U217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4" i="38"/>
  <c r="U235" i="38"/>
  <c r="U236" i="38"/>
  <c r="U237" i="38"/>
  <c r="U238" i="38"/>
  <c r="U239" i="38"/>
  <c r="U240" i="38"/>
  <c r="U241" i="38"/>
  <c r="U242" i="38"/>
  <c r="U243" i="38"/>
  <c r="U244" i="38"/>
  <c r="U246" i="38"/>
  <c r="U247" i="38"/>
  <c r="U248" i="38"/>
  <c r="U250" i="38"/>
  <c r="U251" i="38"/>
  <c r="U252" i="38"/>
  <c r="U253" i="38"/>
  <c r="U255" i="38"/>
  <c r="U256" i="38"/>
  <c r="U257" i="38"/>
  <c r="U258" i="38"/>
  <c r="U259" i="38"/>
  <c r="U260" i="38"/>
  <c r="U261" i="38"/>
  <c r="U262" i="38"/>
  <c r="U263" i="38"/>
  <c r="U264" i="38"/>
  <c r="U266" i="38"/>
  <c r="U267" i="38"/>
  <c r="U268" i="38"/>
  <c r="U270" i="38"/>
  <c r="U271" i="38"/>
  <c r="U272" i="38"/>
  <c r="U273" i="38"/>
  <c r="U274" i="38"/>
  <c r="U53" i="38"/>
  <c r="T253" i="38"/>
  <c r="T254" i="38"/>
  <c r="U254" i="38" s="1"/>
  <c r="T256" i="38"/>
  <c r="T257" i="38"/>
  <c r="T258" i="38"/>
  <c r="T259" i="38"/>
  <c r="T260" i="38"/>
  <c r="T261" i="38"/>
  <c r="T262" i="38"/>
  <c r="T263" i="38"/>
  <c r="T264" i="38"/>
  <c r="T265" i="38"/>
  <c r="U265" i="38" s="1"/>
  <c r="T266" i="38"/>
  <c r="T267" i="38"/>
  <c r="T268" i="38"/>
  <c r="T269" i="38"/>
  <c r="U269" i="38" s="1"/>
  <c r="T270" i="38"/>
  <c r="T271" i="38"/>
  <c r="T272" i="38"/>
  <c r="T273" i="38"/>
  <c r="T274" i="38"/>
  <c r="T243" i="38"/>
  <c r="T244" i="38"/>
  <c r="T245" i="38"/>
  <c r="U245" i="38" s="1"/>
  <c r="T246" i="38"/>
  <c r="T247" i="38"/>
  <c r="T248" i="38"/>
  <c r="T249" i="38"/>
  <c r="U249" i="38" s="1"/>
  <c r="T250" i="38"/>
  <c r="T251" i="38"/>
  <c r="T252" i="38"/>
  <c r="T235" i="38"/>
  <c r="T236" i="38"/>
  <c r="T237" i="38"/>
  <c r="T238" i="38"/>
  <c r="T239" i="38"/>
  <c r="T240" i="38"/>
  <c r="T241" i="38"/>
  <c r="T242" i="38"/>
  <c r="T209" i="38"/>
  <c r="T210" i="38"/>
  <c r="U210" i="38" s="1"/>
  <c r="T211" i="38"/>
  <c r="T212" i="38"/>
  <c r="T213" i="38"/>
  <c r="T214" i="38"/>
  <c r="T215" i="38"/>
  <c r="T216" i="38"/>
  <c r="T217" i="38"/>
  <c r="T218" i="38"/>
  <c r="U218" i="38" s="1"/>
  <c r="T219" i="38"/>
  <c r="T220" i="38"/>
  <c r="T221" i="38"/>
  <c r="T222" i="38"/>
  <c r="T223" i="38"/>
  <c r="T224" i="38"/>
  <c r="T225" i="38"/>
  <c r="T226" i="38"/>
  <c r="T228" i="38"/>
  <c r="T229" i="38"/>
  <c r="T230" i="38"/>
  <c r="T232" i="38"/>
  <c r="T233" i="38"/>
  <c r="U233" i="38" s="1"/>
  <c r="T234" i="38"/>
  <c r="T207" i="38"/>
  <c r="T208" i="38"/>
  <c r="U208" i="38" s="1"/>
  <c r="T205" i="38"/>
  <c r="T206" i="38"/>
  <c r="T204" i="38"/>
  <c r="T203" i="38"/>
  <c r="T179" i="38"/>
  <c r="T180" i="38"/>
  <c r="T181" i="38"/>
  <c r="T182" i="38"/>
  <c r="T183" i="38"/>
  <c r="T184" i="38"/>
  <c r="T185" i="38"/>
  <c r="T186" i="38"/>
  <c r="T187" i="38"/>
  <c r="T188" i="38"/>
  <c r="T189" i="38"/>
  <c r="U189" i="38" s="1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173" i="38"/>
  <c r="T174" i="38"/>
  <c r="T175" i="38"/>
  <c r="T176" i="38"/>
  <c r="T177" i="38"/>
  <c r="T178" i="38"/>
  <c r="T149" i="38"/>
  <c r="T150" i="38"/>
  <c r="T151" i="38"/>
  <c r="T152" i="38"/>
  <c r="T153" i="38"/>
  <c r="U153" i="38" s="1"/>
  <c r="T154" i="38"/>
  <c r="T155" i="38"/>
  <c r="T156" i="38"/>
  <c r="T157" i="38"/>
  <c r="U157" i="38" s="1"/>
  <c r="T158" i="38"/>
  <c r="T159" i="38"/>
  <c r="T160" i="38"/>
  <c r="T161" i="38"/>
  <c r="T162" i="38"/>
  <c r="U162" i="38" s="1"/>
  <c r="T163" i="38"/>
  <c r="T164" i="38"/>
  <c r="T165" i="38"/>
  <c r="U165" i="38" s="1"/>
  <c r="T166" i="38"/>
  <c r="T167" i="38"/>
  <c r="T168" i="38"/>
  <c r="T169" i="38"/>
  <c r="U169" i="38" s="1"/>
  <c r="T170" i="38"/>
  <c r="T171" i="38"/>
  <c r="T172" i="38"/>
  <c r="T143" i="38"/>
  <c r="U143" i="38" s="1"/>
  <c r="T144" i="38"/>
  <c r="T145" i="38"/>
  <c r="T146" i="38"/>
  <c r="T147" i="38"/>
  <c r="T148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09" i="38"/>
  <c r="T110" i="38"/>
  <c r="U110" i="38" s="1"/>
  <c r="T111" i="38"/>
  <c r="T112" i="38"/>
  <c r="T113" i="38"/>
  <c r="U113" i="38" s="1"/>
  <c r="T114" i="38"/>
  <c r="T115" i="38"/>
  <c r="T116" i="38"/>
  <c r="T117" i="38"/>
  <c r="T118" i="38"/>
  <c r="T119" i="38"/>
  <c r="U119" i="38" s="1"/>
  <c r="T120" i="38"/>
  <c r="T121" i="38"/>
  <c r="T122" i="38"/>
  <c r="T123" i="38"/>
  <c r="T124" i="38"/>
  <c r="T125" i="38"/>
  <c r="T126" i="38"/>
  <c r="T127" i="38"/>
  <c r="U127" i="38" s="1"/>
  <c r="T128" i="38"/>
  <c r="T129" i="38"/>
  <c r="T130" i="38"/>
  <c r="T106" i="38"/>
  <c r="T105" i="38"/>
  <c r="T99" i="38"/>
  <c r="T100" i="38"/>
  <c r="T101" i="38"/>
  <c r="U101" i="38" s="1"/>
  <c r="T102" i="38"/>
  <c r="T103" i="38"/>
  <c r="T104" i="38"/>
  <c r="T107" i="38"/>
  <c r="T108" i="38"/>
  <c r="T98" i="38"/>
  <c r="T97" i="38"/>
  <c r="U97" i="38" s="1"/>
  <c r="T81" i="38"/>
  <c r="T82" i="38"/>
  <c r="T83" i="38"/>
  <c r="T84" i="38"/>
  <c r="T85" i="38"/>
  <c r="T86" i="38"/>
  <c r="U86" i="38" s="1"/>
  <c r="T87" i="38"/>
  <c r="T88" i="38"/>
  <c r="T89" i="38"/>
  <c r="U89" i="38" s="1"/>
  <c r="T90" i="38"/>
  <c r="T91" i="38"/>
  <c r="T92" i="38"/>
  <c r="T93" i="38"/>
  <c r="T94" i="38"/>
  <c r="T95" i="38"/>
  <c r="U95" i="38" s="1"/>
  <c r="T96" i="38"/>
  <c r="T73" i="38"/>
  <c r="U73" i="38" s="1"/>
  <c r="T74" i="38"/>
  <c r="T75" i="38"/>
  <c r="U75" i="38" s="1"/>
  <c r="T76" i="38"/>
  <c r="T77" i="38"/>
  <c r="T78" i="38"/>
  <c r="T79" i="38"/>
  <c r="U79" i="38" s="1"/>
  <c r="T80" i="38"/>
  <c r="E7" i="27" a="1"/>
  <c r="E7" i="27" s="1"/>
  <c r="T71" i="38"/>
  <c r="T55" i="38"/>
  <c r="U55" i="38" s="1"/>
  <c r="T56" i="38"/>
  <c r="T57" i="38"/>
  <c r="U57" i="38" s="1"/>
  <c r="L45" i="38" s="1"/>
  <c r="T58" i="38"/>
  <c r="T59" i="38"/>
  <c r="T60" i="38"/>
  <c r="T61" i="38"/>
  <c r="T62" i="38"/>
  <c r="T63" i="38"/>
  <c r="T64" i="38"/>
  <c r="T65" i="38"/>
  <c r="T66" i="38"/>
  <c r="T67" i="38"/>
  <c r="U67" i="38" s="1"/>
  <c r="T68" i="38"/>
  <c r="T69" i="38"/>
  <c r="T70" i="38"/>
  <c r="U70" i="38" s="1"/>
  <c r="T72" i="38"/>
  <c r="T54" i="38"/>
  <c r="T53" i="38"/>
  <c r="W58" i="38" l="1"/>
  <c r="V49" i="38"/>
  <c r="F43" i="38"/>
  <c r="N48" i="25" a="1"/>
  <c r="N48" i="25" s="1"/>
  <c r="AM25" i="38"/>
  <c r="AP22" i="38"/>
  <c r="A3" i="38" a="1"/>
  <c r="AF23" i="36"/>
  <c r="A3" i="36" a="1"/>
  <c r="Z48" i="27" a="1"/>
  <c r="Z48" i="27" s="1"/>
  <c r="N48" i="27" a="1"/>
  <c r="N48" i="27" s="1"/>
  <c r="X48" i="27" a="1"/>
  <c r="X48" i="27" s="1"/>
  <c r="W48" i="27" a="1"/>
  <c r="W48" i="27" s="1"/>
  <c r="V48" i="27" a="1"/>
  <c r="V48" i="27" s="1"/>
  <c r="U48" i="27" a="1"/>
  <c r="U48" i="27" s="1"/>
  <c r="T48" i="27" a="1"/>
  <c r="T48" i="27" s="1"/>
  <c r="S48" i="27" a="1"/>
  <c r="S48" i="27" s="1"/>
  <c r="R48" i="27" a="1"/>
  <c r="R48" i="27" s="1"/>
  <c r="Q48" i="27" a="1"/>
  <c r="Q48" i="27" s="1"/>
  <c r="P48" i="27" a="1"/>
  <c r="P48" i="27" s="1"/>
  <c r="O48" i="27" a="1"/>
  <c r="O48" i="27" s="1"/>
  <c r="M48" i="27" a="1"/>
  <c r="M48" i="27" s="1"/>
  <c r="B48" i="27" a="1"/>
  <c r="B48" i="27" s="1"/>
  <c r="Z7" i="27" a="1"/>
  <c r="Z7" i="27" s="1"/>
  <c r="X7" i="27" a="1"/>
  <c r="X7" i="27" s="1"/>
  <c r="W7" i="27" a="1"/>
  <c r="W7" i="27" s="1"/>
  <c r="V7" i="27" a="1"/>
  <c r="V7" i="27" s="1"/>
  <c r="U7" i="27" a="1"/>
  <c r="U7" i="27" s="1"/>
  <c r="T7" i="27" a="1"/>
  <c r="T7" i="27" s="1"/>
  <c r="S7" i="27" a="1"/>
  <c r="S7" i="27" s="1"/>
  <c r="R7" i="27" a="1"/>
  <c r="R7" i="27" s="1"/>
  <c r="O7" i="27" a="1"/>
  <c r="O7" i="27" s="1"/>
  <c r="W48" i="25" a="1"/>
  <c r="W48" i="25" s="1"/>
  <c r="V48" i="25" a="1"/>
  <c r="V48" i="25" s="1"/>
  <c r="U48" i="25" a="1"/>
  <c r="U48" i="25" s="1"/>
  <c r="T48" i="25" a="1"/>
  <c r="T48" i="25" s="1"/>
  <c r="S48" i="25" a="1"/>
  <c r="S48" i="25" s="1"/>
  <c r="R48" i="25" a="1"/>
  <c r="R48" i="25" s="1"/>
  <c r="Q48" i="25" a="1"/>
  <c r="P48" i="25" a="1"/>
  <c r="P48" i="25" s="1"/>
  <c r="O48" i="25" a="1"/>
  <c r="O48" i="25" s="1"/>
  <c r="N7" i="25" a="1"/>
  <c r="N7" i="25" s="1"/>
  <c r="K48" i="25" a="1"/>
  <c r="J48" i="25" a="1"/>
  <c r="J48" i="25" s="1"/>
  <c r="I48" i="25" a="1"/>
  <c r="I48" i="25" s="1"/>
  <c r="H48" i="25" a="1"/>
  <c r="H48" i="25" s="1"/>
  <c r="G48" i="25" a="1"/>
  <c r="G48" i="25" s="1"/>
  <c r="F48" i="25" a="1"/>
  <c r="F48" i="25" s="1"/>
  <c r="E48" i="25" a="1"/>
  <c r="E48" i="25" s="1"/>
  <c r="D48" i="25" a="1"/>
  <c r="D48" i="25" s="1"/>
  <c r="C48" i="25" a="1"/>
  <c r="C48" i="25" s="1"/>
  <c r="B48" i="25" a="1"/>
  <c r="B48" i="25" s="1"/>
  <c r="A48" i="25" a="1"/>
  <c r="A48" i="25" s="1"/>
  <c r="M48" i="25" a="1"/>
  <c r="M48" i="25" s="1"/>
  <c r="W7" i="25" a="1"/>
  <c r="W7" i="25" s="1"/>
  <c r="K7" i="25" a="1"/>
  <c r="K7" i="25" s="1"/>
  <c r="V7" i="25" a="1"/>
  <c r="V7" i="25" s="1"/>
  <c r="U7" i="25" a="1"/>
  <c r="U7" i="25" s="1"/>
  <c r="T7" i="25" a="1"/>
  <c r="T7" i="25" s="1"/>
  <c r="S7" i="25" a="1"/>
  <c r="S7" i="25" s="1"/>
  <c r="R7" i="25" a="1"/>
  <c r="R7" i="25" s="1"/>
  <c r="Q7" i="25" a="1"/>
  <c r="Q7" i="25" s="1"/>
  <c r="P7" i="25" a="1"/>
  <c r="P7" i="25" s="1"/>
  <c r="O7" i="25" a="1"/>
  <c r="O7" i="25" s="1"/>
  <c r="M7" i="25" a="1"/>
  <c r="M7" i="25" s="1"/>
  <c r="K48" i="27" a="1"/>
  <c r="K48" i="27" s="1"/>
  <c r="J48" i="27" a="1"/>
  <c r="J48" i="27" s="1"/>
  <c r="I48" i="27" a="1"/>
  <c r="I48" i="27" s="1"/>
  <c r="H48" i="27" a="1"/>
  <c r="H48" i="27" s="1"/>
  <c r="G48" i="27" a="1"/>
  <c r="G48" i="27" s="1"/>
  <c r="F48" i="27" a="1"/>
  <c r="F48" i="27" s="1"/>
  <c r="E48" i="27" a="1"/>
  <c r="E48" i="27" s="1"/>
  <c r="D48" i="27" a="1"/>
  <c r="D48" i="27" s="1"/>
  <c r="C48" i="27" a="1"/>
  <c r="C48" i="27" s="1"/>
  <c r="A48" i="27" a="1"/>
  <c r="A48" i="27" s="1"/>
  <c r="F7" i="25" a="1"/>
  <c r="F7" i="25" s="1"/>
  <c r="I7" i="25" a="1"/>
  <c r="I7" i="25" s="1"/>
  <c r="H7" i="25" a="1"/>
  <c r="H7" i="25" s="1"/>
  <c r="G7" i="25" a="1"/>
  <c r="G7" i="25" s="1"/>
  <c r="A7" i="25" a="1"/>
  <c r="A7" i="25" s="1"/>
  <c r="N7" i="27" a="1"/>
  <c r="N7" i="27" s="1"/>
  <c r="K7" i="27" a="1"/>
  <c r="J7" i="27" a="1"/>
  <c r="J7" i="27" s="1"/>
  <c r="I7" i="27" a="1"/>
  <c r="I7" i="27" s="1"/>
  <c r="H7" i="27" a="1"/>
  <c r="H7" i="27" s="1"/>
  <c r="G7" i="27" a="1"/>
  <c r="G7" i="27" s="1"/>
  <c r="F7" i="27" a="1"/>
  <c r="F7" i="27" s="1"/>
  <c r="A7" i="27" a="1"/>
  <c r="A7" i="27" s="1"/>
  <c r="K48" i="25" l="1"/>
  <c r="L76" i="25"/>
  <c r="K7" i="27"/>
  <c r="L7" i="27" s="1"/>
  <c r="L37" i="27"/>
  <c r="L48" i="27"/>
  <c r="Y48" i="27"/>
  <c r="L7" i="25"/>
  <c r="Y7" i="27"/>
  <c r="A3" i="36"/>
  <c r="Q48" i="25"/>
  <c r="X48" i="25" s="1"/>
  <c r="X64" i="25"/>
  <c r="S8" i="36"/>
  <c r="H43" i="38"/>
  <c r="H42" i="38"/>
  <c r="L18" i="25"/>
  <c r="B14" i="36" s="1"/>
  <c r="L8" i="25"/>
  <c r="B4" i="36" s="1"/>
  <c r="L10" i="25"/>
  <c r="B6" i="38" s="1"/>
  <c r="Y71" i="27"/>
  <c r="Y61" i="27"/>
  <c r="Y50" i="27"/>
  <c r="Y70" i="27"/>
  <c r="Y59" i="27"/>
  <c r="Y49" i="27"/>
  <c r="Y77" i="27"/>
  <c r="Y66" i="27"/>
  <c r="Y55" i="27"/>
  <c r="Y75" i="27"/>
  <c r="Y65" i="27"/>
  <c r="Y54" i="27"/>
  <c r="Y74" i="27"/>
  <c r="Y69" i="27"/>
  <c r="Y63" i="27"/>
  <c r="Y58" i="27"/>
  <c r="Y53" i="27"/>
  <c r="Y78" i="27"/>
  <c r="Y73" i="27"/>
  <c r="Y67" i="27"/>
  <c r="Y62" i="27"/>
  <c r="Y57" i="27"/>
  <c r="Y51" i="27"/>
  <c r="L51" i="27"/>
  <c r="Y76" i="27"/>
  <c r="Y72" i="27"/>
  <c r="Y68" i="27"/>
  <c r="Y64" i="27"/>
  <c r="Y60" i="27"/>
  <c r="Y56" i="27"/>
  <c r="Y52" i="27"/>
  <c r="L36" i="25"/>
  <c r="B32" i="36" s="1"/>
  <c r="L49" i="25"/>
  <c r="A3" i="38"/>
  <c r="Y34" i="27"/>
  <c r="Y30" i="27"/>
  <c r="Y26" i="27"/>
  <c r="Y22" i="27"/>
  <c r="Y18" i="27"/>
  <c r="Y14" i="27"/>
  <c r="Y10" i="27"/>
  <c r="L75" i="27"/>
  <c r="L71" i="27"/>
  <c r="L67" i="27"/>
  <c r="L63" i="27"/>
  <c r="L59" i="27"/>
  <c r="AA59" i="27" s="1"/>
  <c r="L55" i="27"/>
  <c r="L50" i="27"/>
  <c r="Y37" i="27"/>
  <c r="Y33" i="27"/>
  <c r="Y29" i="27"/>
  <c r="Y25" i="27"/>
  <c r="Y21" i="27"/>
  <c r="Y17" i="27"/>
  <c r="Y13" i="27"/>
  <c r="Y9" i="27"/>
  <c r="L78" i="27"/>
  <c r="L74" i="27"/>
  <c r="L70" i="27"/>
  <c r="L66" i="27"/>
  <c r="L62" i="27"/>
  <c r="L58" i="27"/>
  <c r="L54" i="27"/>
  <c r="L49" i="27"/>
  <c r="Y36" i="27"/>
  <c r="Y32" i="27"/>
  <c r="Y28" i="27"/>
  <c r="Y24" i="27"/>
  <c r="Y20" i="27"/>
  <c r="Y16" i="27"/>
  <c r="Y12" i="27"/>
  <c r="Y8" i="27"/>
  <c r="L77" i="27"/>
  <c r="L73" i="27"/>
  <c r="L69" i="27"/>
  <c r="L65" i="27"/>
  <c r="L61" i="27"/>
  <c r="L57" i="27"/>
  <c r="L53" i="27"/>
  <c r="Y35" i="27"/>
  <c r="Y31" i="27"/>
  <c r="Y27" i="27"/>
  <c r="Y23" i="27"/>
  <c r="Y19" i="27"/>
  <c r="Y15" i="27"/>
  <c r="Y11" i="27"/>
  <c r="L76" i="27"/>
  <c r="L72" i="27"/>
  <c r="L68" i="27"/>
  <c r="L64" i="27"/>
  <c r="L60" i="27"/>
  <c r="L56" i="27"/>
  <c r="L52" i="27"/>
  <c r="L34" i="27"/>
  <c r="L30" i="27"/>
  <c r="L26" i="27"/>
  <c r="L22" i="27"/>
  <c r="L18" i="27"/>
  <c r="L14" i="27"/>
  <c r="L10" i="27"/>
  <c r="L33" i="27"/>
  <c r="L29" i="27"/>
  <c r="L25" i="27"/>
  <c r="L21" i="27"/>
  <c r="L17" i="27"/>
  <c r="L13" i="27"/>
  <c r="L9" i="27"/>
  <c r="L36" i="27"/>
  <c r="L32" i="27"/>
  <c r="L28" i="27"/>
  <c r="L24" i="27"/>
  <c r="L20" i="27"/>
  <c r="L16" i="27"/>
  <c r="L12" i="27"/>
  <c r="L8" i="27"/>
  <c r="L35" i="27"/>
  <c r="L31" i="27"/>
  <c r="L27" i="27"/>
  <c r="L23" i="27"/>
  <c r="L19" i="27"/>
  <c r="L15" i="27"/>
  <c r="L11" i="27"/>
  <c r="X77" i="25"/>
  <c r="L48" i="25"/>
  <c r="L51" i="25"/>
  <c r="X52" i="25"/>
  <c r="L55" i="25"/>
  <c r="X56" i="25"/>
  <c r="L59" i="25"/>
  <c r="X60" i="25"/>
  <c r="L63" i="25"/>
  <c r="L67" i="25"/>
  <c r="X68" i="25"/>
  <c r="L71" i="25"/>
  <c r="X72" i="25"/>
  <c r="L75" i="25"/>
  <c r="X76" i="25"/>
  <c r="L50" i="25"/>
  <c r="X51" i="25"/>
  <c r="L54" i="25"/>
  <c r="X55" i="25"/>
  <c r="L58" i="25"/>
  <c r="X59" i="25"/>
  <c r="L62" i="25"/>
  <c r="X63" i="25"/>
  <c r="L66" i="25"/>
  <c r="X67" i="25"/>
  <c r="L70" i="25"/>
  <c r="X71" i="25"/>
  <c r="L74" i="25"/>
  <c r="X75" i="25"/>
  <c r="L78" i="25"/>
  <c r="X50" i="25"/>
  <c r="L53" i="25"/>
  <c r="X54" i="25"/>
  <c r="L57" i="25"/>
  <c r="X58" i="25"/>
  <c r="L61" i="25"/>
  <c r="X62" i="25"/>
  <c r="L65" i="25"/>
  <c r="X66" i="25"/>
  <c r="L69" i="25"/>
  <c r="X70" i="25"/>
  <c r="L73" i="25"/>
  <c r="X74" i="25"/>
  <c r="L77" i="25"/>
  <c r="X78" i="25"/>
  <c r="X49" i="25"/>
  <c r="L52" i="25"/>
  <c r="X53" i="25"/>
  <c r="L56" i="25"/>
  <c r="X57" i="25"/>
  <c r="L60" i="25"/>
  <c r="X61" i="25"/>
  <c r="L64" i="25"/>
  <c r="X65" i="25"/>
  <c r="L68" i="25"/>
  <c r="X69" i="25"/>
  <c r="L72" i="25"/>
  <c r="X73" i="25"/>
  <c r="X7" i="25"/>
  <c r="X31" i="25"/>
  <c r="X23" i="25"/>
  <c r="X19" i="25"/>
  <c r="X11" i="25"/>
  <c r="X35" i="25"/>
  <c r="X27" i="25"/>
  <c r="X15" i="25"/>
  <c r="X34" i="25"/>
  <c r="X30" i="25"/>
  <c r="X26" i="25"/>
  <c r="X22" i="25"/>
  <c r="X18" i="25"/>
  <c r="X14" i="25"/>
  <c r="X10" i="25"/>
  <c r="X37" i="25"/>
  <c r="X33" i="25"/>
  <c r="X29" i="25"/>
  <c r="X25" i="25"/>
  <c r="X21" i="25"/>
  <c r="X17" i="25"/>
  <c r="X13" i="25"/>
  <c r="X9" i="25"/>
  <c r="X36" i="25"/>
  <c r="X32" i="25"/>
  <c r="X28" i="25"/>
  <c r="X24" i="25"/>
  <c r="X20" i="25"/>
  <c r="X16" i="25"/>
  <c r="X12" i="25"/>
  <c r="X8" i="25"/>
  <c r="L35" i="25"/>
  <c r="B31" i="38" s="1"/>
  <c r="L31" i="25"/>
  <c r="B27" i="38" s="1"/>
  <c r="L27" i="25"/>
  <c r="B23" i="36" s="1"/>
  <c r="L23" i="25"/>
  <c r="B19" i="36" s="1"/>
  <c r="L19" i="25"/>
  <c r="B15" i="38" s="1"/>
  <c r="L15" i="25"/>
  <c r="B11" i="38" s="1"/>
  <c r="L11" i="25"/>
  <c r="B7" i="36" s="1"/>
  <c r="L34" i="25"/>
  <c r="B30" i="36" s="1"/>
  <c r="L30" i="25"/>
  <c r="B26" i="38" s="1"/>
  <c r="L26" i="25"/>
  <c r="B22" i="36" s="1"/>
  <c r="L22" i="25"/>
  <c r="B18" i="36" s="1"/>
  <c r="L14" i="25"/>
  <c r="B10" i="38" s="1"/>
  <c r="L37" i="25"/>
  <c r="B33" i="36" s="1"/>
  <c r="L33" i="25"/>
  <c r="B29" i="36" s="1"/>
  <c r="L29" i="25"/>
  <c r="B25" i="36" s="1"/>
  <c r="L25" i="25"/>
  <c r="B21" i="36" s="1"/>
  <c r="L21" i="25"/>
  <c r="B17" i="36" s="1"/>
  <c r="L17" i="25"/>
  <c r="B13" i="36" s="1"/>
  <c r="L13" i="25"/>
  <c r="B9" i="36" s="1"/>
  <c r="L9" i="25"/>
  <c r="B5" i="36" s="1"/>
  <c r="L32" i="25"/>
  <c r="B28" i="36" s="1"/>
  <c r="L28" i="25"/>
  <c r="B24" i="36" s="1"/>
  <c r="L24" i="25"/>
  <c r="B20" i="36" s="1"/>
  <c r="L20" i="25"/>
  <c r="B16" i="36" s="1"/>
  <c r="L16" i="25"/>
  <c r="B12" i="36" s="1"/>
  <c r="L12" i="25"/>
  <c r="Y76" i="25" l="1"/>
  <c r="F31" i="36" s="1"/>
  <c r="Y56" i="25"/>
  <c r="Y77" i="25"/>
  <c r="F32" i="36" s="1"/>
  <c r="Y52" i="25"/>
  <c r="F7" i="36" s="1"/>
  <c r="Y60" i="25"/>
  <c r="F15" i="36" s="1"/>
  <c r="Y68" i="25"/>
  <c r="F23" i="36" s="1"/>
  <c r="Y74" i="25"/>
  <c r="F29" i="36" s="1"/>
  <c r="Y66" i="25"/>
  <c r="F21" i="36" s="1"/>
  <c r="Y58" i="25"/>
  <c r="F13" i="36" s="1"/>
  <c r="Y50" i="25"/>
  <c r="Y63" i="25"/>
  <c r="F18" i="36" s="1"/>
  <c r="Y55" i="25"/>
  <c r="Y49" i="25"/>
  <c r="F4" i="36" s="1"/>
  <c r="Y78" i="25"/>
  <c r="F33" i="36" s="1"/>
  <c r="Y70" i="25"/>
  <c r="F25" i="36" s="1"/>
  <c r="Y62" i="25"/>
  <c r="F17" i="36" s="1"/>
  <c r="Y54" i="25"/>
  <c r="Y59" i="25"/>
  <c r="F14" i="36" s="1"/>
  <c r="Y51" i="25"/>
  <c r="F6" i="36" s="1"/>
  <c r="Y53" i="25"/>
  <c r="F8" i="36" s="1"/>
  <c r="Y73" i="25"/>
  <c r="F28" i="36" s="1"/>
  <c r="Y57" i="25"/>
  <c r="F12" i="36" s="1"/>
  <c r="Y69" i="25"/>
  <c r="F24" i="36" s="1"/>
  <c r="Y61" i="25"/>
  <c r="F16" i="36" s="1"/>
  <c r="Y71" i="25"/>
  <c r="Y65" i="25"/>
  <c r="Y72" i="25"/>
  <c r="F27" i="36" s="1"/>
  <c r="Y64" i="25"/>
  <c r="Y75" i="25"/>
  <c r="Y67" i="25"/>
  <c r="F22" i="36" s="1"/>
  <c r="Y12" i="25"/>
  <c r="Y28" i="25"/>
  <c r="Y29" i="25"/>
  <c r="Y13" i="25"/>
  <c r="AA51" i="27"/>
  <c r="G6" i="38" s="1"/>
  <c r="AA58" i="27"/>
  <c r="G13" i="36" s="1"/>
  <c r="AA61" i="27"/>
  <c r="G16" i="38" s="1"/>
  <c r="AA49" i="27"/>
  <c r="G4" i="38" s="1"/>
  <c r="Y7" i="25"/>
  <c r="Y10" i="25"/>
  <c r="B6" i="36"/>
  <c r="Y14" i="25"/>
  <c r="Y16" i="25"/>
  <c r="Y36" i="25"/>
  <c r="Y32" i="25"/>
  <c r="B19" i="38"/>
  <c r="AA62" i="27"/>
  <c r="G17" i="36" s="1"/>
  <c r="AA7" i="27"/>
  <c r="C3" i="38" s="1"/>
  <c r="AA18" i="27"/>
  <c r="AA34" i="27"/>
  <c r="AA63" i="27"/>
  <c r="G18" i="38" s="1"/>
  <c r="AA66" i="27"/>
  <c r="G21" i="36" s="1"/>
  <c r="AA71" i="27"/>
  <c r="G26" i="38" s="1"/>
  <c r="G14" i="36"/>
  <c r="G14" i="38"/>
  <c r="AA72" i="27"/>
  <c r="AA60" i="27"/>
  <c r="AA76" i="27"/>
  <c r="AA54" i="27"/>
  <c r="AA56" i="27"/>
  <c r="AA52" i="27"/>
  <c r="AA68" i="27"/>
  <c r="AA67" i="27"/>
  <c r="B3" i="38"/>
  <c r="Y35" i="25"/>
  <c r="Y21" i="25"/>
  <c r="Y37" i="25"/>
  <c r="Y22" i="25"/>
  <c r="Y15" i="25"/>
  <c r="Y19" i="25"/>
  <c r="B7" i="38"/>
  <c r="B23" i="38"/>
  <c r="B10" i="36"/>
  <c r="B26" i="36"/>
  <c r="B8" i="38"/>
  <c r="B24" i="38"/>
  <c r="B11" i="36"/>
  <c r="B27" i="36"/>
  <c r="B5" i="38"/>
  <c r="B21" i="38"/>
  <c r="B8" i="36"/>
  <c r="B14" i="38"/>
  <c r="B30" i="38"/>
  <c r="Y31" i="25"/>
  <c r="Y26" i="25"/>
  <c r="B12" i="38"/>
  <c r="B28" i="38"/>
  <c r="B15" i="36"/>
  <c r="B31" i="36"/>
  <c r="B9" i="38"/>
  <c r="B25" i="38"/>
  <c r="B18" i="38"/>
  <c r="B16" i="38"/>
  <c r="B32" i="38"/>
  <c r="B13" i="38"/>
  <c r="B29" i="38"/>
  <c r="B22" i="38"/>
  <c r="B4" i="38"/>
  <c r="B20" i="38"/>
  <c r="B17" i="38"/>
  <c r="B33" i="38"/>
  <c r="AA11" i="27"/>
  <c r="AA27" i="27"/>
  <c r="AA12" i="27"/>
  <c r="AA28" i="27"/>
  <c r="AA13" i="27"/>
  <c r="AA29" i="27"/>
  <c r="AA14" i="27"/>
  <c r="AA30" i="27"/>
  <c r="AA77" i="27"/>
  <c r="AA78" i="27"/>
  <c r="AA48" i="27"/>
  <c r="G3" i="36" s="1"/>
  <c r="AA50" i="27"/>
  <c r="AA55" i="27"/>
  <c r="AA53" i="27"/>
  <c r="AA70" i="27"/>
  <c r="AA65" i="27"/>
  <c r="AA74" i="27"/>
  <c r="AA75" i="27"/>
  <c r="AA19" i="27"/>
  <c r="AA35" i="27"/>
  <c r="AA20" i="27"/>
  <c r="AA36" i="27"/>
  <c r="AA21" i="27"/>
  <c r="AA37" i="27"/>
  <c r="AA69" i="27"/>
  <c r="AA24" i="27"/>
  <c r="AA9" i="27"/>
  <c r="AA25" i="27"/>
  <c r="AA10" i="27"/>
  <c r="AA26" i="27"/>
  <c r="AA57" i="27"/>
  <c r="AA73" i="27"/>
  <c r="AA64" i="27"/>
  <c r="Y8" i="25"/>
  <c r="Y24" i="25"/>
  <c r="Y20" i="25"/>
  <c r="Y17" i="25"/>
  <c r="Y33" i="25"/>
  <c r="Y23" i="25"/>
  <c r="Y11" i="25"/>
  <c r="Y27" i="25"/>
  <c r="Y48" i="25"/>
  <c r="AA15" i="27"/>
  <c r="AA31" i="27"/>
  <c r="AA16" i="27"/>
  <c r="AA32" i="27"/>
  <c r="AA17" i="27"/>
  <c r="AA33" i="27"/>
  <c r="C29" i="38" s="1"/>
  <c r="AA22" i="27"/>
  <c r="AA23" i="27"/>
  <c r="AA8" i="27"/>
  <c r="Y18" i="25"/>
  <c r="Y34" i="25"/>
  <c r="Y9" i="25"/>
  <c r="Y25" i="25"/>
  <c r="Y30" i="25"/>
  <c r="F9" i="36" l="1"/>
  <c r="F10" i="36"/>
  <c r="F19" i="36"/>
  <c r="C10" i="38"/>
  <c r="F11" i="36"/>
  <c r="F20" i="38"/>
  <c r="F20" i="36"/>
  <c r="F5" i="38"/>
  <c r="F5" i="36"/>
  <c r="F26" i="38"/>
  <c r="F26" i="36"/>
  <c r="F30" i="38"/>
  <c r="F30" i="36"/>
  <c r="G6" i="36"/>
  <c r="G16" i="36"/>
  <c r="C3" i="36"/>
  <c r="G13" i="38"/>
  <c r="G18" i="36"/>
  <c r="G17" i="38"/>
  <c r="G4" i="36"/>
  <c r="G3" i="38"/>
  <c r="C29" i="36"/>
  <c r="C10" i="36"/>
  <c r="G26" i="36"/>
  <c r="F3" i="36"/>
  <c r="G21" i="38"/>
  <c r="G19" i="36"/>
  <c r="G19" i="38"/>
  <c r="G22" i="38"/>
  <c r="G22" i="36"/>
  <c r="G15" i="38"/>
  <c r="G15" i="36"/>
  <c r="G20" i="36"/>
  <c r="G20" i="38"/>
  <c r="G25" i="36"/>
  <c r="G25" i="38"/>
  <c r="G23" i="38"/>
  <c r="G23" i="36"/>
  <c r="G27" i="38"/>
  <c r="G27" i="36"/>
  <c r="G12" i="36"/>
  <c r="G12" i="38"/>
  <c r="G5" i="36"/>
  <c r="G5" i="38"/>
  <c r="G24" i="36"/>
  <c r="G24" i="38"/>
  <c r="G30" i="36"/>
  <c r="G30" i="38"/>
  <c r="G7" i="38"/>
  <c r="G7" i="36"/>
  <c r="G32" i="38"/>
  <c r="G32" i="36"/>
  <c r="G9" i="36"/>
  <c r="G9" i="38"/>
  <c r="G28" i="36"/>
  <c r="G28" i="38"/>
  <c r="G29" i="36"/>
  <c r="G29" i="38"/>
  <c r="G11" i="38"/>
  <c r="G11" i="36"/>
  <c r="G33" i="36"/>
  <c r="G33" i="38"/>
  <c r="G8" i="36"/>
  <c r="G8" i="38"/>
  <c r="G10" i="38"/>
  <c r="G10" i="36"/>
  <c r="G31" i="38"/>
  <c r="G31" i="36"/>
  <c r="F13" i="38"/>
  <c r="F19" i="38"/>
  <c r="C6" i="38"/>
  <c r="C6" i="36"/>
  <c r="F27" i="38"/>
  <c r="F18" i="38"/>
  <c r="C32" i="38"/>
  <c r="C32" i="36"/>
  <c r="F7" i="38"/>
  <c r="F12" i="38"/>
  <c r="F32" i="38"/>
  <c r="F22" i="38"/>
  <c r="F25" i="38"/>
  <c r="F6" i="38"/>
  <c r="C27" i="36"/>
  <c r="C27" i="38"/>
  <c r="C11" i="36"/>
  <c r="C11" i="38"/>
  <c r="C20" i="36"/>
  <c r="C20" i="38"/>
  <c r="C23" i="36"/>
  <c r="C23" i="38"/>
  <c r="C17" i="36"/>
  <c r="C17" i="38"/>
  <c r="C16" i="38"/>
  <c r="C16" i="36"/>
  <c r="C25" i="38"/>
  <c r="C25" i="36"/>
  <c r="C28" i="38"/>
  <c r="C28" i="36"/>
  <c r="F9" i="38"/>
  <c r="C7" i="36"/>
  <c r="C7" i="38"/>
  <c r="F23" i="38"/>
  <c r="F17" i="38"/>
  <c r="F33" i="38"/>
  <c r="F24" i="38"/>
  <c r="F14" i="38"/>
  <c r="F31" i="38"/>
  <c r="F21" i="38"/>
  <c r="F8" i="38"/>
  <c r="F28" i="38"/>
  <c r="C26" i="38"/>
  <c r="C26" i="36"/>
  <c r="C18" i="36"/>
  <c r="C18" i="38"/>
  <c r="F29" i="38"/>
  <c r="C14" i="36"/>
  <c r="C14" i="38"/>
  <c r="C8" i="36"/>
  <c r="C8" i="38"/>
  <c r="C19" i="38"/>
  <c r="C19" i="36"/>
  <c r="C13" i="36"/>
  <c r="C13" i="38"/>
  <c r="C4" i="36"/>
  <c r="C4" i="38"/>
  <c r="F4" i="38"/>
  <c r="C12" i="38"/>
  <c r="C12" i="36"/>
  <c r="C15" i="38"/>
  <c r="C15" i="36"/>
  <c r="F10" i="38"/>
  <c r="C22" i="38"/>
  <c r="C22" i="36"/>
  <c r="F3" i="38"/>
  <c r="F11" i="38"/>
  <c r="C24" i="36"/>
  <c r="C24" i="38"/>
  <c r="C5" i="36"/>
  <c r="C5" i="38"/>
  <c r="F15" i="38"/>
  <c r="C30" i="38"/>
  <c r="C30" i="36"/>
  <c r="F16" i="38"/>
  <c r="C31" i="38"/>
  <c r="C31" i="36"/>
  <c r="C21" i="36"/>
  <c r="C21" i="38"/>
  <c r="C9" i="38"/>
  <c r="C9" i="36"/>
  <c r="C33" i="36"/>
  <c r="C33" i="38"/>
  <c r="B34" i="36"/>
  <c r="B34" i="38"/>
  <c r="D3" i="38" s="1"/>
  <c r="F34" i="36" l="1"/>
  <c r="H3" i="36" s="1"/>
  <c r="D5" i="36"/>
  <c r="D3" i="36"/>
  <c r="D24" i="36"/>
  <c r="D14" i="36"/>
  <c r="D15" i="36"/>
  <c r="D25" i="36"/>
  <c r="D22" i="36"/>
  <c r="D16" i="36"/>
  <c r="D23" i="36"/>
  <c r="D4" i="36"/>
  <c r="D11" i="36"/>
  <c r="D26" i="36"/>
  <c r="D32" i="36"/>
  <c r="D8" i="36"/>
  <c r="D13" i="36"/>
  <c r="D31" i="36"/>
  <c r="D21" i="36"/>
  <c r="D9" i="36"/>
  <c r="D18" i="36"/>
  <c r="D19" i="36"/>
  <c r="D6" i="36"/>
  <c r="D12" i="36"/>
  <c r="D17" i="36"/>
  <c r="D20" i="36"/>
  <c r="G34" i="38"/>
  <c r="I3" i="38" s="1"/>
  <c r="G34" i="36"/>
  <c r="I14" i="36" s="1"/>
  <c r="D10" i="36"/>
  <c r="D28" i="36"/>
  <c r="D27" i="36"/>
  <c r="D7" i="36"/>
  <c r="D30" i="36"/>
  <c r="D29" i="36"/>
  <c r="D33" i="36"/>
  <c r="F34" i="38"/>
  <c r="H3" i="38" s="1"/>
  <c r="C34" i="38"/>
  <c r="E3" i="38" s="1"/>
  <c r="C34" i="36"/>
  <c r="E18" i="36" s="1"/>
  <c r="D19" i="38"/>
  <c r="D25" i="38"/>
  <c r="D14" i="38"/>
  <c r="D30" i="38"/>
  <c r="D9" i="38"/>
  <c r="D10" i="38"/>
  <c r="D5" i="38"/>
  <c r="D28" i="38"/>
  <c r="D31" i="38"/>
  <c r="D27" i="38"/>
  <c r="D7" i="38"/>
  <c r="D32" i="38"/>
  <c r="D15" i="38"/>
  <c r="D16" i="38"/>
  <c r="D17" i="38"/>
  <c r="D8" i="38"/>
  <c r="D33" i="38"/>
  <c r="D11" i="38"/>
  <c r="D29" i="38"/>
  <c r="D24" i="38"/>
  <c r="D23" i="38"/>
  <c r="D12" i="38"/>
  <c r="D26" i="38"/>
  <c r="D22" i="38"/>
  <c r="D20" i="38"/>
  <c r="D13" i="38"/>
  <c r="D4" i="38"/>
  <c r="D6" i="38"/>
  <c r="D18" i="38"/>
  <c r="D21" i="38"/>
  <c r="I19" i="36" l="1"/>
  <c r="I25" i="36"/>
  <c r="I17" i="36"/>
  <c r="I6" i="36"/>
  <c r="I32" i="36"/>
  <c r="I13" i="38"/>
  <c r="I13" i="36"/>
  <c r="I4" i="36"/>
  <c r="I12" i="36"/>
  <c r="I4" i="38"/>
  <c r="I8" i="36"/>
  <c r="I29" i="36"/>
  <c r="I33" i="36"/>
  <c r="I30" i="36"/>
  <c r="I28" i="36"/>
  <c r="I23" i="36"/>
  <c r="I16" i="36"/>
  <c r="I5" i="36"/>
  <c r="I21" i="36"/>
  <c r="I24" i="36"/>
  <c r="I15" i="36"/>
  <c r="I18" i="36"/>
  <c r="I10" i="36"/>
  <c r="I27" i="36"/>
  <c r="I3" i="36"/>
  <c r="I26" i="36"/>
  <c r="I31" i="36"/>
  <c r="I22" i="36"/>
  <c r="I7" i="36"/>
  <c r="I20" i="36"/>
  <c r="I11" i="36"/>
  <c r="I9" i="36"/>
  <c r="I20" i="38"/>
  <c r="I12" i="38"/>
  <c r="I5" i="38"/>
  <c r="I30" i="38"/>
  <c r="I6" i="38"/>
  <c r="I22" i="38"/>
  <c r="I14" i="38"/>
  <c r="I17" i="38"/>
  <c r="I28" i="38"/>
  <c r="I33" i="38"/>
  <c r="I19" i="38"/>
  <c r="I32" i="38"/>
  <c r="I8" i="38"/>
  <c r="I15" i="38"/>
  <c r="I23" i="38"/>
  <c r="I10" i="38"/>
  <c r="I25" i="38"/>
  <c r="I7" i="38"/>
  <c r="I26" i="38"/>
  <c r="I16" i="38"/>
  <c r="I11" i="38"/>
  <c r="I31" i="38"/>
  <c r="I9" i="38"/>
  <c r="I18" i="38"/>
  <c r="I29" i="38"/>
  <c r="I24" i="38"/>
  <c r="I27" i="38"/>
  <c r="I21" i="38"/>
  <c r="H30" i="38"/>
  <c r="E11" i="38"/>
  <c r="E12" i="38"/>
  <c r="E5" i="38"/>
  <c r="E4" i="38"/>
  <c r="H24" i="38"/>
  <c r="H4" i="38"/>
  <c r="H17" i="38"/>
  <c r="D34" i="36"/>
  <c r="E25" i="38"/>
  <c r="E6" i="38"/>
  <c r="E27" i="38"/>
  <c r="E17" i="38"/>
  <c r="H32" i="38"/>
  <c r="E7" i="38"/>
  <c r="E23" i="38"/>
  <c r="E22" i="38"/>
  <c r="E26" i="38"/>
  <c r="H22" i="38"/>
  <c r="H28" i="38"/>
  <c r="E20" i="38"/>
  <c r="E32" i="38"/>
  <c r="E28" i="38"/>
  <c r="E10" i="38"/>
  <c r="H6" i="38"/>
  <c r="H8" i="38"/>
  <c r="H27" i="38"/>
  <c r="H16" i="38"/>
  <c r="H12" i="38"/>
  <c r="H33" i="38"/>
  <c r="H23" i="38"/>
  <c r="H29" i="38"/>
  <c r="H25" i="38"/>
  <c r="H10" i="38"/>
  <c r="H26" i="38"/>
  <c r="H9" i="38"/>
  <c r="H15" i="38"/>
  <c r="H13" i="38"/>
  <c r="H14" i="38"/>
  <c r="H11" i="38"/>
  <c r="H5" i="38"/>
  <c r="H21" i="38"/>
  <c r="H31" i="38"/>
  <c r="H18" i="38"/>
  <c r="H20" i="38"/>
  <c r="H7" i="38"/>
  <c r="H19" i="38"/>
  <c r="E31" i="38"/>
  <c r="E8" i="38"/>
  <c r="E33" i="38"/>
  <c r="E15" i="38"/>
  <c r="E30" i="38"/>
  <c r="E9" i="38"/>
  <c r="E19" i="38"/>
  <c r="E16" i="38"/>
  <c r="E14" i="38"/>
  <c r="E29" i="38"/>
  <c r="E13" i="38"/>
  <c r="E18" i="38"/>
  <c r="E21" i="38"/>
  <c r="E24" i="38"/>
  <c r="E8" i="36"/>
  <c r="E30" i="36"/>
  <c r="E31" i="36"/>
  <c r="E22" i="36"/>
  <c r="E28" i="36"/>
  <c r="E14" i="36"/>
  <c r="E16" i="36"/>
  <c r="E10" i="36"/>
  <c r="E20" i="36"/>
  <c r="E23" i="36"/>
  <c r="E32" i="36"/>
  <c r="E26" i="36"/>
  <c r="E27" i="36"/>
  <c r="E15" i="36"/>
  <c r="E25" i="36"/>
  <c r="E5" i="36"/>
  <c r="E6" i="36"/>
  <c r="E3" i="36"/>
  <c r="E29" i="36"/>
  <c r="E13" i="36"/>
  <c r="E17" i="36"/>
  <c r="E19" i="36"/>
  <c r="E33" i="36"/>
  <c r="E9" i="36"/>
  <c r="E21" i="36"/>
  <c r="E24" i="36"/>
  <c r="E11" i="36"/>
  <c r="H22" i="36"/>
  <c r="H14" i="36"/>
  <c r="H11" i="36"/>
  <c r="H24" i="36"/>
  <c r="H27" i="36"/>
  <c r="H31" i="36"/>
  <c r="H20" i="36"/>
  <c r="H6" i="36"/>
  <c r="H10" i="36"/>
  <c r="H13" i="36"/>
  <c r="H25" i="36"/>
  <c r="H28" i="36"/>
  <c r="H23" i="36"/>
  <c r="H12" i="36"/>
  <c r="H18" i="36"/>
  <c r="H17" i="36"/>
  <c r="H26" i="36"/>
  <c r="H29" i="36"/>
  <c r="H33" i="36"/>
  <c r="H32" i="36"/>
  <c r="H19" i="36"/>
  <c r="H15" i="36"/>
  <c r="H30" i="36"/>
  <c r="H16" i="36"/>
  <c r="E7" i="36"/>
  <c r="H8" i="36"/>
  <c r="H7" i="36"/>
  <c r="H5" i="36"/>
  <c r="H9" i="36"/>
  <c r="E12" i="36"/>
  <c r="H21" i="36"/>
  <c r="D34" i="38"/>
  <c r="I34" i="36" l="1"/>
  <c r="H34" i="38"/>
  <c r="C43" i="38"/>
  <c r="C42" i="38"/>
  <c r="I34" i="38"/>
  <c r="E34" i="38"/>
  <c r="H34" i="36"/>
  <c r="E34" i="36"/>
  <c r="AP30" i="38" l="1"/>
  <c r="AW35" i="38"/>
  <c r="AT32" i="38"/>
  <c r="AR25" i="38"/>
  <c r="AW26" i="38"/>
  <c r="AQ31" i="38"/>
  <c r="AY28" i="38"/>
  <c r="AS34" i="38"/>
  <c r="AQ34" i="38"/>
  <c r="AS25" i="38"/>
  <c r="AX29" i="38"/>
  <c r="AQ25" i="38"/>
  <c r="AU30" i="38"/>
  <c r="AR34" i="38"/>
  <c r="AW33" i="38"/>
  <c r="AV31" i="38"/>
  <c r="AS35" i="38"/>
  <c r="AZ29" i="38"/>
  <c r="AR33" i="38"/>
  <c r="AY35" i="38"/>
  <c r="AU29" i="38"/>
  <c r="AY32" i="38"/>
  <c r="AX25" i="38"/>
  <c r="AV34" i="38"/>
  <c r="AR26" i="38"/>
  <c r="AZ30" i="38"/>
  <c r="AV28" i="38"/>
  <c r="AS31" i="38"/>
  <c r="AQ33" i="38"/>
  <c r="AP27" i="38"/>
  <c r="AZ35" i="38"/>
  <c r="AQ30" i="38"/>
  <c r="AW29" i="38"/>
  <c r="AV33" i="38"/>
  <c r="AU33" i="38"/>
  <c r="AZ25" i="38"/>
  <c r="AY30" i="38"/>
  <c r="AQ28" i="38"/>
  <c r="AU34" i="38"/>
  <c r="AW28" i="38"/>
  <c r="AP34" i="38"/>
  <c r="AR28" i="38"/>
  <c r="AW30" i="38"/>
  <c r="AV30" i="38"/>
  <c r="AW34" i="38"/>
  <c r="AY25" i="38"/>
  <c r="AR32" i="38"/>
  <c r="AY29" i="38"/>
  <c r="AX34" i="38"/>
  <c r="AS33" i="38"/>
  <c r="AU26" i="38"/>
  <c r="AZ34" i="38"/>
  <c r="AP29" i="38"/>
  <c r="AT34" i="38"/>
  <c r="AT31" i="38"/>
  <c r="AT35" i="38"/>
  <c r="AR31" i="38"/>
  <c r="AX30" i="38"/>
  <c r="AZ33" i="38"/>
  <c r="AU35" i="38"/>
  <c r="AP28" i="38"/>
  <c r="AQ35" i="38"/>
  <c r="AY33" i="38"/>
  <c r="AX28" i="38"/>
  <c r="AS30" i="38"/>
  <c r="AR35" i="38"/>
  <c r="AT33" i="38"/>
  <c r="AV27" i="38"/>
  <c r="AZ32" i="38"/>
  <c r="AQ27" i="38"/>
  <c r="AU28" i="38"/>
  <c r="AT28" i="38"/>
  <c r="AU32" i="38"/>
  <c r="AS27" i="38"/>
  <c r="AS28" i="38"/>
  <c r="AY27" i="38"/>
  <c r="AX32" i="38"/>
  <c r="AZ31" i="38"/>
  <c r="AQ26" i="38"/>
  <c r="AU31" i="38"/>
  <c r="AW25" i="38"/>
  <c r="AV25" i="38"/>
  <c r="AU25" i="38"/>
  <c r="AV29" i="38"/>
  <c r="AV35" i="38"/>
  <c r="AT25" i="38"/>
  <c r="AT26" i="38"/>
  <c r="AZ26" i="38"/>
  <c r="AR30" i="38"/>
  <c r="AP33" i="38"/>
  <c r="AR27" i="38"/>
  <c r="AV32" i="38"/>
  <c r="AX26" i="38"/>
  <c r="AX27" i="38"/>
  <c r="AW27" i="38"/>
  <c r="AX31" i="38"/>
  <c r="AW32" i="38"/>
  <c r="AS29" i="38"/>
  <c r="AP31" i="38"/>
  <c r="AZ28" i="38"/>
  <c r="AU27" i="38"/>
  <c r="AY31" i="38"/>
  <c r="AP35" i="38"/>
  <c r="AW31" i="38"/>
  <c r="AY26" i="38"/>
  <c r="AX35" i="38"/>
  <c r="AV26" i="38"/>
  <c r="AT29" i="38"/>
  <c r="AP32" i="38"/>
  <c r="AZ27" i="38"/>
  <c r="AQ29" i="38"/>
  <c r="AS32" i="38"/>
  <c r="AS26" i="38"/>
  <c r="AT27" i="38"/>
  <c r="AP25" i="38"/>
  <c r="AQ32" i="38"/>
  <c r="AX33" i="38"/>
  <c r="AR29" i="38"/>
  <c r="AY34" i="38"/>
  <c r="AP26" i="38"/>
  <c r="AT30" i="38"/>
  <c r="AL24" i="36"/>
  <c r="AK30" i="36"/>
  <c r="AP24" i="36"/>
  <c r="AO30" i="36"/>
  <c r="AS26" i="36"/>
  <c r="AI25" i="36"/>
  <c r="AS30" i="36"/>
  <c r="AM28" i="36"/>
  <c r="AK31" i="36"/>
  <c r="AS24" i="36"/>
  <c r="AS28" i="36"/>
  <c r="AL23" i="36"/>
  <c r="AM31" i="36"/>
  <c r="AN25" i="36"/>
  <c r="AS32" i="36"/>
  <c r="AK23" i="36"/>
  <c r="AN30" i="36"/>
  <c r="AJ36" i="36"/>
  <c r="AN26" i="36"/>
  <c r="AR33" i="36"/>
  <c r="AP26" i="36"/>
  <c r="AP29" i="36"/>
  <c r="AJ32" i="36"/>
  <c r="AQ24" i="36"/>
  <c r="AP30" i="36"/>
  <c r="AL29" i="36"/>
  <c r="AJ30" i="36"/>
  <c r="AL30" i="36"/>
  <c r="AM26" i="36"/>
  <c r="AK27" i="36"/>
  <c r="AQ25" i="36"/>
  <c r="AP31" i="36"/>
  <c r="AK26" i="36"/>
  <c r="AI32" i="36"/>
  <c r="AR29" i="36"/>
  <c r="AO26" i="36"/>
  <c r="AM32" i="36"/>
  <c r="AL31" i="36"/>
  <c r="AQ29" i="36"/>
  <c r="AM33" i="36"/>
  <c r="AN27" i="36"/>
  <c r="AO23" i="36"/>
  <c r="AS29" i="36"/>
  <c r="AR30" i="36"/>
  <c r="AI30" i="36"/>
  <c r="AN32" i="36"/>
  <c r="AK24" i="36"/>
  <c r="AQ33" i="36"/>
  <c r="AN31" i="36"/>
  <c r="AJ23" i="36"/>
  <c r="AI29" i="36"/>
  <c r="AK25" i="36"/>
  <c r="AK29" i="36"/>
  <c r="AS31" i="36"/>
  <c r="AL33" i="36"/>
  <c r="AP23" i="36"/>
  <c r="AJ26" i="36"/>
  <c r="AM24" i="36"/>
  <c r="AR23" i="36"/>
  <c r="AQ30" i="36"/>
  <c r="AL27" i="36"/>
  <c r="AK33" i="36"/>
  <c r="AP27" i="36"/>
  <c r="AO33" i="36"/>
  <c r="AI28" i="36"/>
  <c r="AS33" i="36"/>
  <c r="AM23" i="36"/>
  <c r="AL28" i="36"/>
  <c r="AR31" i="36"/>
  <c r="AS25" i="36"/>
  <c r="AN23" i="36"/>
  <c r="AN28" i="36"/>
  <c r="AS27" i="36"/>
  <c r="AJ27" i="36"/>
  <c r="AJ28" i="36"/>
  <c r="AJ31" i="36"/>
  <c r="AL32" i="36"/>
  <c r="AO28" i="36"/>
  <c r="AI31" i="36"/>
  <c r="AP25" i="36"/>
  <c r="AN33" i="36"/>
  <c r="AQ27" i="36"/>
  <c r="AO27" i="36"/>
  <c r="AO31" i="36"/>
  <c r="AQ31" i="36"/>
  <c r="AR27" i="36"/>
  <c r="AP28" i="36"/>
  <c r="AR28" i="36"/>
  <c r="AR24" i="36"/>
  <c r="AI24" i="36"/>
  <c r="AQ28" i="36"/>
  <c r="AQ23" i="36"/>
  <c r="AJ29" i="36"/>
  <c r="AM25" i="36"/>
  <c r="AI26" i="36"/>
  <c r="AN29" i="36"/>
  <c r="AS23" i="36"/>
  <c r="AP32" i="36"/>
  <c r="AR26" i="36"/>
  <c r="AN24" i="36"/>
  <c r="AR32" i="36"/>
  <c r="AI27" i="36"/>
  <c r="AO24" i="36"/>
  <c r="AJ24" i="36"/>
  <c r="AJ25" i="36"/>
  <c r="AK28" i="36"/>
  <c r="AM29" i="36"/>
  <c r="AO25" i="36"/>
  <c r="AO29" i="36"/>
  <c r="AP33" i="36"/>
  <c r="AQ26" i="36"/>
  <c r="AR25" i="36"/>
  <c r="AJ33" i="36"/>
  <c r="AI33" i="36"/>
  <c r="AQ32" i="36"/>
  <c r="AM30" i="36"/>
  <c r="AO32" i="36"/>
  <c r="AL26" i="36"/>
  <c r="AL25" i="36"/>
  <c r="AK32" i="36"/>
  <c r="AM27" i="36"/>
  <c r="O4" i="36" l="1"/>
  <c r="AJ47" i="36"/>
  <c r="AJ41" i="36"/>
  <c r="AJ42" i="36"/>
  <c r="AJ39" i="36"/>
  <c r="AJ44" i="36"/>
  <c r="AJ46" i="36"/>
  <c r="AJ40" i="36"/>
  <c r="AJ48" i="36"/>
  <c r="AJ37" i="36"/>
  <c r="AJ45" i="36"/>
  <c r="AJ38" i="36"/>
  <c r="AJ43" i="36"/>
  <c r="D42" i="38"/>
  <c r="D43" i="38"/>
  <c r="O5" i="36"/>
  <c r="AH42" i="36" l="1"/>
  <c r="Z4" i="36"/>
  <c r="AJ49" i="36"/>
  <c r="AH43" i="36" s="1"/>
  <c r="Y5" i="36"/>
  <c r="Z5" i="36" s="1"/>
  <c r="W4" i="36"/>
  <c r="W5" i="36"/>
  <c r="L42" i="38"/>
  <c r="M42" i="38" s="1"/>
  <c r="N42" i="38" s="1"/>
  <c r="K42" i="38"/>
  <c r="E43" i="38"/>
  <c r="L43" i="38"/>
  <c r="E42" i="38"/>
  <c r="K43" i="38"/>
  <c r="M43" i="38" l="1"/>
  <c r="N43" i="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176027-F194-4F9B-A9CA-98AD8FA8B375}" keepAlive="1" name="Query - Away Even Strength Practice" description="Connection to the 'Away Even Strength Practice' query in the workbook." type="5" refreshedVersion="6" background="1" saveData="1">
    <dbPr connection="Provider=Microsoft.Mashup.OleDb.1;Data Source=$Workbook$;Location=&quot;Away Even Strength Practice&quot;;Extended Properties=&quot;&quot;" command="SELECT * FROM [Away Even Strength Practice]"/>
  </connection>
  <connection id="2" xr16:uid="{232E85EE-8A04-4B4A-AB88-C3FDEA50C4C6}" keepAlive="1" name="Query - Away Penalty Kill" description="Connection to the 'Away Penalty Kill' query in the workbook." type="5" refreshedVersion="6" background="1" saveData="1">
    <dbPr connection="Provider=Microsoft.Mashup.OleDb.1;Data Source=$Workbook$;Location=&quot;Away Penalty Kill&quot;;Extended Properties=&quot;&quot;" command="SELECT * FROM [Away Penalty Kill]"/>
  </connection>
  <connection id="3" xr16:uid="{DCA8EF8A-D89B-41F4-B0B5-CAA4B9A2EB6A}" keepAlive="1" name="Query - Away Power Play Practice" description="Connection to the 'Away Power Play Practice' query in the workbook." type="5" refreshedVersion="6" background="1" saveData="1">
    <dbPr connection="Provider=Microsoft.Mashup.OleDb.1;Data Source=$Workbook$;Location=&quot;Away Power Play Practice&quot;;Extended Properties=&quot;&quot;" command="SELECT * FROM [Away Power Play Practice]"/>
  </connection>
  <connection id="4" xr16:uid="{6B792C92-733A-43FF-BEF8-9C1B2B3CDED2}" keepAlive="1" name="Query - Home Even Strength Practice" description="Connection to the 'Home Even Strength Practice' query in the workbook." type="5" refreshedVersion="6" background="1" saveData="1">
    <dbPr connection="Provider=Microsoft.Mashup.OleDb.1;Data Source=$Workbook$;Location=&quot;Home Even Strength Practice&quot;;Extended Properties=&quot;&quot;" command="SELECT * FROM [Home Even Strength Practice]"/>
  </connection>
  <connection id="5" xr16:uid="{C4ADECCB-8B7B-42BD-8E12-29369F8B703B}" keepAlive="1" name="Query - Home Penalty Kill" description="Connection to the 'Home Penalty Kill' query in the workbook." type="5" refreshedVersion="6" background="1" saveData="1">
    <dbPr connection="Provider=Microsoft.Mashup.OleDb.1;Data Source=$Workbook$;Location=&quot;Home Penalty Kill&quot;;Extended Properties=&quot;&quot;" command="SELECT * FROM [Home Penalty Kill]"/>
  </connection>
  <connection id="6" xr16:uid="{0415B7D1-C11E-4C73-87BF-DBD25EE8B494}" keepAlive="1" name="Query - Home Power Play Practice" description="Connection to the 'Home Power Play Practice' query in the workbook." type="5" refreshedVersion="6" background="1" saveData="1">
    <dbPr connection="Provider=Microsoft.Mashup.OleDb.1;Data Source=$Workbook$;Location=&quot;Home Power Play Practice&quot;;Extended Properties=&quot;&quot;" command="SELECT * FROM [Home Power Play Practice]"/>
  </connection>
  <connection id="7" xr16:uid="{72E1BC2C-C64F-4A1B-B0DA-EF38DF533B4E}" keepAlive="1" name="Query - Table 0" description="Connection to the 'Table 0' query in the workbook." type="5" refreshedVersion="6" background="1">
    <dbPr connection="Provider=Microsoft.Mashup.OleDb.1;Data Source=$Workbook$;Location=&quot;Table 0&quot;;Extended Properties=&quot;&quot;" command="SELECT * FROM [Table 0]"/>
  </connection>
  <connection id="8" xr16:uid="{1386E3D5-1EC5-4BA0-A1C7-A3217EA1AC98}" keepAlive="1" name="Query - Table 0 (2)" description="Connection to the 'Table 0 (2)' query in the workbook." type="5" refreshedVersion="6" background="1" saveData="1">
    <dbPr connection="Provider=Microsoft.Mashup.OleDb.1;Data Source=$Workbook$;Location=&quot;Table 0 (2)&quot;;Extended Properties=&quot;&quot;" command="SELECT * FROM [Table 0 (2)]"/>
  </connection>
  <connection id="9" xr16:uid="{A92EC178-3D0B-465F-84F2-E47C5EA79F4C}" keepAlive="1" name="Query - Table 0 (3)" description="Connection to the 'Table 0 (3)' query in the workbook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<sst xmlns="http://schemas.openxmlformats.org/spreadsheetml/2006/main" count="8221" uniqueCount="395">
  <si>
    <t>Team</t>
  </si>
  <si>
    <t>GP</t>
  </si>
  <si>
    <t>W</t>
  </si>
  <si>
    <t>L</t>
  </si>
  <si>
    <t>OTL</t>
  </si>
  <si>
    <t>ROW</t>
  </si>
  <si>
    <t>Points</t>
  </si>
  <si>
    <t>Point %</t>
  </si>
  <si>
    <t>CF%</t>
  </si>
  <si>
    <t>FF%</t>
  </si>
  <si>
    <t>SF%</t>
  </si>
  <si>
    <t>GF%</t>
  </si>
  <si>
    <t>xGF</t>
  </si>
  <si>
    <t>xGA</t>
  </si>
  <si>
    <t>xGF%</t>
  </si>
  <si>
    <t>SCF%</t>
  </si>
  <si>
    <t>SCSF%</t>
  </si>
  <si>
    <t>SCGF%</t>
  </si>
  <si>
    <t>SCSH%</t>
  </si>
  <si>
    <t>SCSV%</t>
  </si>
  <si>
    <t>HDCF%</t>
  </si>
  <si>
    <t>HDSF%</t>
  </si>
  <si>
    <t>HDGF%</t>
  </si>
  <si>
    <t>HDSH%</t>
  </si>
  <si>
    <t>HDSV%</t>
  </si>
  <si>
    <t>MDCF%</t>
  </si>
  <si>
    <t>MDSF%</t>
  </si>
  <si>
    <t>MDGF%</t>
  </si>
  <si>
    <t>MDSH%</t>
  </si>
  <si>
    <t>MDSV%</t>
  </si>
  <si>
    <t>LDCF%</t>
  </si>
  <si>
    <t>LDSF%</t>
  </si>
  <si>
    <t>LDGF%</t>
  </si>
  <si>
    <t>LDSH%</t>
  </si>
  <si>
    <t>LDSV%</t>
  </si>
  <si>
    <t>SH%</t>
  </si>
  <si>
    <t>SV%</t>
  </si>
  <si>
    <t>PDO</t>
  </si>
  <si>
    <t>Anaheim Ducks</t>
  </si>
  <si>
    <t>Arizona Coyotes</t>
  </si>
  <si>
    <t>Boston Bruins</t>
  </si>
  <si>
    <t>Buffalo Sabres</t>
  </si>
  <si>
    <t>Carolina Hurricanes</t>
  </si>
  <si>
    <t>Columbus Blue Jackets</t>
  </si>
  <si>
    <t>Calgary Flames</t>
  </si>
  <si>
    <t>Chicago Blackhawks</t>
  </si>
  <si>
    <t>Colorado Avalanche</t>
  </si>
  <si>
    <t>Dallas Stars</t>
  </si>
  <si>
    <t>Detroit Red Wings</t>
  </si>
  <si>
    <t>Edmonton Oilers</t>
  </si>
  <si>
    <t>Florida Panthers</t>
  </si>
  <si>
    <t>Los Angeles Kings</t>
  </si>
  <si>
    <t>Minnesota Wild</t>
  </si>
  <si>
    <t>Montreal Canadiens</t>
  </si>
  <si>
    <t>New Jersey Devils</t>
  </si>
  <si>
    <t>Nashville Predators</t>
  </si>
  <si>
    <t>New York Islanders</t>
  </si>
  <si>
    <t>New York Rangers</t>
  </si>
  <si>
    <t>Ottawa Senators</t>
  </si>
  <si>
    <t>Philadelphia Flyers</t>
  </si>
  <si>
    <t>Pittsburgh Penguins</t>
  </si>
  <si>
    <t>San Jose Sharks</t>
  </si>
  <si>
    <t>St Louis Blues</t>
  </si>
  <si>
    <t>Tampa Bay Lightning</t>
  </si>
  <si>
    <t>Toronto Maple Leafs</t>
  </si>
  <si>
    <t>Vancouver Canucks</t>
  </si>
  <si>
    <t>Winnipeg Jets</t>
  </si>
  <si>
    <t>Washington Capitals</t>
  </si>
  <si>
    <t>Vegas Golden Knights</t>
  </si>
  <si>
    <t>Total</t>
  </si>
  <si>
    <t>Intercept</t>
  </si>
  <si>
    <t>SA/60</t>
  </si>
  <si>
    <t>HDSA/60</t>
  </si>
  <si>
    <t>HDGA/60</t>
  </si>
  <si>
    <t>MDGA/60</t>
  </si>
  <si>
    <t>LDSA/60</t>
  </si>
  <si>
    <t>LDGA/60</t>
  </si>
  <si>
    <t>MDSA/60</t>
  </si>
  <si>
    <t>HOME TEAM DATA</t>
  </si>
  <si>
    <t>Column1</t>
  </si>
  <si>
    <t>EVEN STRENGTH GOALS AGAINST</t>
  </si>
  <si>
    <t>TEAM</t>
  </si>
  <si>
    <t>Projected GAPG</t>
  </si>
  <si>
    <t xml:space="preserve">Coefficients </t>
  </si>
  <si>
    <t>SHORT HANDED GOALS AGAINST</t>
  </si>
  <si>
    <t>-</t>
  </si>
  <si>
    <t>EVEN STRENGTH GOALS FOR</t>
  </si>
  <si>
    <t>Home Team Even Strength</t>
  </si>
  <si>
    <t>Away Team Even Strength</t>
  </si>
  <si>
    <t>AWAY TEAM DATA</t>
  </si>
  <si>
    <t>TOI/GP</t>
  </si>
  <si>
    <t>CF/60</t>
  </si>
  <si>
    <t>CA/60</t>
  </si>
  <si>
    <t>FF/60</t>
  </si>
  <si>
    <t>FA/60</t>
  </si>
  <si>
    <t>SF/60</t>
  </si>
  <si>
    <t>GF/60</t>
  </si>
  <si>
    <t>GA/60</t>
  </si>
  <si>
    <t>xGF/60</t>
  </si>
  <si>
    <t>xGA/60</t>
  </si>
  <si>
    <t>SCF/60</t>
  </si>
  <si>
    <t>SCA/60</t>
  </si>
  <si>
    <t>SCSF/60</t>
  </si>
  <si>
    <t>SCSA/60</t>
  </si>
  <si>
    <t>SCGF/60</t>
  </si>
  <si>
    <t>SCGA/60</t>
  </si>
  <si>
    <t>HDCF/60</t>
  </si>
  <si>
    <t>HDCA/60</t>
  </si>
  <si>
    <t>HDSF/60</t>
  </si>
  <si>
    <t>HDGF/60</t>
  </si>
  <si>
    <t>MDCF/60</t>
  </si>
  <si>
    <t>MDCA/60</t>
  </si>
  <si>
    <t>MDSF/60</t>
  </si>
  <si>
    <t>MDGF/60</t>
  </si>
  <si>
    <t>LDCF/60</t>
  </si>
  <si>
    <t>LDCA/60</t>
  </si>
  <si>
    <t>LDSF/60</t>
  </si>
  <si>
    <t>LDGF/60</t>
  </si>
  <si>
    <t>Home Power Play</t>
  </si>
  <si>
    <t>TOI Factor</t>
  </si>
  <si>
    <t>Away Power Play</t>
  </si>
  <si>
    <t>Away Penalty Kill</t>
  </si>
  <si>
    <t>Home Penalty Kill</t>
  </si>
  <si>
    <t>Power Play</t>
  </si>
  <si>
    <t xml:space="preserve">TOI/60 </t>
  </si>
  <si>
    <t>TOI/60</t>
  </si>
  <si>
    <t>HOME PENALTY KILL</t>
  </si>
  <si>
    <t>AWAY PENALTY KILL</t>
  </si>
  <si>
    <t>Home</t>
  </si>
  <si>
    <t>Attacking Strength</t>
  </si>
  <si>
    <t>Defensive Strength</t>
  </si>
  <si>
    <t>Away</t>
  </si>
  <si>
    <t>Teams</t>
  </si>
  <si>
    <t>Home Team</t>
  </si>
  <si>
    <t>Away Team</t>
  </si>
  <si>
    <t>Win %</t>
  </si>
  <si>
    <t>Yellow - Input</t>
  </si>
  <si>
    <t>Expected Goals</t>
  </si>
  <si>
    <t>Poisson</t>
  </si>
  <si>
    <t>My Odds</t>
  </si>
  <si>
    <t>Bookmaker</t>
  </si>
  <si>
    <t>Odds</t>
  </si>
  <si>
    <t>Total Projection</t>
  </si>
  <si>
    <t>My Total</t>
  </si>
  <si>
    <t>Difference</t>
  </si>
  <si>
    <t>ML Value</t>
  </si>
  <si>
    <t>My Model</t>
  </si>
  <si>
    <t>Date</t>
  </si>
  <si>
    <t>VH</t>
  </si>
  <si>
    <t>Final</t>
  </si>
  <si>
    <t>Close</t>
  </si>
  <si>
    <t>V</t>
  </si>
  <si>
    <t>Ottawa</t>
  </si>
  <si>
    <t>H</t>
  </si>
  <si>
    <t>Toronto</t>
  </si>
  <si>
    <t>Washington</t>
  </si>
  <si>
    <t>St.Louis</t>
  </si>
  <si>
    <t>Vancouver</t>
  </si>
  <si>
    <t>Edmonton</t>
  </si>
  <si>
    <t>SanJose</t>
  </si>
  <si>
    <t>Vegas</t>
  </si>
  <si>
    <t>Florida</t>
  </si>
  <si>
    <t>TampaBay</t>
  </si>
  <si>
    <t>Montreal</t>
  </si>
  <si>
    <t>Carolina</t>
  </si>
  <si>
    <t>Winnipeg</t>
  </si>
  <si>
    <t>NYRangers</t>
  </si>
  <si>
    <t>Buffalo</t>
  </si>
  <si>
    <t>Pittsburgh</t>
  </si>
  <si>
    <t>Minnesota</t>
  </si>
  <si>
    <t>Nashville</t>
  </si>
  <si>
    <t>Boston</t>
  </si>
  <si>
    <t>Dallas</t>
  </si>
  <si>
    <t>Calgary</t>
  </si>
  <si>
    <t>Colorado</t>
  </si>
  <si>
    <t>Arizona</t>
  </si>
  <si>
    <t>Anaheim</t>
  </si>
  <si>
    <t>Chicago</t>
  </si>
  <si>
    <t>Philadelphia</t>
  </si>
  <si>
    <t>Columbus</t>
  </si>
  <si>
    <t>NYIslanders</t>
  </si>
  <si>
    <t>NewJersey</t>
  </si>
  <si>
    <t>Detroit</t>
  </si>
  <si>
    <t>LosAngeles</t>
  </si>
  <si>
    <t>Arizonas</t>
  </si>
  <si>
    <t>ML</t>
  </si>
  <si>
    <t>Bankroll</t>
  </si>
  <si>
    <t>Kelly</t>
  </si>
  <si>
    <t xml:space="preserve">Kelly Bet </t>
  </si>
  <si>
    <t>Expected Value</t>
  </si>
  <si>
    <t>Consensus</t>
  </si>
  <si>
    <t>Consenus</t>
  </si>
  <si>
    <t>BET</t>
  </si>
  <si>
    <t/>
  </si>
  <si>
    <t>Profit</t>
  </si>
  <si>
    <t>No BET</t>
  </si>
  <si>
    <t>Profit check</t>
  </si>
  <si>
    <t>ifprofit</t>
  </si>
  <si>
    <t>Normal</t>
  </si>
  <si>
    <t>Constraint</t>
  </si>
  <si>
    <t>Actual Bet</t>
  </si>
  <si>
    <t>Kelly Bet</t>
  </si>
  <si>
    <t>Expected</t>
  </si>
  <si>
    <t>*Juiced</t>
  </si>
  <si>
    <t>ADJ Model</t>
  </si>
  <si>
    <t>Convert</t>
  </si>
  <si>
    <t>input</t>
  </si>
  <si>
    <t>bet</t>
  </si>
  <si>
    <t>Model</t>
  </si>
  <si>
    <t>Actual</t>
  </si>
  <si>
    <t>B</t>
  </si>
  <si>
    <t>Dollar</t>
  </si>
  <si>
    <t xml:space="preserve">Percent </t>
  </si>
  <si>
    <t>A</t>
  </si>
  <si>
    <t>Away Favorite</t>
  </si>
  <si>
    <t>HOME EVEN STRENGTH</t>
  </si>
  <si>
    <t>AWAY EVEN STRENGTH</t>
  </si>
  <si>
    <t>66.67</t>
  </si>
  <si>
    <t>50.00</t>
  </si>
  <si>
    <t>0.00</t>
  </si>
  <si>
    <t>75.00</t>
  </si>
  <si>
    <t>88.89</t>
  </si>
  <si>
    <t>85.71</t>
  </si>
  <si>
    <t>100.00</t>
  </si>
  <si>
    <t>87.50</t>
  </si>
  <si>
    <t>80.00</t>
  </si>
  <si>
    <t>77.78</t>
  </si>
  <si>
    <t>90.00</t>
  </si>
  <si>
    <t>83.33</t>
  </si>
  <si>
    <t>60.00</t>
  </si>
  <si>
    <t>33.33</t>
  </si>
  <si>
    <t>90.91</t>
  </si>
  <si>
    <t>5:18</t>
  </si>
  <si>
    <t>5:29</t>
  </si>
  <si>
    <t>6:08</t>
  </si>
  <si>
    <t>4:18</t>
  </si>
  <si>
    <t>6:31</t>
  </si>
  <si>
    <t>6:48</t>
  </si>
  <si>
    <t>5:00</t>
  </si>
  <si>
    <t>4:21</t>
  </si>
  <si>
    <t>4:25</t>
  </si>
  <si>
    <t>6:36</t>
  </si>
  <si>
    <t>7:05</t>
  </si>
  <si>
    <t>4:27</t>
  </si>
  <si>
    <t>5:52</t>
  </si>
  <si>
    <t>5:16</t>
  </si>
  <si>
    <t>5:25</t>
  </si>
  <si>
    <t>5:58</t>
  </si>
  <si>
    <t>3:17</t>
  </si>
  <si>
    <t>5:21</t>
  </si>
  <si>
    <t>6:38</t>
  </si>
  <si>
    <t>6:17</t>
  </si>
  <si>
    <t>5:27</t>
  </si>
  <si>
    <t>5:11</t>
  </si>
  <si>
    <t>4:29</t>
  </si>
  <si>
    <t xml:space="preserve">Home Power Play </t>
  </si>
  <si>
    <t xml:space="preserve">Away Power Play </t>
  </si>
  <si>
    <t>6:34</t>
  </si>
  <si>
    <t>5:03</t>
  </si>
  <si>
    <t>5:32</t>
  </si>
  <si>
    <t>5:36</t>
  </si>
  <si>
    <t>5:06</t>
  </si>
  <si>
    <t>7:51</t>
  </si>
  <si>
    <t>7:46</t>
  </si>
  <si>
    <t>5:14</t>
  </si>
  <si>
    <t>5:59</t>
  </si>
  <si>
    <t>71.43</t>
  </si>
  <si>
    <t>5:33</t>
  </si>
  <si>
    <t>6:46</t>
  </si>
  <si>
    <t>6:02</t>
  </si>
  <si>
    <t>4:23</t>
  </si>
  <si>
    <t>3:10</t>
  </si>
  <si>
    <t>4:42</t>
  </si>
  <si>
    <t>5:54</t>
  </si>
  <si>
    <t>6:57</t>
  </si>
  <si>
    <t>5:50</t>
  </si>
  <si>
    <t>5:49</t>
  </si>
  <si>
    <t>11.11</t>
  </si>
  <si>
    <t>5:53</t>
  </si>
  <si>
    <t>4:53</t>
  </si>
  <si>
    <t>5:34</t>
  </si>
  <si>
    <t>25.00</t>
  </si>
  <si>
    <t>20.00</t>
  </si>
  <si>
    <t>5:43</t>
  </si>
  <si>
    <t>6:47</t>
  </si>
  <si>
    <t>4:35</t>
  </si>
  <si>
    <t>8:35</t>
  </si>
  <si>
    <t>7:40</t>
  </si>
  <si>
    <t>16.67</t>
  </si>
  <si>
    <t>3:12</t>
  </si>
  <si>
    <t>6:32</t>
  </si>
  <si>
    <t>4:24</t>
  </si>
  <si>
    <t>6:12</t>
  </si>
  <si>
    <t>14.29</t>
  </si>
  <si>
    <t>6:39</t>
  </si>
  <si>
    <t>5:31</t>
  </si>
  <si>
    <t>6:01</t>
  </si>
  <si>
    <t>8:02</t>
  </si>
  <si>
    <t>4:36</t>
  </si>
  <si>
    <t>6:40</t>
  </si>
  <si>
    <t>4:14</t>
  </si>
  <si>
    <t>6:10</t>
  </si>
  <si>
    <t>12.50</t>
  </si>
  <si>
    <t>5:12</t>
  </si>
  <si>
    <t>4:00</t>
  </si>
  <si>
    <t>6:44</t>
  </si>
  <si>
    <t>7:02</t>
  </si>
  <si>
    <t>27.27</t>
  </si>
  <si>
    <t>8.33</t>
  </si>
  <si>
    <t>4:20</t>
  </si>
  <si>
    <t>6:53</t>
  </si>
  <si>
    <t>4:08</t>
  </si>
  <si>
    <t>5:44</t>
  </si>
  <si>
    <t>9.09</t>
  </si>
  <si>
    <t>7:53</t>
  </si>
  <si>
    <t>6:35</t>
  </si>
  <si>
    <t>4:33</t>
  </si>
  <si>
    <t>5:01</t>
  </si>
  <si>
    <t>5:38</t>
  </si>
  <si>
    <t>3:09</t>
  </si>
  <si>
    <t>5:20</t>
  </si>
  <si>
    <t>6:49</t>
  </si>
  <si>
    <t>5:05</t>
  </si>
  <si>
    <t>6:09</t>
  </si>
  <si>
    <t>5:07</t>
  </si>
  <si>
    <t>53:58</t>
  </si>
  <si>
    <t>47:06</t>
  </si>
  <si>
    <t>50:17</t>
  </si>
  <si>
    <t>56:50</t>
  </si>
  <si>
    <t>51:00</t>
  </si>
  <si>
    <t>51:15</t>
  </si>
  <si>
    <t>48:29</t>
  </si>
  <si>
    <t>52:48</t>
  </si>
  <si>
    <t>48:08</t>
  </si>
  <si>
    <t>49:41</t>
  </si>
  <si>
    <t>52:30</t>
  </si>
  <si>
    <t>50:14</t>
  </si>
  <si>
    <t>50:05</t>
  </si>
  <si>
    <t>50:59</t>
  </si>
  <si>
    <t>49:51</t>
  </si>
  <si>
    <t>51:30</t>
  </si>
  <si>
    <t>51:38</t>
  </si>
  <si>
    <t>52:47</t>
  </si>
  <si>
    <t>50:35</t>
  </si>
  <si>
    <t>51:40</t>
  </si>
  <si>
    <t>50:06</t>
  </si>
  <si>
    <t>51:05</t>
  </si>
  <si>
    <t>52:46</t>
  </si>
  <si>
    <t>49:39</t>
  </si>
  <si>
    <t>53:50</t>
  </si>
  <si>
    <t>50:09</t>
  </si>
  <si>
    <t>51:44</t>
  </si>
  <si>
    <t>5:56</t>
  </si>
  <si>
    <t>5:17</t>
  </si>
  <si>
    <t>6:56</t>
  </si>
  <si>
    <t>7:57</t>
  </si>
  <si>
    <t>4:05</t>
  </si>
  <si>
    <t>7:34</t>
  </si>
  <si>
    <t>6:54</t>
  </si>
  <si>
    <t>4:01</t>
  </si>
  <si>
    <t>5:46</t>
  </si>
  <si>
    <t>6:26</t>
  </si>
  <si>
    <t>3:21</t>
  </si>
  <si>
    <t>6:18</t>
  </si>
  <si>
    <t>51:12</t>
  </si>
  <si>
    <t>51:52</t>
  </si>
  <si>
    <t>52:42</t>
  </si>
  <si>
    <t>50:53</t>
  </si>
  <si>
    <t>49:09</t>
  </si>
  <si>
    <t>53:49</t>
  </si>
  <si>
    <t>49:29</t>
  </si>
  <si>
    <t>52:21</t>
  </si>
  <si>
    <t>49:19</t>
  </si>
  <si>
    <t>51:03</t>
  </si>
  <si>
    <t>50:57</t>
  </si>
  <si>
    <t>53:42</t>
  </si>
  <si>
    <t>51:13</t>
  </si>
  <si>
    <t>46:59</t>
  </si>
  <si>
    <t>51:01</t>
  </si>
  <si>
    <t>49:34</t>
  </si>
  <si>
    <t>54:25</t>
  </si>
  <si>
    <t>49:26</t>
  </si>
  <si>
    <t>51:35</t>
  </si>
  <si>
    <t>49:08</t>
  </si>
  <si>
    <t>52:38</t>
  </si>
  <si>
    <t>49:16</t>
  </si>
  <si>
    <t>48:32</t>
  </si>
  <si>
    <t>50:54</t>
  </si>
  <si>
    <t>49:60</t>
  </si>
  <si>
    <t>51:06</t>
  </si>
  <si>
    <t>52:34</t>
  </si>
  <si>
    <t>51:28</t>
  </si>
  <si>
    <t>Postponed</t>
  </si>
  <si>
    <t>&lt;5</t>
  </si>
  <si>
    <t>&gt;5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</si>
</sst>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400]h:mm:ss\ AM/P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26"/>
      <color theme="9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0" fillId="4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0" xfId="0" applyFill="1"/>
    <xf numFmtId="0" fontId="3" fillId="3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4" fillId="0" borderId="0" xfId="0" applyFont="1"/>
    <xf numFmtId="0" fontId="0" fillId="7" borderId="0" xfId="0" applyFill="1"/>
    <xf numFmtId="0" fontId="3" fillId="7" borderId="0" xfId="0" applyFont="1" applyFill="1"/>
    <xf numFmtId="0" fontId="0" fillId="8" borderId="0" xfId="0" applyFill="1"/>
    <xf numFmtId="0" fontId="0" fillId="9" borderId="0" xfId="0" applyFill="1"/>
    <xf numFmtId="9" fontId="0" fillId="0" borderId="0" xfId="1" applyFont="1"/>
    <xf numFmtId="10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2" fillId="6" borderId="0" xfId="0" applyFont="1" applyFill="1"/>
    <xf numFmtId="0" fontId="2" fillId="2" borderId="0" xfId="0" applyFont="1" applyFill="1"/>
    <xf numFmtId="10" fontId="2" fillId="2" borderId="0" xfId="1" applyNumberFormat="1" applyFont="1" applyFill="1"/>
    <xf numFmtId="0" fontId="2" fillId="6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vertical="center" textRotation="90"/>
    </xf>
    <xf numFmtId="0" fontId="2" fillId="4" borderId="0" xfId="0" applyFont="1" applyFill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10" fontId="2" fillId="6" borderId="0" xfId="1" applyNumberFormat="1" applyFont="1" applyFill="1"/>
    <xf numFmtId="0" fontId="0" fillId="11" borderId="0" xfId="0" applyFill="1"/>
    <xf numFmtId="10" fontId="0" fillId="11" borderId="0" xfId="0" applyNumberFormat="1" applyFill="1"/>
    <xf numFmtId="2" fontId="0" fillId="11" borderId="0" xfId="0" applyNumberForma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2" fontId="0" fillId="0" borderId="0" xfId="0" applyNumberFormat="1"/>
    <xf numFmtId="0" fontId="2" fillId="19" borderId="0" xfId="0" applyFont="1" applyFill="1"/>
    <xf numFmtId="0" fontId="2" fillId="12" borderId="0" xfId="0" applyFont="1" applyFill="1"/>
    <xf numFmtId="0" fontId="2" fillId="9" borderId="0" xfId="0" applyFont="1" applyFill="1"/>
    <xf numFmtId="2" fontId="2" fillId="9" borderId="0" xfId="0" applyNumberFormat="1" applyFont="1" applyFill="1"/>
    <xf numFmtId="0" fontId="5" fillId="20" borderId="0" xfId="0" applyFont="1" applyFill="1"/>
    <xf numFmtId="9" fontId="5" fillId="20" borderId="0" xfId="0" applyNumberFormat="1" applyFont="1" applyFill="1"/>
    <xf numFmtId="2" fontId="0" fillId="16" borderId="0" xfId="0" applyNumberFormat="1" applyFill="1"/>
    <xf numFmtId="10" fontId="0" fillId="16" borderId="0" xfId="0" applyNumberFormat="1" applyFill="1"/>
    <xf numFmtId="44" fontId="5" fillId="20" borderId="0" xfId="2" applyFont="1" applyFill="1"/>
    <xf numFmtId="0" fontId="0" fillId="0" borderId="0" xfId="0" applyAlignment="1">
      <alignment vertical="center"/>
    </xf>
    <xf numFmtId="0" fontId="6" fillId="0" borderId="0" xfId="0" applyFont="1"/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10" fontId="0" fillId="16" borderId="0" xfId="1" applyNumberFormat="1" applyFont="1" applyFill="1"/>
    <xf numFmtId="46" fontId="0" fillId="0" borderId="0" xfId="0" applyNumberFormat="1"/>
    <xf numFmtId="0" fontId="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6" fontId="8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11" fillId="0" borderId="0" xfId="3" applyAlignment="1">
      <alignment horizontal="left" vertical="center" indent="1"/>
    </xf>
    <xf numFmtId="0" fontId="11" fillId="0" borderId="0" xfId="3" applyAlignment="1">
      <alignment horizontal="left" vertical="center" indent="2"/>
    </xf>
    <xf numFmtId="0" fontId="6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/>
    </xf>
    <xf numFmtId="0" fontId="12" fillId="21" borderId="0" xfId="0" applyFont="1" applyFill="1" applyAlignment="1">
      <alignment vertical="center" wrapText="1"/>
    </xf>
    <xf numFmtId="0" fontId="12" fillId="22" borderId="0" xfId="0" applyFont="1" applyFill="1" applyAlignment="1">
      <alignment horizontal="left" vertical="center"/>
    </xf>
    <xf numFmtId="0" fontId="12" fillId="22" borderId="0" xfId="0" applyFont="1" applyFill="1" applyAlignment="1">
      <alignment vertical="center" wrapText="1"/>
    </xf>
    <xf numFmtId="0" fontId="12" fillId="23" borderId="0" xfId="0" applyFont="1" applyFill="1" applyAlignment="1">
      <alignment horizontal="left" vertical="center"/>
    </xf>
    <xf numFmtId="0" fontId="12" fillId="23" borderId="0" xfId="0" applyFont="1" applyFill="1" applyAlignment="1">
      <alignment vertical="center" wrapText="1"/>
    </xf>
    <xf numFmtId="20" fontId="12" fillId="22" borderId="0" xfId="0" applyNumberFormat="1" applyFont="1" applyFill="1" applyAlignment="1">
      <alignment vertical="center" wrapText="1"/>
    </xf>
    <xf numFmtId="20" fontId="12" fillId="23" borderId="0" xfId="0" applyNumberFormat="1" applyFont="1" applyFill="1" applyAlignment="1">
      <alignment vertical="center" wrapText="1"/>
    </xf>
    <xf numFmtId="0" fontId="3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3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165" formatCode="0.000"/>
    </dxf>
    <dxf>
      <numFmt numFmtId="165" formatCode="0.000"/>
    </dxf>
    <dxf>
      <numFmt numFmtId="0" formatCode="General"/>
    </dxf>
    <dxf>
      <numFmt numFmtId="25" formatCode="h:mm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</dxfs>
  <tableStyles count="0" defaultTableStyle="TableStyleMedium2" defaultPivotStyle="PivotStyleLight16"/>
  <colors>
    <mruColors>
      <color rgb="FFF93B6D"/>
      <color rgb="FFCC99FF"/>
      <color rgb="FFFFB6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87-4562-8814-A27025E21F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87-4562-8814-A27025E21F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87-4562-8814-A27025E21F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87-4562-8814-A27025E21F7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87-4562-8814-A27025E21F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87-4562-8814-A27025E21F7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87-4562-8814-A27025E21F7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87-4562-8814-A27025E21F7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87-4562-8814-A27025E21F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87-4562-8814-A27025E21F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E87-4562-8814-A27025E21F7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E87-4562-8814-A27025E21F7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E87-4562-8814-A27025E21F7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E87-4562-8814-A27025E21F75}"/>
              </c:ext>
            </c:extLst>
          </c:dPt>
          <c:cat>
            <c:numRef>
              <c:f>'Model Outputs'!$AI$36:$AI$49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'Model Outputs'!$AJ$36:$AJ$49</c:f>
              <c:numCache>
                <c:formatCode>0.00%</c:formatCode>
                <c:ptCount val="14"/>
                <c:pt idx="0">
                  <c:v>8.3566002473994348E-3</c:v>
                </c:pt>
                <c:pt idx="1">
                  <c:v>3.9983855317318823E-2</c:v>
                </c:pt>
                <c:pt idx="2">
                  <c:v>9.5655448310681207E-2</c:v>
                </c:pt>
                <c:pt idx="3">
                  <c:v>0.1525609894110459</c:v>
                </c:pt>
                <c:pt idx="4">
                  <c:v>0.18248977894977611</c:v>
                </c:pt>
                <c:pt idx="5">
                  <c:v>0.17463190059110587</c:v>
                </c:pt>
                <c:pt idx="6">
                  <c:v>0.13926031400939859</c:v>
                </c:pt>
                <c:pt idx="7">
                  <c:v>9.518847518213415E-2</c:v>
                </c:pt>
                <c:pt idx="8">
                  <c:v>5.6931080027776096E-2</c:v>
                </c:pt>
                <c:pt idx="9">
                  <c:v>3.0266482640442578E-2</c:v>
                </c:pt>
                <c:pt idx="10">
                  <c:v>1.4481614855708836E-2</c:v>
                </c:pt>
                <c:pt idx="11">
                  <c:v>6.2570842550526687E-3</c:v>
                </c:pt>
                <c:pt idx="12">
                  <c:v>2.4272809040990721E-3</c:v>
                </c:pt>
                <c:pt idx="13">
                  <c:v>1.5090952980605365E-3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D-4C82-AE75-386CDC34C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261936</xdr:colOff>
      <xdr:row>33</xdr:row>
      <xdr:rowOff>126456</xdr:rowOff>
    </xdr:from>
    <xdr:to>
      <xdr:col>45</xdr:col>
      <xdr:colOff>320213</xdr:colOff>
      <xdr:row>53</xdr:row>
      <xdr:rowOff>53187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279400</xdr:colOff>
          <xdr:row>7</xdr:row>
          <xdr:rowOff>44450</xdr:rowOff>
        </xdr:from>
        <xdr:to>
          <xdr:col>12</xdr:col>
          <xdr:colOff>1549400</xdr:colOff>
          <xdr:row>9</xdr:row>
          <xdr:rowOff>25400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FA7892-794C-4823-8574-A9B41C6F5687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C498325-DD55-4C79-BB25-33F0F8028B87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40F9CC33-3ED3-44A2-BE34-FDBB7375A695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69530EEE-5EC2-4CCF-BCBB-B16EEA910CE6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7C01358D-FD39-43C3-986E-A04E83F11C8B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" xr16:uid="{7D78455B-8AE3-4F9D-80ED-E258AF849CE6}" autoFormatId="16" applyNumberFormats="0" applyBorderFormats="0" applyFontFormats="0" applyPatternFormats="0" applyAlignmentFormats="0" applyWidthHeightFormats="0">
  <queryTableRefresh nextId="45">
    <queryTableFields count="44">
      <queryTableField id="1" name="Column1" tableColumnId="1"/>
      <queryTableField id="2" name="Team" tableColumnId="2"/>
      <queryTableField id="3" name="GP" tableColumnId="3"/>
      <queryTableField id="4" name="TOI/GP" tableColumnId="4"/>
      <queryTableField id="5" name="W" tableColumnId="5"/>
      <queryTableField id="6" name="L" tableColumnId="6"/>
      <queryTableField id="7" name="OTL" tableColumnId="7"/>
      <queryTableField id="8" name="ROW" tableColumnId="8"/>
      <queryTableField id="9" name="Points" tableColumnId="9"/>
      <queryTableField id="10" name="Point %" tableColumnId="10"/>
      <queryTableField id="11" name="CF/60" tableColumnId="11"/>
      <queryTableField id="12" name="CA/60" tableColumnId="12"/>
      <queryTableField id="13" name="CF%" tableColumnId="13"/>
      <queryTableField id="14" name="FF/60" tableColumnId="14"/>
      <queryTableField id="15" name="FA/60" tableColumnId="15"/>
      <queryTableField id="16" name="FF%" tableColumnId="16"/>
      <queryTableField id="17" name="SF/60" tableColumnId="17"/>
      <queryTableField id="18" name="SA/60" tableColumnId="18"/>
      <queryTableField id="19" name="SF%" tableColumnId="19"/>
      <queryTableField id="20" name="GF/60" tableColumnId="20"/>
      <queryTableField id="21" name="GA/60" tableColumnId="21"/>
      <queryTableField id="22" name="GF%" tableColumnId="22"/>
      <queryTableField id="23" name="xGF/60" tableColumnId="23"/>
      <queryTableField id="24" name="xGA/60" tableColumnId="24"/>
      <queryTableField id="25" name="xGF%" tableColumnId="25"/>
      <queryTableField id="26" name="SCF/60" tableColumnId="26"/>
      <queryTableField id="27" name="SCA/60" tableColumnId="27"/>
      <queryTableField id="28" name="SCF%" tableColumnId="28"/>
      <queryTableField id="29" name="SCGF/60" tableColumnId="29"/>
      <queryTableField id="30" name="SCGA/60" tableColumnId="30"/>
      <queryTableField id="31" name="SCGF%" tableColumnId="31"/>
      <queryTableField id="32" name="SCSH%" tableColumnId="32"/>
      <queryTableField id="33" name="SCSV%" tableColumnId="33"/>
      <queryTableField id="34" name="HDCF/60" tableColumnId="34"/>
      <queryTableField id="35" name="HDCA/60" tableColumnId="35"/>
      <queryTableField id="36" name="HDCF%" tableColumnId="36"/>
      <queryTableField id="37" name="HDGF/60" tableColumnId="37"/>
      <queryTableField id="38" name="HDGA/60" tableColumnId="38"/>
      <queryTableField id="39" name="HDGF%" tableColumnId="39"/>
      <queryTableField id="40" name="HDSH%" tableColumnId="40"/>
      <queryTableField id="41" name="HDSV%" tableColumnId="41"/>
      <queryTableField id="42" name="SH%" tableColumnId="42"/>
      <queryTableField id="43" name="SV%" tableColumnId="43"/>
      <queryTableField id="44" name="PDO" tableColumnId="44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73C155-B5D4-4631-914A-149356499F8F}" name="Table_0__2" displayName="Table_0__2" ref="A37:BT68" totalsRowShown="0">
  <autoFilter ref="A37:BT68" xr:uid="{A9D5E814-9C54-41FC-A321-37A8D367CED6}"/>
  <tableColumns count="72">
    <tableColumn id="1" xr3:uid="{6D2B5658-5195-4181-806C-A7995CD60EDA}" name="Column1"/>
    <tableColumn id="2" xr3:uid="{F970FCFE-E366-4002-B7B4-8D3C02944DE6}" name="Team" dataDxfId="34"/>
    <tableColumn id="3" xr3:uid="{32696A6D-BBC3-4EB4-9DF7-6A9F479E034C}" name="GP"/>
    <tableColumn id="4" xr3:uid="{43CF3AC3-9E07-477F-9032-597BAF29B46F}" name="TOI/GP" dataDxfId="33"/>
    <tableColumn id="5" xr3:uid="{A4E5CDC3-E8CE-4544-81F4-F71D9254A7B9}" name="W"/>
    <tableColumn id="6" xr3:uid="{89863FAC-DEDC-4374-940C-3E5AEECC39CA}" name="L"/>
    <tableColumn id="7" xr3:uid="{6AD30035-FB37-4CD9-8C6B-1A1812D8008F}" name="OTL"/>
    <tableColumn id="8" xr3:uid="{A1DA06D9-EF7C-447D-819B-5FE75188CC94}" name="ROW"/>
    <tableColumn id="9" xr3:uid="{B7427BF9-A86A-45F1-BB33-BB2F4715BD8C}" name="Points"/>
    <tableColumn id="10" xr3:uid="{6CDD390D-ED84-49FB-976B-E9B07DE15D13}" name="Point %"/>
    <tableColumn id="11" xr3:uid="{28C44ABD-67CB-41E6-AB34-646C77EA00C0}" name="CF/60"/>
    <tableColumn id="12" xr3:uid="{68628923-B757-4938-9939-12237F1A79CA}" name="CA/60"/>
    <tableColumn id="13" xr3:uid="{E5359EEB-66C7-4197-9091-FBB8C4D6F30A}" name="CF%"/>
    <tableColumn id="14" xr3:uid="{F259BABA-902D-4368-B6B2-6410990EA5DA}" name="FF/60"/>
    <tableColumn id="15" xr3:uid="{92C93221-C3E8-4C95-999A-269A6CF9D272}" name="FA/60"/>
    <tableColumn id="16" xr3:uid="{CB86F68C-2DA1-45F8-86BC-DBFDCF4BC3A1}" name="FF%"/>
    <tableColumn id="17" xr3:uid="{F8F3826F-1FF6-47E9-93FD-84EEF7E37882}" name="SF/60"/>
    <tableColumn id="18" xr3:uid="{98B9E10B-F5FD-4CEE-84C5-FD8C144EED1F}" name="SA/60"/>
    <tableColumn id="19" xr3:uid="{09FDD734-A9E9-4DA6-8119-D5D78A2060CC}" name="SF%"/>
    <tableColumn id="20" xr3:uid="{2A31202E-AA2B-433D-AD67-791BFE7C2320}" name="GF/60"/>
    <tableColumn id="21" xr3:uid="{AAEDB058-A4B6-4BBE-8656-4E06F561A533}" name="GA/60"/>
    <tableColumn id="22" xr3:uid="{48247894-C364-45B8-9CB5-9CD82B385A41}" name="GF%"/>
    <tableColumn id="23" xr3:uid="{2F424B1D-F83C-4D43-B2CE-0B55210B2E84}" name="xGF/60"/>
    <tableColumn id="24" xr3:uid="{168C3C0A-F34A-4241-84AD-3114D09CE159}" name="xGA/60"/>
    <tableColumn id="25" xr3:uid="{0514CAD6-D1D8-44E9-BDA2-008D0CED924F}" name="xGF%"/>
    <tableColumn id="26" xr3:uid="{3D32520A-D7B1-4363-8C86-799FF205DBCF}" name="SCF/60"/>
    <tableColumn id="27" xr3:uid="{05244735-FAFC-4EDF-95EA-EA2D3A4E125A}" name="SCA/60"/>
    <tableColumn id="28" xr3:uid="{8A4604E9-C96B-453B-B914-1C6DC112E3D7}" name="SCF%"/>
    <tableColumn id="29" xr3:uid="{540794BD-38E6-41A5-9EFC-96B79D84340C}" name="SCSF/60"/>
    <tableColumn id="30" xr3:uid="{1AF4BF62-4BF0-4C16-8F1E-B37498F21612}" name="SCSA/60"/>
    <tableColumn id="31" xr3:uid="{F1795FBF-F90A-4736-BABB-80C8933D6E3B}" name="SCSF%"/>
    <tableColumn id="32" xr3:uid="{89EA99A0-58FB-4647-941C-0E1A0572B4EA}" name="SCGF/60"/>
    <tableColumn id="33" xr3:uid="{012B98E6-E8A6-408A-B7F3-A95706330DFA}" name="SCGA/60"/>
    <tableColumn id="34" xr3:uid="{5E255341-5E12-4E9D-899A-938EC4BD886B}" name="SCGF%"/>
    <tableColumn id="35" xr3:uid="{93229607-399F-441E-B82B-7A835DC2221C}" name="SCSH%"/>
    <tableColumn id="36" xr3:uid="{6D7F779E-896F-45E7-8A43-CB15F43D2820}" name="SCSV%"/>
    <tableColumn id="37" xr3:uid="{BA00A626-DFCC-4981-9C9F-26FD6F263409}" name="HDCF/60"/>
    <tableColumn id="38" xr3:uid="{4C6B6D5A-69D3-450A-A2C3-DFE62FAADAE8}" name="HDCA/60"/>
    <tableColumn id="39" xr3:uid="{7C8EDD8F-175B-4F41-BFBD-B0A6ED37D2FC}" name="HDCF%"/>
    <tableColumn id="40" xr3:uid="{B353F093-9B25-4B91-A640-5B616BF9E193}" name="HDSF/60"/>
    <tableColumn id="41" xr3:uid="{0FB9C73C-EDBC-47ED-9848-2DCFDE8DB46B}" name="HDSA/60"/>
    <tableColumn id="42" xr3:uid="{49605741-8442-4291-95E5-9D4F711C434F}" name="HDSF%"/>
    <tableColumn id="43" xr3:uid="{F1662306-95DE-47EE-9309-71D5B7279351}" name="HDGF/60"/>
    <tableColumn id="44" xr3:uid="{653BBDC6-0A6D-421A-933C-3D99620823FF}" name="HDGA/60"/>
    <tableColumn id="45" xr3:uid="{668D8775-FC4F-4C40-A433-63379E502463}" name="HDGF%"/>
    <tableColumn id="46" xr3:uid="{83A56F98-8DA7-44B8-812A-9EF3C38778C0}" name="HDSH%"/>
    <tableColumn id="47" xr3:uid="{0A9560BF-421A-4F03-A3FA-F7F4FC33E940}" name="HDSV%"/>
    <tableColumn id="48" xr3:uid="{3F90F3B1-104C-4F22-9CB1-A49BDF6AF193}" name="MDCF/60"/>
    <tableColumn id="49" xr3:uid="{FF5828C6-9298-4B44-9910-45D857093F7A}" name="MDCA/60"/>
    <tableColumn id="50" xr3:uid="{9C613A7C-135B-4F41-B2A8-C01D4C7C959B}" name="MDCF%"/>
    <tableColumn id="51" xr3:uid="{6DF16E6F-00F8-452F-9E7D-C36A402F8175}" name="MDSF/60"/>
    <tableColumn id="52" xr3:uid="{35F1E378-1218-4899-BCF5-ACE4F29E355A}" name="MDSA/60"/>
    <tableColumn id="53" xr3:uid="{5E99DF5D-3DA2-4273-A81B-5AA0C4E54864}" name="MDSF%"/>
    <tableColumn id="54" xr3:uid="{D61FE43B-6A8E-462E-83B2-916E805ED65E}" name="MDGF/60"/>
    <tableColumn id="55" xr3:uid="{1B33036F-1AB2-41CF-BC3B-8F5395BD3A22}" name="MDGA/60"/>
    <tableColumn id="56" xr3:uid="{4C565EC0-C0ED-4593-9ABB-340CA49734E2}" name="MDGF%"/>
    <tableColumn id="57" xr3:uid="{CD679568-113B-4C3E-98A9-003DFA727047}" name="MDSH%"/>
    <tableColumn id="58" xr3:uid="{3C5D1D8D-9F2C-4191-8F92-D461F004B03E}" name="MDSV%"/>
    <tableColumn id="59" xr3:uid="{A53FFCE6-8C63-449F-A346-BE32717768E0}" name="LDCF/60"/>
    <tableColumn id="60" xr3:uid="{7CBC0EB6-F0F8-47CE-A678-4BCDB4698DC8}" name="LDCA/60"/>
    <tableColumn id="61" xr3:uid="{FF804302-49A3-4B1E-9CC1-AC64C4017BB7}" name="LDCF%"/>
    <tableColumn id="62" xr3:uid="{319D1212-3641-432D-92BD-4FABCDB0D1B3}" name="LDSF/60"/>
    <tableColumn id="63" xr3:uid="{EB4501B3-F12D-4FD8-B0CF-D463F36E38FF}" name="LDSA/60"/>
    <tableColumn id="64" xr3:uid="{15A52E3B-81F7-459B-8177-8C5582D40BD8}" name="LDSF%"/>
    <tableColumn id="65" xr3:uid="{13A5D79F-8544-4E0B-BFAE-096B946C0CCB}" name="LDGF/60"/>
    <tableColumn id="66" xr3:uid="{DDDCCCDD-A91B-4015-BB87-B6C8D795778C}" name="LDGA/60"/>
    <tableColumn id="67" xr3:uid="{99C6A719-5583-4B8A-B59D-6CEED3289BC5}" name="LDGF%"/>
    <tableColumn id="68" xr3:uid="{26C3DC4A-18CE-48A1-A425-BA4C53ABBB2E}" name="LDSH%"/>
    <tableColumn id="69" xr3:uid="{8427AF2B-4D9E-4A7A-AB89-AFF84310D778}" name="LDSV%"/>
    <tableColumn id="70" xr3:uid="{42F894EE-78BB-4391-A9F6-B0826BACFFE3}" name="SH%"/>
    <tableColumn id="71" xr3:uid="{3763EDDF-6FA4-4AB0-AAB8-98A1E66F359D}" name="SV%"/>
    <tableColumn id="72" xr3:uid="{5BA1ED7D-2F52-4F88-9B42-371FA324EE92}" name="PD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BACD60-7BF5-434A-8D93-4ADA1AF37E1E}" name="Table4" displayName="Table4" ref="A74:BT105" totalsRowShown="0">
  <autoFilter ref="A74:BT105" xr:uid="{998681E4-0D04-403C-AECA-905B6079AEC5}"/>
  <tableColumns count="72">
    <tableColumn id="1" xr3:uid="{2CE77A54-5B28-4685-A54B-4826D9822032}" name="Column1"/>
    <tableColumn id="2" xr3:uid="{4EAE55E7-E3ED-4F95-AEE7-D17B478D1E3A}" name="Team"/>
    <tableColumn id="3" xr3:uid="{0D98D2A5-66BD-4F54-833C-3732AFC3FA62}" name="GP"/>
    <tableColumn id="4" xr3:uid="{79D928C0-4F01-4FDB-89A4-03F48740DFC0}" name="TOI/GP" dataDxfId="32"/>
    <tableColumn id="5" xr3:uid="{97A90937-597D-41A5-8A06-5FB27CA5C543}" name="W"/>
    <tableColumn id="6" xr3:uid="{56FA2054-93B6-4223-A6D3-5F1213223575}" name="L"/>
    <tableColumn id="7" xr3:uid="{0B319982-5C4E-4743-B056-42FB39A9C80F}" name="OTL"/>
    <tableColumn id="8" xr3:uid="{FC4CFEDC-26BA-41B3-881F-19C934A6E21F}" name="ROW"/>
    <tableColumn id="9" xr3:uid="{AAA392EB-1C43-48D0-AC71-FD714B7210BD}" name="Points"/>
    <tableColumn id="10" xr3:uid="{B3BD71E4-D39E-48D7-AF75-53FB97F94AC3}" name="Point %"/>
    <tableColumn id="11" xr3:uid="{7609A362-942E-42D0-B52A-CE5A8DB48439}" name="CF/60"/>
    <tableColumn id="12" xr3:uid="{1197D73D-AE94-452F-96E5-B6E06DBAED12}" name="CA/60"/>
    <tableColumn id="13" xr3:uid="{EB51D740-4126-4977-9B16-3A411C0DB809}" name="CF%"/>
    <tableColumn id="14" xr3:uid="{0F786846-F6ED-455E-A9A6-955562A35CA9}" name="FF/60"/>
    <tableColumn id="15" xr3:uid="{BE7D71F9-32A1-47D5-B836-8DF0A8ACA1D6}" name="FA/60"/>
    <tableColumn id="16" xr3:uid="{9D84BC87-C9CF-4B93-B681-235FC1B4FBF5}" name="FF%"/>
    <tableColumn id="17" xr3:uid="{CDDC16E2-EE47-4621-BA5D-E6AB295AA8EE}" name="SF/60"/>
    <tableColumn id="18" xr3:uid="{B2CE6894-633D-4C6F-8C01-AAE9BF931390}" name="SA/60"/>
    <tableColumn id="19" xr3:uid="{DC695209-6CDD-4F61-9A66-9F9C03830237}" name="SF%"/>
    <tableColumn id="20" xr3:uid="{761BFF6C-8669-4AAE-B67E-99FB66D9271B}" name="GF/60"/>
    <tableColumn id="21" xr3:uid="{99E9A986-11BD-4398-81C3-04EE8C4B8A38}" name="GA/60"/>
    <tableColumn id="22" xr3:uid="{0226C974-8AA3-4978-BB81-F8E44C3E3118}" name="GF%"/>
    <tableColumn id="23" xr3:uid="{C5764429-ACAC-46A0-9EB9-2F82B9044944}" name="xGF/60"/>
    <tableColumn id="24" xr3:uid="{2FEF7FAE-590B-4129-A768-86B3BB954E34}" name="xGA/60"/>
    <tableColumn id="25" xr3:uid="{AE8D874A-6C8C-4636-AEC7-34B95665672D}" name="xGF%"/>
    <tableColumn id="26" xr3:uid="{CEEDF349-AE64-4E16-BCD3-CB81F064D1A0}" name="SCF/60"/>
    <tableColumn id="27" xr3:uid="{4BBCECA1-BE09-4BAA-BAE1-CF8B5FA98734}" name="SCA/60"/>
    <tableColumn id="28" xr3:uid="{6840B9D3-7320-4E09-847A-EC78311D1A47}" name="SCF%"/>
    <tableColumn id="29" xr3:uid="{E1CEF49F-FDD1-45A6-8D70-6E801FF51191}" name="SCSF/60"/>
    <tableColumn id="30" xr3:uid="{65B6FA0E-0B0F-424D-BE8B-BB2CF9B7646F}" name="SCSA/60"/>
    <tableColumn id="31" xr3:uid="{27D04082-7868-49D1-A8C9-94CFDD93EC41}" name="SCSF%"/>
    <tableColumn id="32" xr3:uid="{A68B1712-4990-4AC2-9FBC-58C88BDAF891}" name="SCGF/60"/>
    <tableColumn id="33" xr3:uid="{7468BD0E-EBCD-40EE-BA97-B34F1700D808}" name="SCGA/60"/>
    <tableColumn id="34" xr3:uid="{874A515D-2493-4F4E-823A-840838D40658}" name="SCGF%"/>
    <tableColumn id="35" xr3:uid="{F1948D13-0860-403B-92A2-202DE1C5842D}" name="SCSH%"/>
    <tableColumn id="36" xr3:uid="{BB77EA19-8F1B-4D2B-AD6C-124B56171453}" name="SCSV%"/>
    <tableColumn id="37" xr3:uid="{E43A0632-337E-4653-B524-0496FF7156C1}" name="HDCF/60"/>
    <tableColumn id="38" xr3:uid="{38D8445C-D4A0-4768-8841-A44F5C67A4DC}" name="HDCA/60"/>
    <tableColumn id="39" xr3:uid="{E12E3719-99B8-4A4C-80EE-6A341D804116}" name="HDCF%"/>
    <tableColumn id="40" xr3:uid="{CA46A1F2-D495-4313-B3EF-0E65FAA6D717}" name="HDSF/60"/>
    <tableColumn id="41" xr3:uid="{E39F9CC1-F53D-4383-8DAE-99E2AD1A7A83}" name="HDSA/60"/>
    <tableColumn id="42" xr3:uid="{3285770F-F94C-400D-B113-A0C570CAAADE}" name="HDSF%"/>
    <tableColumn id="43" xr3:uid="{51995592-7C9C-4285-9523-7751FE9AC447}" name="HDGF/60"/>
    <tableColumn id="44" xr3:uid="{F889ED65-E64D-4585-95E5-A4B51C71C738}" name="HDGA/60"/>
    <tableColumn id="45" xr3:uid="{7A5545D0-F3DA-47CC-ACA4-2068087DF9B6}" name="HDGF%"/>
    <tableColumn id="46" xr3:uid="{49C2DB84-0BB0-4506-B389-CC3923343237}" name="HDSH%"/>
    <tableColumn id="47" xr3:uid="{1CCED4C6-6735-4EFF-8082-7EB6E8101DEC}" name="HDSV%"/>
    <tableColumn id="48" xr3:uid="{C681FF47-3CDA-4DEE-9710-F3964DCADE99}" name="MDCF/60"/>
    <tableColumn id="49" xr3:uid="{BD04D102-BF24-4EDA-BC57-7C9F34114544}" name="MDCA/60"/>
    <tableColumn id="50" xr3:uid="{31E4BF57-0B45-41A5-8B92-F71ADACAAA28}" name="MDCF%"/>
    <tableColumn id="51" xr3:uid="{2AB6FF5F-53B3-487F-A25B-133702C8ECDE}" name="MDSF/60"/>
    <tableColumn id="52" xr3:uid="{BDAEF227-B73B-4067-BCEA-29D09810B215}" name="MDSA/60"/>
    <tableColumn id="53" xr3:uid="{53110CE7-27F0-4EF1-80EA-06CDF5B09415}" name="MDSF%"/>
    <tableColumn id="54" xr3:uid="{BBD58BAF-100F-4C8C-B411-87F8473B3342}" name="MDGF/60"/>
    <tableColumn id="55" xr3:uid="{DE593382-5B5A-4CE7-8EB8-548F7F5266F9}" name="MDGA/60"/>
    <tableColumn id="56" xr3:uid="{1FB30874-C1F6-4286-A494-6A5B834ECE1A}" name="MDGF%"/>
    <tableColumn id="57" xr3:uid="{E51E7D78-DA3A-4ED4-B566-4DED3D32BA33}" name="MDSH%"/>
    <tableColumn id="58" xr3:uid="{63ECE6DE-0653-4B49-8372-6C93FBB6D558}" name="MDSV%"/>
    <tableColumn id="59" xr3:uid="{ED4D4C39-E494-4733-9B9A-64205A642E92}" name="LDCF/60"/>
    <tableColumn id="60" xr3:uid="{FF46DDD2-6D3C-4010-ADA6-8468F6C0A267}" name="LDCA/60"/>
    <tableColumn id="61" xr3:uid="{538AE12D-928F-412E-AF27-549CC1321303}" name="LDCF%"/>
    <tableColumn id="62" xr3:uid="{71C2AC05-850B-4EDE-92B2-7DAD20FEA650}" name="LDSF/60"/>
    <tableColumn id="63" xr3:uid="{A5A3583E-51E0-4A36-93E3-79175EDB58B5}" name="LDSA/60"/>
    <tableColumn id="64" xr3:uid="{B26D6792-7ED0-4E3E-B6A5-E0B0471F81C3}" name="LDSF%"/>
    <tableColumn id="65" xr3:uid="{1198F344-A5D3-4E74-83A0-D6C46D7C7775}" name="LDGF/60"/>
    <tableColumn id="66" xr3:uid="{745A5C37-9C9B-46E6-B790-153AD6E4A20D}" name="LDGA/60"/>
    <tableColumn id="67" xr3:uid="{5A5ABD0A-62C2-4388-AEF6-6226CC78A9C4}" name="LDGF%"/>
    <tableColumn id="68" xr3:uid="{B50521E8-92F5-49B7-9CE2-9F1B2C07787B}" name="LDSH%"/>
    <tableColumn id="69" xr3:uid="{F82A8BFE-8130-488A-9FFF-28538ACD92D6}" name="LDSV%"/>
    <tableColumn id="70" xr3:uid="{C4D27E14-E69B-496A-8358-13A1A46EE185}" name="SH%"/>
    <tableColumn id="71" xr3:uid="{A2459D2D-6463-4A12-A1FF-3763043AA749}" name="SV%"/>
    <tableColumn id="72" xr3:uid="{B15A1F85-5F4E-40D1-8FDC-0CC35570BC6B}" name="P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87B46F-8634-4D61-85CB-857F61135175}" name="Table5" displayName="Table5" ref="A112:BT143" totalsRowShown="0">
  <autoFilter ref="A112:BT143" xr:uid="{5AD6B2EC-8094-4605-A778-80C99544B7B3}"/>
  <tableColumns count="72">
    <tableColumn id="1" xr3:uid="{30557D2F-F863-4952-99F4-C3AC555E5185}" name="Column1"/>
    <tableColumn id="2" xr3:uid="{79CA7B9D-5E52-4AA4-B7B2-B5B5CDE07DC8}" name="Team"/>
    <tableColumn id="3" xr3:uid="{91246BF9-721B-4645-B9CA-C51E0665D65E}" name="GP"/>
    <tableColumn id="4" xr3:uid="{E5A94F91-C51C-42F9-93F1-397CDF4F9605}" name="TOI/GP"/>
    <tableColumn id="5" xr3:uid="{5C55FE90-51DD-415E-93E3-6DFD7875ECA2}" name="W"/>
    <tableColumn id="6" xr3:uid="{012A126E-6914-48A5-81A5-0BA2A81E72DF}" name="L"/>
    <tableColumn id="7" xr3:uid="{EF3DA287-DE79-4B20-9760-72A81CF3B203}" name="OTL"/>
    <tableColumn id="8" xr3:uid="{6F12220E-F853-4A7B-8CB0-0DFEDAB09E25}" name="ROW"/>
    <tableColumn id="9" xr3:uid="{17F915A9-9EB7-4EFD-87D3-669468FD8B95}" name="Points"/>
    <tableColumn id="10" xr3:uid="{204CFD7E-0EEF-4F8C-856F-BC444430E9DA}" name="Point %"/>
    <tableColumn id="11" xr3:uid="{31D916AA-0333-4258-968D-0B10BA83EEEF}" name="CF/60"/>
    <tableColumn id="12" xr3:uid="{EFC1C9FF-6BEF-422C-AAC5-299797BC085F}" name="CA/60"/>
    <tableColumn id="13" xr3:uid="{F383EBAE-3E90-43AF-ACCC-0B839165A0F0}" name="CF%"/>
    <tableColumn id="14" xr3:uid="{F31A417F-14D1-472F-BEC0-63952196CA2E}" name="FF/60"/>
    <tableColumn id="15" xr3:uid="{39A03E9A-25F3-405C-A654-9C7AA37CD88B}" name="FA/60"/>
    <tableColumn id="16" xr3:uid="{DB878120-AD63-4FAC-B518-0795D8EF6F17}" name="FF%"/>
    <tableColumn id="17" xr3:uid="{847B1B98-9467-46D6-A0CE-5B270F14A3E6}" name="SF/60"/>
    <tableColumn id="18" xr3:uid="{E4171894-C15A-4255-8577-1C199C5CFBFB}" name="SA/60"/>
    <tableColumn id="19" xr3:uid="{F7B013A8-25A1-4E79-8672-3FC68697469E}" name="SF%"/>
    <tableColumn id="20" xr3:uid="{5EEA9BC9-9FE6-4C9D-96E7-2A349861A770}" name="GF/60"/>
    <tableColumn id="21" xr3:uid="{7091BB0E-77E6-4D09-9481-199A77828FE5}" name="GA/60"/>
    <tableColumn id="22" xr3:uid="{075757DD-66C9-48C4-9BE3-86C3F781ECEA}" name="GF%"/>
    <tableColumn id="23" xr3:uid="{C60E2B8B-339C-4508-A870-861D40628920}" name="xGF/60"/>
    <tableColumn id="24" xr3:uid="{52A2BBD0-57D5-46C5-81C0-4FD0494F0341}" name="xGA/60"/>
    <tableColumn id="25" xr3:uid="{817791CA-99DE-48C1-BC91-A6EF8AF88ABE}" name="xGF%"/>
    <tableColumn id="26" xr3:uid="{94E78EAD-15E8-4E0C-BBB8-CF46C488ECCE}" name="SCF/60"/>
    <tableColumn id="27" xr3:uid="{42D430E6-E3D3-438F-8330-03897D9CD793}" name="SCA/60"/>
    <tableColumn id="28" xr3:uid="{DE86EBCE-2034-4FBE-A8D2-E0C273985423}" name="SCF%"/>
    <tableColumn id="29" xr3:uid="{B44EF06C-6755-43D1-AD86-67FBD540DA92}" name="SCSF/60"/>
    <tableColumn id="30" xr3:uid="{089C06A0-6BB1-44F3-8EED-6429A2EDDCF5}" name="SCSA/60"/>
    <tableColumn id="31" xr3:uid="{37D7DDFD-494B-42E2-8B8F-1170F8E139E8}" name="SCSF%"/>
    <tableColumn id="32" xr3:uid="{BD2B5CCD-0731-4198-9CB8-EC88E76F12DA}" name="SCGF/60"/>
    <tableColumn id="33" xr3:uid="{4D22A1BA-411C-41E0-8AB4-D70A74EE2515}" name="SCGA/60"/>
    <tableColumn id="34" xr3:uid="{F5202BFB-5976-4E5A-A514-21FB0E9B4AA0}" name="SCGF%"/>
    <tableColumn id="35" xr3:uid="{71535761-BC28-4884-AF99-081CF3C917A5}" name="SCSH%"/>
    <tableColumn id="36" xr3:uid="{145E65BF-9DC8-4AA6-803C-83E9D3105EDB}" name="SCSV%"/>
    <tableColumn id="37" xr3:uid="{6AE74FC2-68CE-4A3C-828F-AB6EEF611964}" name="HDCF/60"/>
    <tableColumn id="38" xr3:uid="{BE11AF5E-0A9C-4625-BF24-76D8D3A8A4C3}" name="HDCA/60"/>
    <tableColumn id="39" xr3:uid="{24478290-01B2-4007-9C42-EB18D2302BA7}" name="HDCF%"/>
    <tableColumn id="40" xr3:uid="{801F8EBA-3CE9-4B74-9B52-EAAFF1CC52BF}" name="HDSF/60"/>
    <tableColumn id="41" xr3:uid="{469FBCAD-95A1-4CE8-A6B6-8838CF2473D4}" name="HDSA/60"/>
    <tableColumn id="42" xr3:uid="{83DE9A48-5A26-4A81-B98E-066F347971A5}" name="HDSF%"/>
    <tableColumn id="43" xr3:uid="{C9793157-4264-4C04-AE8C-A3093E3B6CF3}" name="HDGF/60"/>
    <tableColumn id="44" xr3:uid="{C1760177-54ED-424C-A43C-1CD55000B9CB}" name="HDGA/60"/>
    <tableColumn id="45" xr3:uid="{F882906A-41DB-4340-B6FB-427EFB8406BC}" name="HDGF%"/>
    <tableColumn id="46" xr3:uid="{FA8D081F-1C3B-4148-96FE-7B0F65F9FD2C}" name="HDSH%"/>
    <tableColumn id="47" xr3:uid="{932D01D2-8989-4675-8BA1-C59AFF3919FE}" name="HDSV%"/>
    <tableColumn id="48" xr3:uid="{A294FBE7-C653-4B38-933D-41A48BEA7785}" name="MDCF/60"/>
    <tableColumn id="49" xr3:uid="{70B6334C-6EF5-470F-9617-4DF1E29CD387}" name="MDCA/60"/>
    <tableColumn id="50" xr3:uid="{BE9C0EE4-4E70-4C23-A487-B18B86AEE307}" name="MDCF%"/>
    <tableColumn id="51" xr3:uid="{E46A7748-AFCB-4B84-88E8-A7FB890E34E3}" name="MDSF/60"/>
    <tableColumn id="52" xr3:uid="{3BD3D83D-F346-4589-AE26-6021E20E413E}" name="MDSA/60"/>
    <tableColumn id="53" xr3:uid="{79BF59B3-7F44-4EC3-BA4E-F1F4B4A06BD3}" name="MDSF%"/>
    <tableColumn id="54" xr3:uid="{9B1CA687-FACE-41DC-9A0C-167D19496CED}" name="MDGF/60"/>
    <tableColumn id="55" xr3:uid="{7931AF7E-2F1A-425F-BE95-F6CF64102836}" name="MDGA/60"/>
    <tableColumn id="56" xr3:uid="{6A896967-29DB-4831-869C-1E65380BC8D1}" name="MDGF%"/>
    <tableColumn id="57" xr3:uid="{9B4D3A6E-EAA6-45C6-AEA9-69CC14408788}" name="MDSH%"/>
    <tableColumn id="58" xr3:uid="{CD7567FB-1B26-416E-81D7-5E6E09178509}" name="MDSV%"/>
    <tableColumn id="59" xr3:uid="{CCECF5DF-33E4-4B0C-8A98-E9F29AA8D983}" name="LDCF/60"/>
    <tableColumn id="60" xr3:uid="{52ED5842-8524-4E2B-A6B0-5750FA639A60}" name="LDCA/60"/>
    <tableColumn id="61" xr3:uid="{6ED31871-3008-4932-B414-C0B855AFC902}" name="LDCF%"/>
    <tableColumn id="62" xr3:uid="{47612C1C-A699-4359-B1CD-934B3D4BB88E}" name="LDSF/60"/>
    <tableColumn id="63" xr3:uid="{0637B2EB-D563-4E8D-BC0F-DC92EC3945EC}" name="LDSA/60"/>
    <tableColumn id="64" xr3:uid="{D7D9BAC2-505D-4E7D-8BE1-EFB3A87A1383}" name="LDSF%"/>
    <tableColumn id="65" xr3:uid="{FDADCE4A-7DBE-4361-BCBD-542E528A861D}" name="LDGF/60"/>
    <tableColumn id="66" xr3:uid="{FFE8E1E1-888B-4555-A1C7-CD2C71CF3C50}" name="LDGA/60"/>
    <tableColumn id="67" xr3:uid="{A7C330D2-0030-48DD-94CA-3FFDDAC6D3DE}" name="LDGF%"/>
    <tableColumn id="68" xr3:uid="{12AEB9F8-249A-45F6-9857-FD0D714B9536}" name="LDSH%"/>
    <tableColumn id="69" xr3:uid="{E6B113F8-BECA-42B7-8423-339E6A678032}" name="LDSV%"/>
    <tableColumn id="70" xr3:uid="{815CC0BE-421C-4A7A-B769-672A0D618D2A}" name="SH%"/>
    <tableColumn id="71" xr3:uid="{D9DA86C4-10F2-4EB2-BCE0-434185D2F352}" name="SV%"/>
    <tableColumn id="72" xr3:uid="{A34B7D74-75C9-487B-BF67-5C5166A53D1B}" name="P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2CDFC1-2CBE-4CC7-81B9-25B5D372FD94}" name="Table8" displayName="Table8" ref="A148:BT179" totalsRowShown="0">
  <autoFilter ref="A148:BT179" xr:uid="{07A34CF0-FBCD-448C-8F75-D55BDE363C8C}"/>
  <tableColumns count="72">
    <tableColumn id="1" xr3:uid="{F4EDDF1B-90FB-40FE-862B-D5A6A47ED58D}" name="Column1"/>
    <tableColumn id="2" xr3:uid="{55C359EA-6580-4475-A562-3D10AF74EF96}" name="Team"/>
    <tableColumn id="3" xr3:uid="{17C89776-3427-4209-9F49-D04893253FC6}" name="GP"/>
    <tableColumn id="4" xr3:uid="{E9D39388-2955-4A92-AF78-DDF91BD355B4}" name="TOI/GP"/>
    <tableColumn id="5" xr3:uid="{C55093F4-3A8A-4BF2-B2F4-A1868EBE94F5}" name="W"/>
    <tableColumn id="6" xr3:uid="{C404D679-8016-471C-9996-56C9862C0330}" name="L"/>
    <tableColumn id="7" xr3:uid="{1D3BF57D-6DF9-4DFF-9DBA-1988650A5B32}" name="OTL"/>
    <tableColumn id="8" xr3:uid="{B1009FB3-9D77-4786-B674-3333A52CCE2F}" name="ROW"/>
    <tableColumn id="9" xr3:uid="{8F54441F-5FCA-44E1-905E-8F6AF0C38895}" name="Points"/>
    <tableColumn id="10" xr3:uid="{614E5442-1CB7-4B31-9DDB-AD4991A40B31}" name="Point %"/>
    <tableColumn id="11" xr3:uid="{BA6F92CD-75F7-4741-A504-343D3D912F28}" name="CF/60"/>
    <tableColumn id="12" xr3:uid="{11DA8A69-E031-4496-875D-AA7EE130250A}" name="CA/60"/>
    <tableColumn id="13" xr3:uid="{E79BFFC3-8582-4B1E-B799-8A2747E94D66}" name="CF%"/>
    <tableColumn id="14" xr3:uid="{32171EFC-655B-4932-BA1A-283E36C9FE8E}" name="FF/60"/>
    <tableColumn id="15" xr3:uid="{349C8212-030A-4E77-83E1-1ED7FC158B3A}" name="FA/60"/>
    <tableColumn id="16" xr3:uid="{982D7FD4-FE25-423A-97F9-C43B8F9AECB2}" name="FF%"/>
    <tableColumn id="17" xr3:uid="{23D1A098-E557-43B1-80AA-9AA8597DE9B2}" name="SF/60"/>
    <tableColumn id="18" xr3:uid="{D4FCBC30-65F6-48FB-AB55-9D9B43497FBF}" name="SA/60"/>
    <tableColumn id="19" xr3:uid="{2D8ED12F-BCF8-44CA-961F-14FC71BFBA52}" name="SF%"/>
    <tableColumn id="20" xr3:uid="{FFF47104-5125-483D-8374-25BB4352D13A}" name="GF/60"/>
    <tableColumn id="21" xr3:uid="{DB6FA4CB-11E5-4F6C-A377-299B43B4AE2D}" name="GA/60"/>
    <tableColumn id="22" xr3:uid="{795311CA-CF4B-4D3A-A67B-464CF8733B26}" name="GF%"/>
    <tableColumn id="23" xr3:uid="{BDADFC99-2D5E-408F-8146-B9C293A05900}" name="xGF/60"/>
    <tableColumn id="24" xr3:uid="{02EA3388-002B-49B3-958C-84D01D7B1850}" name="xGA/60"/>
    <tableColumn id="25" xr3:uid="{70B4585D-2E93-4E5C-B7A2-35AAC3CDE7BC}" name="xGF%"/>
    <tableColumn id="26" xr3:uid="{84308CBB-ACFA-47E8-BDFB-79D6464AE20A}" name="SCF/60"/>
    <tableColumn id="27" xr3:uid="{2F44C674-2ED8-4811-BD12-C29BA1E9F5D2}" name="SCA/60"/>
    <tableColumn id="28" xr3:uid="{7FA92934-A8B2-464D-8093-8933FD3A305C}" name="SCF%"/>
    <tableColumn id="29" xr3:uid="{73679DB4-C41F-47EF-92F2-CAC857A8E69D}" name="SCSF/60"/>
    <tableColumn id="30" xr3:uid="{881FFEDF-454D-41F1-AEAC-6FC5AA43EC8A}" name="SCSA/60"/>
    <tableColumn id="31" xr3:uid="{9CBC17D9-D411-42E0-97CD-24F11B684372}" name="SCSF%"/>
    <tableColumn id="32" xr3:uid="{0D184D19-85C9-437A-9AC0-90D1FA70EAD3}" name="SCGF/60"/>
    <tableColumn id="33" xr3:uid="{AE149028-9669-4274-8A46-50BF32DA74A5}" name="SCGA/60"/>
    <tableColumn id="34" xr3:uid="{2EC9011D-00C6-485A-B59C-855C6D11129F}" name="SCGF%"/>
    <tableColumn id="35" xr3:uid="{2FDB912F-248E-439B-AB85-6B6CDAB7E8E2}" name="SCSH%"/>
    <tableColumn id="36" xr3:uid="{415268D0-45D2-42C7-A758-0C516993F0C0}" name="SCSV%"/>
    <tableColumn id="37" xr3:uid="{20614F58-FD22-469E-A20F-A205A4A5A8DA}" name="HDCF/60"/>
    <tableColumn id="38" xr3:uid="{E8B79644-B1E4-445A-A8FC-EECB249CF4CD}" name="HDCA/60"/>
    <tableColumn id="39" xr3:uid="{8D714F3E-7322-42DE-AE38-2EDB14D00FB0}" name="HDCF%"/>
    <tableColumn id="40" xr3:uid="{0A6FF018-7F50-4891-82BA-A2ACE0E49198}" name="HDSF/60"/>
    <tableColumn id="41" xr3:uid="{9B4EA2FD-CEBD-4565-BF6B-38F619A42A85}" name="HDSA/60"/>
    <tableColumn id="42" xr3:uid="{0A9D0441-50F1-434E-B767-C91F9572F656}" name="HDSF%"/>
    <tableColumn id="43" xr3:uid="{31AC8030-6B01-4B2C-9607-A25B03B27EC5}" name="HDGF/60"/>
    <tableColumn id="44" xr3:uid="{D11846B7-387A-4780-A063-A55BF52F420F}" name="HDGA/60"/>
    <tableColumn id="45" xr3:uid="{F7AB4A91-C1E9-4968-B28E-1875923BA6BB}" name="HDGF%"/>
    <tableColumn id="46" xr3:uid="{C5D97CB5-4B13-4278-97B2-9EDC86A9F6C8}" name="HDSH%"/>
    <tableColumn id="47" xr3:uid="{08D0CDFC-3E63-4FFE-BBBA-2FF62A85755B}" name="HDSV%"/>
    <tableColumn id="48" xr3:uid="{5A2D8769-D023-4D5A-BFD9-19ED5F0B3476}" name="MDCF/60"/>
    <tableColumn id="49" xr3:uid="{2AF7908C-5654-4619-8722-5D106E104109}" name="MDCA/60"/>
    <tableColumn id="50" xr3:uid="{2AA427A1-B1F0-41EE-8E14-34391E59F524}" name="MDCF%"/>
    <tableColumn id="51" xr3:uid="{EE36BB42-BBF7-480E-9BE4-E680DA4083E3}" name="MDSF/60"/>
    <tableColumn id="52" xr3:uid="{851A62F5-4C62-4438-9428-EAAD694D8E15}" name="MDSA/60"/>
    <tableColumn id="53" xr3:uid="{75004A92-C110-44B0-8925-ADEEE78F6F86}" name="MDSF%"/>
    <tableColumn id="54" xr3:uid="{E28802D7-3A60-4676-8EBA-17DBA2C21CBB}" name="MDGF/60"/>
    <tableColumn id="55" xr3:uid="{54B41F58-E6EC-4050-B3E5-B5333CE28218}" name="MDGA/60"/>
    <tableColumn id="56" xr3:uid="{F7A2AE4C-4D66-4A6A-A056-D68ACE3B4ABE}" name="MDGF%"/>
    <tableColumn id="57" xr3:uid="{278DE390-BECE-41E7-8B40-3C47CDB973A9}" name="MDSH%"/>
    <tableColumn id="58" xr3:uid="{BA0CD07C-F3D5-4A53-B682-F4B606B5012A}" name="MDSV%"/>
    <tableColumn id="59" xr3:uid="{871F263A-EB73-4AAC-A5E4-1A1C0BFDF316}" name="LDCF/60"/>
    <tableColumn id="60" xr3:uid="{AEB6B81E-18CF-4A99-A27E-D69F5023986F}" name="LDCA/60"/>
    <tableColumn id="61" xr3:uid="{DF7021C1-0CE6-4922-A2E7-C80747A75A16}" name="LDCF%"/>
    <tableColumn id="62" xr3:uid="{5A19B293-984A-452B-83BB-B5A36B98A3D0}" name="LDSF/60"/>
    <tableColumn id="63" xr3:uid="{31209944-9812-4760-A138-5352F2F226EC}" name="LDSA/60"/>
    <tableColumn id="64" xr3:uid="{77FBAA3C-495A-42C6-AB23-DBE6390501A7}" name="LDSF%"/>
    <tableColumn id="65" xr3:uid="{7E32E2E4-3D30-4574-B495-ECFFD42CB276}" name="LDGF/60"/>
    <tableColumn id="66" xr3:uid="{E5AD0C40-8350-492C-9AB7-4D84C69FBA81}" name="LDGA/60"/>
    <tableColumn id="67" xr3:uid="{B02B7F02-EE74-4657-85CE-5F1C4ABF5D9B}" name="LDGF%"/>
    <tableColumn id="68" xr3:uid="{9442461B-D434-4925-AFCF-042D38FFC5E6}" name="LDSH%"/>
    <tableColumn id="69" xr3:uid="{703E6FD1-9D44-4912-8FA7-595693296FBF}" name="LDSV%"/>
    <tableColumn id="70" xr3:uid="{655B1B33-9E34-4FA7-9958-C6584020C110}" name="SH%"/>
    <tableColumn id="71" xr3:uid="{00BCFE50-EA52-477D-AA1B-3CDA8D710CE9}" name="SV%"/>
    <tableColumn id="72" xr3:uid="{896AA1ED-F20B-443C-8B87-4B595F27A8C7}" name="PDO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2DAB7DC-C50E-43E2-99E3-2EA0F2AAA3F0}" name="Table9" displayName="Table9" ref="A184:BT215" totalsRowShown="0">
  <autoFilter ref="A184:BT215" xr:uid="{059CFA9D-B992-4086-8CE8-4FB225D5205B}"/>
  <tableColumns count="72">
    <tableColumn id="1" xr3:uid="{ED0F29B7-01B4-4986-B58E-F36AA2338BBF}" name="Column1"/>
    <tableColumn id="2" xr3:uid="{90F19D40-B853-41D4-9DE7-793B30E7EA80}" name="Team"/>
    <tableColumn id="3" xr3:uid="{0A61DD60-DBFD-4CA8-97D9-5C919505F3E1}" name="GP"/>
    <tableColumn id="4" xr3:uid="{A618E449-28B4-443E-B9A0-AD95622E6F7E}" name="TOI/GP" dataDxfId="31"/>
    <tableColumn id="5" xr3:uid="{C6C15467-61DA-440B-B4D6-DB6C5C6BFFD7}" name="W"/>
    <tableColumn id="6" xr3:uid="{1032A02D-8063-43AE-8E52-EDD7EED3B146}" name="L"/>
    <tableColumn id="7" xr3:uid="{B8838BE0-963D-4D73-A3A3-150087C0E738}" name="OTL"/>
    <tableColumn id="8" xr3:uid="{3660E50B-CA78-4245-AEB5-49A2E9491626}" name="ROW"/>
    <tableColumn id="9" xr3:uid="{3F9519C3-A569-475F-9F12-F5C9F9962145}" name="Points"/>
    <tableColumn id="10" xr3:uid="{F5FED3CB-5055-4581-B237-49E1DA7F3515}" name="Point %"/>
    <tableColumn id="11" xr3:uid="{BA71AFD6-E823-4083-BA0A-250ABF916534}" name="CF/60"/>
    <tableColumn id="12" xr3:uid="{7328C862-13C0-46E3-BB5D-3D06F6C22F5E}" name="CA/60"/>
    <tableColumn id="13" xr3:uid="{E544F547-7D82-4632-85BC-CB7922DDAABC}" name="CF%"/>
    <tableColumn id="14" xr3:uid="{344FEEA7-8ED3-4B62-AAB5-99F116BB1B44}" name="FF/60"/>
    <tableColumn id="15" xr3:uid="{18D51B4D-0879-4876-9CB4-D754BA804F40}" name="FA/60"/>
    <tableColumn id="16" xr3:uid="{AE7F84E6-F817-4B45-BC4E-802D7A9CE3EB}" name="FF%"/>
    <tableColumn id="17" xr3:uid="{241876CC-7C40-402E-AB16-24F3FCED0464}" name="SF/60"/>
    <tableColumn id="18" xr3:uid="{07896449-5F38-481F-A2AF-02D5C96CB267}" name="SA/60"/>
    <tableColumn id="19" xr3:uid="{42672417-9E71-4BA2-856A-8396F3850ACA}" name="SF%"/>
    <tableColumn id="20" xr3:uid="{190EE9A4-99CF-479D-AA21-FD8CBF1476C8}" name="GF/60"/>
    <tableColumn id="21" xr3:uid="{60D37D34-4C81-40F0-9828-C1B85783A84A}" name="GA/60"/>
    <tableColumn id="22" xr3:uid="{C54C305B-0450-4C7E-A9FB-C1E5DC66AEB0}" name="GF%"/>
    <tableColumn id="23" xr3:uid="{B3C9E09A-9749-4516-B31F-830F92FA2A39}" name="xGF/60"/>
    <tableColumn id="24" xr3:uid="{1189A613-AF14-41E4-AB3F-1E98AD4B0C03}" name="xGA/60"/>
    <tableColumn id="25" xr3:uid="{B1C012CB-6D27-4C46-936C-CC84A18C3606}" name="xGF%"/>
    <tableColumn id="26" xr3:uid="{81FBD317-6573-4EA5-8D75-BC3D7C65B622}" name="SCF/60"/>
    <tableColumn id="27" xr3:uid="{CC90CA70-91D4-4376-B222-373E83271E19}" name="SCA/60"/>
    <tableColumn id="28" xr3:uid="{F9CF6BEB-6509-4757-B79A-13E833147EEB}" name="SCF%"/>
    <tableColumn id="29" xr3:uid="{E01BDCD9-9118-4B5F-BAF8-5C3BA65D79C2}" name="SCSF/60"/>
    <tableColumn id="30" xr3:uid="{025D1B0C-CE53-4EC9-BB2A-06B0953B53D5}" name="SCSA/60"/>
    <tableColumn id="31" xr3:uid="{4FCDF660-00A1-44D9-9090-DC69A26CD5A2}" name="SCSF%"/>
    <tableColumn id="32" xr3:uid="{4D8D5DF6-D9A6-442A-8D97-68CDD3E12C56}" name="SCGF/60"/>
    <tableColumn id="33" xr3:uid="{9D783BCD-D10D-4BE6-944C-53389B10CECB}" name="SCGA/60"/>
    <tableColumn id="34" xr3:uid="{9AF1EE2E-BB7A-4314-8B42-B738269AB8C2}" name="SCGF%"/>
    <tableColumn id="35" xr3:uid="{4C418E8E-60A7-492A-937D-21E2CC6B2357}" name="SCSH%"/>
    <tableColumn id="36" xr3:uid="{A05443E1-A778-4F7F-81A0-AC4F9B5A7FA0}" name="SCSV%"/>
    <tableColumn id="37" xr3:uid="{05DE9350-DB8F-4A85-931C-A08660FDAFDF}" name="HDCF/60"/>
    <tableColumn id="38" xr3:uid="{AE762CDB-4767-4AED-A963-91F6C3864D69}" name="HDCA/60"/>
    <tableColumn id="39" xr3:uid="{C34D932B-5892-475F-8E10-20E1A6C802B3}" name="HDCF%"/>
    <tableColumn id="40" xr3:uid="{4F1DA9EB-406C-49E7-913D-CA91642E6101}" name="HDSF/60"/>
    <tableColumn id="41" xr3:uid="{74AAD107-F134-4297-9C0D-DA6551EB5735}" name="HDSA/60"/>
    <tableColumn id="42" xr3:uid="{F380D888-E83B-4E9A-9508-8E43C075793C}" name="HDSF%"/>
    <tableColumn id="43" xr3:uid="{DB1FCAD4-A8CE-46EC-92DB-A4E495798386}" name="HDGF/60"/>
    <tableColumn id="44" xr3:uid="{7006F96F-224F-4290-ACCE-7553AF695070}" name="HDGA/60"/>
    <tableColumn id="45" xr3:uid="{18EA331C-940F-4D35-A260-A6D1F8EA403E}" name="HDGF%"/>
    <tableColumn id="46" xr3:uid="{DADB564A-8DE0-4D63-8C66-E107E529D893}" name="HDSH%"/>
    <tableColumn id="47" xr3:uid="{7731A35C-080C-4109-B054-713E8BCC7179}" name="HDSV%"/>
    <tableColumn id="48" xr3:uid="{7264BB3A-257F-4B69-86ED-3B3CFC223DD5}" name="MDCF/60"/>
    <tableColumn id="49" xr3:uid="{669238D4-3B54-4B2D-893A-FC2091A287D0}" name="MDCA/60"/>
    <tableColumn id="50" xr3:uid="{1D3B4B9C-B9B4-46C0-B9FD-3C1C232FC7BA}" name="MDCF%"/>
    <tableColumn id="51" xr3:uid="{40C6730E-D913-495E-A95B-2F34DF668CDB}" name="MDSF/60"/>
    <tableColumn id="52" xr3:uid="{D9DECAB1-E0D9-4B4F-8820-AB819446A1A4}" name="MDSA/60"/>
    <tableColumn id="53" xr3:uid="{CFA01002-9585-4D95-A18C-056540499C1A}" name="MDSF%"/>
    <tableColumn id="54" xr3:uid="{FB5B6873-54D5-43E4-959C-96F23EDCB5DC}" name="MDGF/60"/>
    <tableColumn id="55" xr3:uid="{AFCF81EB-211E-4EC4-8C72-CEE465482DAE}" name="MDGA/60"/>
    <tableColumn id="56" xr3:uid="{D7761262-063D-4687-8320-EF4654514174}" name="MDGF%"/>
    <tableColumn id="57" xr3:uid="{C5C718C5-CABA-411A-8599-6DB7E852CDC9}" name="MDSH%"/>
    <tableColumn id="58" xr3:uid="{FA5F0F8A-B224-4DE4-A0CF-041D43044BDA}" name="MDSV%"/>
    <tableColumn id="59" xr3:uid="{2CB9DC27-1F3F-49A2-B8B9-231AD0CF5DF3}" name="LDCF/60"/>
    <tableColumn id="60" xr3:uid="{2C497F13-30AE-4CD2-9DB3-AE4A664F8B96}" name="LDCA/60"/>
    <tableColumn id="61" xr3:uid="{85D4CAB3-BC3F-46F9-91FF-41B3BE33DFC4}" name="LDCF%"/>
    <tableColumn id="62" xr3:uid="{986461B4-4696-46C8-ACB7-DD5AC18EDC9F}" name="LDSF/60"/>
    <tableColumn id="63" xr3:uid="{11311A91-32DD-470B-8792-D9B63D4DA60A}" name="LDSA/60"/>
    <tableColumn id="64" xr3:uid="{A985A054-DE7F-4F71-B78A-6FBAAD07DF5E}" name="LDSF%"/>
    <tableColumn id="65" xr3:uid="{CAE3CA6C-860E-4E59-9B1F-84E246F16E06}" name="LDGF/60"/>
    <tableColumn id="66" xr3:uid="{E89E0427-9DA1-49EC-B338-C1F986108B13}" name="LDGA/60"/>
    <tableColumn id="67" xr3:uid="{9B5750CE-890B-4A0E-BCC9-6D35C7741EC8}" name="LDGF%"/>
    <tableColumn id="68" xr3:uid="{4C797DCB-7D0E-44C1-B69B-F3659C51C0DC}" name="LDSH%"/>
    <tableColumn id="69" xr3:uid="{FFF6AE3C-2926-4AE4-92A4-C02EF23F1F5E}" name="LDSV%"/>
    <tableColumn id="70" xr3:uid="{22698678-DF7C-4504-8CBD-D21090425F4C}" name="SH%"/>
    <tableColumn id="71" xr3:uid="{A5F73758-C0FC-494B-9310-2936FA5149C8}" name="SV%"/>
    <tableColumn id="72" xr3:uid="{BEB312C2-B30F-4AA9-9E26-EAAFF4E8B4F5}" name="PDO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00B4A7-ED1B-4380-A1FD-F4E754D7B3F7}" name="Table_0__3" displayName="Table_0__3" ref="A2:BT33" totalsRowShown="0">
  <autoFilter ref="A2:BT33" xr:uid="{2226E78F-DD66-4AE4-A351-D294491A85FF}"/>
  <sortState xmlns:xlrd2="http://schemas.microsoft.com/office/spreadsheetml/2017/richdata2" ref="A3:BT33">
    <sortCondition ref="B2:B33"/>
  </sortState>
  <tableColumns count="72">
    <tableColumn id="1" xr3:uid="{B9C9BD72-78DC-4567-B0F0-FCF89A4A0E1C}" name="Column1"/>
    <tableColumn id="2" xr3:uid="{60EB1818-32C0-4D93-A108-6252B35727C5}" name="Team" dataDxfId="30"/>
    <tableColumn id="3" xr3:uid="{F17CFA20-2CD5-4433-BCE3-F8216309F2BE}" name="GP"/>
    <tableColumn id="4" xr3:uid="{C1428C60-E7FA-49E3-B421-9572FDAAB787}" name="TOI/GP" dataDxfId="29"/>
    <tableColumn id="5" xr3:uid="{21CED2EE-50CF-44CF-B972-815CDD52EFB1}" name="W"/>
    <tableColumn id="6" xr3:uid="{8F07A99F-09C6-40C5-8546-976762B74BCB}" name="L"/>
    <tableColumn id="7" xr3:uid="{7ACB0E1D-2710-4628-BF0F-C79699429549}" name="OTL"/>
    <tableColumn id="8" xr3:uid="{5E725DAF-D3C7-497A-949F-4CCED95C9BDC}" name="ROW"/>
    <tableColumn id="9" xr3:uid="{2FAB4D23-FCC4-47F8-91C5-EED26860E824}" name="Points"/>
    <tableColumn id="10" xr3:uid="{5D10BA5F-7A25-4A88-8909-F8856144D75D}" name="Point %"/>
    <tableColumn id="11" xr3:uid="{634EAE02-EC5A-4352-B327-9C08E1DB613D}" name="CF/60"/>
    <tableColumn id="12" xr3:uid="{0DCDF32E-E39B-4777-97DF-CAE9B10437C7}" name="CA/60"/>
    <tableColumn id="13" xr3:uid="{5A683FBF-0D3C-4085-8189-2C395A139354}" name="CF%"/>
    <tableColumn id="14" xr3:uid="{C4942EC1-90F7-430F-AE2A-CCBFCB641C3C}" name="FF/60"/>
    <tableColumn id="15" xr3:uid="{9E258336-3BB8-4AAD-B636-90413ACBD866}" name="FA/60"/>
    <tableColumn id="16" xr3:uid="{4DAE3DA3-A03E-4F03-B4EE-6AAB3AD76E62}" name="FF%"/>
    <tableColumn id="17" xr3:uid="{1D396200-9873-457B-9EF9-D3F1B815C55A}" name="SF/60"/>
    <tableColumn id="18" xr3:uid="{1444FA80-3C05-4B90-9647-85CFA02D7FC7}" name="SA/60"/>
    <tableColumn id="19" xr3:uid="{C22D247C-BFFE-4DF3-A024-6188834AF224}" name="SF%"/>
    <tableColumn id="20" xr3:uid="{DD31D2F7-99E1-4F5C-AE82-ED2B143BB77A}" name="GF/60"/>
    <tableColumn id="21" xr3:uid="{ABB83C14-D2A9-41D4-BE70-80A8634A626E}" name="GA/60"/>
    <tableColumn id="22" xr3:uid="{04AA687F-0CA7-4F2C-9873-7F07AAC0206A}" name="GF%"/>
    <tableColumn id="23" xr3:uid="{84B24658-3CD5-4F9F-9F24-83018369E1FD}" name="xGF/60"/>
    <tableColumn id="24" xr3:uid="{35FF2268-8DB8-41DC-82BF-6797BBF1B0FF}" name="xGA/60"/>
    <tableColumn id="25" xr3:uid="{414DE962-6C4C-4ADE-985E-A0D6FAA43DDE}" name="xGF%"/>
    <tableColumn id="26" xr3:uid="{E6AA8070-6B37-4CE4-BA04-964F301812D1}" name="SCF/60"/>
    <tableColumn id="27" xr3:uid="{56759DA2-9BA2-416E-81D5-E70EE3C37D21}" name="SCA/60"/>
    <tableColumn id="28" xr3:uid="{BA78D5B0-331D-44E8-A13D-2BED86181915}" name="SCF%"/>
    <tableColumn id="29" xr3:uid="{51B99D64-9E54-452E-8C22-81F7C9251D25}" name="SCSF/60"/>
    <tableColumn id="30" xr3:uid="{0D3646F3-13B9-48FB-80B1-2D28117D7DC0}" name="SCSA/60"/>
    <tableColumn id="31" xr3:uid="{F3513FC2-897E-4450-9180-0EECDFC55414}" name="SCSF%"/>
    <tableColumn id="32" xr3:uid="{F2B787C0-D9E8-4EC1-839A-20845656F078}" name="SCGF/60"/>
    <tableColumn id="33" xr3:uid="{C63781C7-AC7F-4374-95D5-CED4A881F514}" name="SCGA/60"/>
    <tableColumn id="34" xr3:uid="{08AD5C08-91E1-43CC-A541-532559BC0A0A}" name="SCGF%"/>
    <tableColumn id="35" xr3:uid="{75CB21EA-081A-4C06-A0C7-BC645BFA0D5B}" name="SCSH%"/>
    <tableColumn id="36" xr3:uid="{17B9CDF3-1C41-461C-8855-451E93DC2AD8}" name="SCSV%"/>
    <tableColumn id="37" xr3:uid="{8887C6AD-A3C1-4DF2-BD9F-5C5F986266EF}" name="HDCF/60"/>
    <tableColumn id="38" xr3:uid="{BA73A1FB-57A7-45F9-93ED-1BDC54F86175}" name="HDCA/60"/>
    <tableColumn id="39" xr3:uid="{C634C534-BDCC-4A19-8D41-54EB7C494B81}" name="HDCF%"/>
    <tableColumn id="40" xr3:uid="{5C2AB396-C315-4226-8A22-079B349E0B9F}" name="HDSF/60"/>
    <tableColumn id="41" xr3:uid="{789DE835-6732-4C38-AE09-E14C29389625}" name="HDSA/60"/>
    <tableColumn id="42" xr3:uid="{877F1E8F-F81A-413E-9C42-6BA5BD9D3D92}" name="HDSF%"/>
    <tableColumn id="43" xr3:uid="{485EA0CE-C9E3-4F18-AB9C-7F4D463D0904}" name="HDGF/60"/>
    <tableColumn id="44" xr3:uid="{6A22EADB-EA06-4336-A7B4-8AE23B327A76}" name="HDGA/60"/>
    <tableColumn id="45" xr3:uid="{A9E19625-3C12-4300-8235-2B5CD861A463}" name="HDGF%"/>
    <tableColumn id="46" xr3:uid="{B1C6FEC4-B0F5-4EAC-9BDE-38DD3ED3A990}" name="HDSH%"/>
    <tableColumn id="47" xr3:uid="{DDF9D877-B778-40A5-8D53-104592641939}" name="HDSV%"/>
    <tableColumn id="48" xr3:uid="{C79F5320-14DA-412D-8FDF-9A9D5E7B2B07}" name="MDCF/60"/>
    <tableColumn id="49" xr3:uid="{45AEB368-C50C-4F2C-AEBE-CF260C79DE2F}" name="MDCA/60" dataDxfId="28"/>
    <tableColumn id="50" xr3:uid="{4CB67320-BE88-462B-8A87-2EC49CA7A0AB}" name="MDCF%" dataDxfId="27"/>
    <tableColumn id="51" xr3:uid="{DBBE6C7E-C498-4587-962F-4E2EADD4D678}" name="MDSF/60"/>
    <tableColumn id="52" xr3:uid="{CD88D177-8720-40A1-8A25-0F5BB0C4C48F}" name="MDSA/60"/>
    <tableColumn id="53" xr3:uid="{DB8B2606-68D9-403B-A3F5-94C3DCE6DBD2}" name="MDSF%"/>
    <tableColumn id="54" xr3:uid="{3FD8F6CF-E513-4369-A1CD-601209374006}" name="MDGF/60"/>
    <tableColumn id="55" xr3:uid="{8BDE36BA-88C4-43C6-8FCF-38153AEDAA41}" name="MDGA/60"/>
    <tableColumn id="56" xr3:uid="{02DC2796-4B4A-4AE5-B1CD-774C5273FCEB}" name="MDGF%"/>
    <tableColumn id="57" xr3:uid="{00C9439A-4BBB-442B-8E56-60151F04A624}" name="MDSH%"/>
    <tableColumn id="58" xr3:uid="{5990C3D5-9166-4238-87D2-C57768F1DBA3}" name="MDSV%"/>
    <tableColumn id="59" xr3:uid="{2121F36F-0FA2-45E9-9DA7-393BE9FC5660}" name="LDCF/60"/>
    <tableColumn id="60" xr3:uid="{077C7FCA-CF02-4572-AE73-1F8BF0EE4ECF}" name="LDCA/60"/>
    <tableColumn id="61" xr3:uid="{7EE8077C-4D4B-49EC-8BDA-292F4A3A9B0C}" name="LDCF%"/>
    <tableColumn id="62" xr3:uid="{4F65BB4C-5C04-408F-939E-C5B5069C84BD}" name="LDSF/60"/>
    <tableColumn id="63" xr3:uid="{5F65382E-D281-4A79-B9B3-EFC1C63D72E8}" name="LDSA/60"/>
    <tableColumn id="64" xr3:uid="{42B87087-882A-46EA-89F3-B79BE47EB89F}" name="LDSF%"/>
    <tableColumn id="65" xr3:uid="{8D32ACEA-746E-472C-A3E3-EEDCFEFB09AA}" name="LDGF/60"/>
    <tableColumn id="66" xr3:uid="{8D447F85-6C0F-4541-ACC5-EA80A60F3F7D}" name="LDGA/60"/>
    <tableColumn id="67" xr3:uid="{9125BF4C-41AA-4470-A86D-BB7EE545F2F0}" name="LDGF%"/>
    <tableColumn id="68" xr3:uid="{38AAAF80-850B-4FA2-A919-0655B1B9357A}" name="LDSH%"/>
    <tableColumn id="69" xr3:uid="{12865808-41F6-40FD-AA0D-440BCDADDA0E}" name="LDSV%"/>
    <tableColumn id="70" xr3:uid="{1B495AA4-8E79-45AB-851C-6DEF6A0458B8}" name="SH%"/>
    <tableColumn id="71" xr3:uid="{01D04B0A-0F01-4B31-80C1-4B402D9F29A7}" name="SV%"/>
    <tableColumn id="72" xr3:uid="{0E567AA6-9716-4F90-899E-530F46B3A90E}" name="PDO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D6F6AE-BC9A-4EBB-8945-286B9353DC15}" name="Home_Even_Strength_Practice" displayName="Home_Even_Strength_Practice" ref="A4:AR35" tableType="queryTable" totalsRowShown="0">
  <autoFilter ref="A4:AR35" xr:uid="{C62B19C0-86F4-4336-9F33-7AD8B84CAEC3}"/>
  <tableColumns count="44">
    <tableColumn id="1" xr3:uid="{0750685E-6D08-4C22-ABBC-13F831CD2681}" uniqueName="1" name="Column1" queryTableFieldId="1"/>
    <tableColumn id="2" xr3:uid="{4A4F549C-A30C-4421-9FAE-2359C530B7AE}" uniqueName="2" name="Team" queryTableFieldId="2" dataDxfId="24"/>
    <tableColumn id="3" xr3:uid="{83236487-073B-49FB-9E33-315A967F67F4}" uniqueName="3" name="GP" queryTableFieldId="3"/>
    <tableColumn id="4" xr3:uid="{93234AAF-499F-4D78-B6E5-194A78B47936}" uniqueName="4" name="TOI/GP" queryTableFieldId="4" dataDxfId="23"/>
    <tableColumn id="5" xr3:uid="{19A1D48E-6EFC-464C-8C9D-6B044C6807F3}" uniqueName="5" name="W" queryTableFieldId="5"/>
    <tableColumn id="6" xr3:uid="{CBC90891-0CB2-4603-BED4-EEEF28E32125}" uniqueName="6" name="L" queryTableFieldId="6"/>
    <tableColumn id="7" xr3:uid="{9AA6EF42-5B9D-45B1-8F0D-2D1671B71C96}" uniqueName="7" name="OTL" queryTableFieldId="7"/>
    <tableColumn id="8" xr3:uid="{C2A03C84-1150-4366-89C7-0B5E068C2AFC}" uniqueName="8" name="ROW" queryTableFieldId="8"/>
    <tableColumn id="9" xr3:uid="{043068DF-8888-4977-8622-874F9875AD09}" uniqueName="9" name="Points" queryTableFieldId="9"/>
    <tableColumn id="10" xr3:uid="{D59ADA5B-7C73-47AD-BBE0-2C81B294CDCD}" uniqueName="10" name="Point %" queryTableFieldId="10"/>
    <tableColumn id="11" xr3:uid="{4749381D-D965-475A-99CB-67DC5E62EA49}" uniqueName="11" name="CF/60" queryTableFieldId="11"/>
    <tableColumn id="12" xr3:uid="{0790BFD3-10F8-454E-86AE-99ABE9602F60}" uniqueName="12" name="CA/60" queryTableFieldId="12"/>
    <tableColumn id="13" xr3:uid="{D28366DA-0BA8-4711-9D94-68CAF727CF91}" uniqueName="13" name="CF%" queryTableFieldId="13"/>
    <tableColumn id="14" xr3:uid="{54FF96EB-55A2-4038-AA44-5D3C42431C27}" uniqueName="14" name="FF/60" queryTableFieldId="14"/>
    <tableColumn id="15" xr3:uid="{8DFE6A9C-1B5D-4C9C-92A9-465816533B6A}" uniqueName="15" name="FA/60" queryTableFieldId="15"/>
    <tableColumn id="16" xr3:uid="{DADF54E5-8F12-4345-8C4C-62FF2DF8FD42}" uniqueName="16" name="FF%" queryTableFieldId="16"/>
    <tableColumn id="17" xr3:uid="{1C5F8180-CAA2-4309-B47F-C6F95DB4630C}" uniqueName="17" name="SF/60" queryTableFieldId="17"/>
    <tableColumn id="18" xr3:uid="{86DEBE91-E500-4395-9953-37FFA0EB3DBF}" uniqueName="18" name="SA/60" queryTableFieldId="18"/>
    <tableColumn id="19" xr3:uid="{63AEBCC1-0A11-48BE-B94E-E67A69D10D98}" uniqueName="19" name="SF%" queryTableFieldId="19"/>
    <tableColumn id="20" xr3:uid="{9BD10324-8F0C-4959-8CFD-33A260A69661}" uniqueName="20" name="GF/60" queryTableFieldId="20"/>
    <tableColumn id="21" xr3:uid="{7730DEF9-E3B0-4328-845C-650994204E32}" uniqueName="21" name="GA/60" queryTableFieldId="21"/>
    <tableColumn id="22" xr3:uid="{FA963F31-9423-4174-9D49-2B5744A54A4C}" uniqueName="22" name="GF%" queryTableFieldId="22"/>
    <tableColumn id="23" xr3:uid="{0A1858D4-0869-43E6-B7C6-B7483B0453A6}" uniqueName="23" name="xGF/60" queryTableFieldId="23"/>
    <tableColumn id="24" xr3:uid="{F98A2DB1-654D-4F1F-9F7E-8400D28BD561}" uniqueName="24" name="xGA/60" queryTableFieldId="24"/>
    <tableColumn id="25" xr3:uid="{127B44BC-9A63-41A6-A828-B756EA7BBB73}" uniqueName="25" name="xGF%" queryTableFieldId="25"/>
    <tableColumn id="26" xr3:uid="{4B5C5BC4-FDC3-48D7-9E74-3ABC5B648E09}" uniqueName="26" name="SCF/60" queryTableFieldId="26"/>
    <tableColumn id="27" xr3:uid="{2C89154C-CE32-4CB8-A25E-F54ACF3B6B99}" uniqueName="27" name="SCA/60" queryTableFieldId="27"/>
    <tableColumn id="28" xr3:uid="{428E6721-994C-4431-8D09-9F182226B4E9}" uniqueName="28" name="SCF%" queryTableFieldId="28"/>
    <tableColumn id="29" xr3:uid="{B03BC150-2AE1-4840-BBFB-D17D6E120BB2}" uniqueName="29" name="SCGF/60" queryTableFieldId="29"/>
    <tableColumn id="30" xr3:uid="{C10C1F19-585F-4E5E-A86B-A9F323F9386E}" uniqueName="30" name="SCGA/60" queryTableFieldId="30"/>
    <tableColumn id="31" xr3:uid="{B9733DD5-E691-4EEF-AA49-0E13F9B37775}" uniqueName="31" name="SCGF%" queryTableFieldId="31"/>
    <tableColumn id="32" xr3:uid="{2AEA9D58-B605-419B-AB55-5E5F30DE0079}" uniqueName="32" name="SCSH%" queryTableFieldId="32"/>
    <tableColumn id="33" xr3:uid="{561C696C-A162-48CA-889D-791417A874CE}" uniqueName="33" name="SCSV%" queryTableFieldId="33"/>
    <tableColumn id="34" xr3:uid="{3E5F56F6-F40F-4149-B708-956CFFACC087}" uniqueName="34" name="HDCF/60" queryTableFieldId="34"/>
    <tableColumn id="35" xr3:uid="{D8D9F3F8-5A40-4045-9105-41C4C5FD89C3}" uniqueName="35" name="HDCA/60" queryTableFieldId="35"/>
    <tableColumn id="36" xr3:uid="{D2A56AA3-4CDA-484F-8105-51613BD0257B}" uniqueName="36" name="HDCF%" queryTableFieldId="36"/>
    <tableColumn id="37" xr3:uid="{2E072485-6B48-4C77-9C57-C96A1BC67721}" uniqueName="37" name="HDGF/60" queryTableFieldId="37"/>
    <tableColumn id="38" xr3:uid="{B6F5A5A5-15BB-4F21-A694-70BA98D37131}" uniqueName="38" name="HDGA/60" queryTableFieldId="38"/>
    <tableColumn id="39" xr3:uid="{C4A41DDD-1349-4AE2-B9DE-87BF4FB90BFB}" uniqueName="39" name="HDGF%" queryTableFieldId="39"/>
    <tableColumn id="40" xr3:uid="{662B2CEF-CE8E-46BB-AEF3-F5309AD60FF9}" uniqueName="40" name="HDSH%" queryTableFieldId="40"/>
    <tableColumn id="41" xr3:uid="{0895F0D1-840C-4227-8BF1-E5FB046A4FC4}" uniqueName="41" name="HDSV%" queryTableFieldId="41"/>
    <tableColumn id="42" xr3:uid="{D8D6D230-364C-4B3B-98FD-3F32AB46F038}" uniqueName="42" name="SH%" queryTableFieldId="42"/>
    <tableColumn id="43" xr3:uid="{E5E707D8-BA16-4B0C-BAFA-DD65EC97CEEE}" uniqueName="43" name="SV%" queryTableFieldId="43"/>
    <tableColumn id="44" xr3:uid="{B01669DA-3C76-4F08-8556-6E166637D715}" uniqueName="44" name="PDO" queryTableFieldId="4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C55BD4-8526-408E-9095-487E69568B6A}" name="Away_Even_Strength_Practice" displayName="Away_Even_Strength_Practice" ref="A39:AR70" tableType="queryTable" totalsRowShown="0">
  <autoFilter ref="A39:AR70" xr:uid="{14AFD134-E411-48ED-96A4-427600DB8491}"/>
  <tableColumns count="44">
    <tableColumn id="1" xr3:uid="{A1B9FEFA-2AD7-4E95-97E2-1862DFA38608}" uniqueName="1" name="Column1" queryTableFieldId="1"/>
    <tableColumn id="2" xr3:uid="{14AD0E3A-A728-4EC5-8D87-816224BE74D6}" uniqueName="2" name="Team" queryTableFieldId="2" dataDxfId="22"/>
    <tableColumn id="3" xr3:uid="{94851666-990D-452C-AE1D-CFE0C83B9786}" uniqueName="3" name="GP" queryTableFieldId="3"/>
    <tableColumn id="4" xr3:uid="{519BFA65-29CA-428B-8958-7E2CAD39134C}" uniqueName="4" name="TOI/GP" queryTableFieldId="4" dataDxfId="21"/>
    <tableColumn id="5" xr3:uid="{96132C01-247D-4A01-8733-91FB60D05AA6}" uniqueName="5" name="W" queryTableFieldId="5"/>
    <tableColumn id="6" xr3:uid="{C890255F-65C9-49E4-9426-A343DA48F275}" uniqueName="6" name="L" queryTableFieldId="6"/>
    <tableColumn id="7" xr3:uid="{1A279096-161E-40F2-90B8-9CBDF6BD8AB6}" uniqueName="7" name="OTL" queryTableFieldId="7"/>
    <tableColumn id="8" xr3:uid="{0385C46B-EBD8-4F17-876D-4444D97A8EE8}" uniqueName="8" name="ROW" queryTableFieldId="8"/>
    <tableColumn id="9" xr3:uid="{13573C9D-6B81-4FDB-AEF6-33865BB8F631}" uniqueName="9" name="Points" queryTableFieldId="9"/>
    <tableColumn id="10" xr3:uid="{91493154-306D-46C0-B9A2-DD16C9BA02A3}" uniqueName="10" name="Point %" queryTableFieldId="10"/>
    <tableColumn id="11" xr3:uid="{DF6DE72D-A26A-4FDD-9EAA-52AF206DBAF9}" uniqueName="11" name="CF/60" queryTableFieldId="11"/>
    <tableColumn id="12" xr3:uid="{C639215D-0B2C-4CCD-AB5D-496B855734FF}" uniqueName="12" name="CA/60" queryTableFieldId="12"/>
    <tableColumn id="13" xr3:uid="{A2C32642-A7C1-42CD-A0D6-6B80A5BF0D68}" uniqueName="13" name="CF%" queryTableFieldId="13"/>
    <tableColumn id="14" xr3:uid="{CAD8E627-F259-4D68-BF10-62E743F8A91E}" uniqueName="14" name="FF/60" queryTableFieldId="14"/>
    <tableColumn id="15" xr3:uid="{90B90F1E-260B-4F91-B548-B34A83214863}" uniqueName="15" name="FA/60" queryTableFieldId="15"/>
    <tableColumn id="16" xr3:uid="{0282A5D6-0C02-457E-9CD7-83E10090895D}" uniqueName="16" name="FF%" queryTableFieldId="16"/>
    <tableColumn id="17" xr3:uid="{9EB55775-B967-4847-815B-5DE7B2CAD196}" uniqueName="17" name="SF/60" queryTableFieldId="17"/>
    <tableColumn id="18" xr3:uid="{E42812AC-C6CF-44BD-9D76-1A51E52D88FF}" uniqueName="18" name="SA/60" queryTableFieldId="18"/>
    <tableColumn id="19" xr3:uid="{EB1F1FA4-1243-41E6-902C-CD59699AE1D4}" uniqueName="19" name="SF%" queryTableFieldId="19"/>
    <tableColumn id="20" xr3:uid="{34B6B21C-6D74-4D2F-BFB7-7F6981C0880B}" uniqueName="20" name="GF/60" queryTableFieldId="20"/>
    <tableColumn id="21" xr3:uid="{54289F08-C56E-4CC7-9144-2EC20059241E}" uniqueName="21" name="GA/60" queryTableFieldId="21"/>
    <tableColumn id="22" xr3:uid="{D4F6C336-776F-4621-9678-EF8B88E5CD1D}" uniqueName="22" name="GF%" queryTableFieldId="22"/>
    <tableColumn id="23" xr3:uid="{95F954AF-44C3-454D-AB7B-F6EBE8F38814}" uniqueName="23" name="xGF/60" queryTableFieldId="23"/>
    <tableColumn id="24" xr3:uid="{FC140264-6EDC-4CB1-BB20-74D645B10CC7}" uniqueName="24" name="xGA/60" queryTableFieldId="24"/>
    <tableColumn id="25" xr3:uid="{1B2EE21E-B29B-414F-8F9A-621A2763CEB4}" uniqueName="25" name="xGF%" queryTableFieldId="25"/>
    <tableColumn id="26" xr3:uid="{69D3E455-F9D1-4F1B-881D-4A1A82134422}" uniqueName="26" name="SCF/60" queryTableFieldId="26"/>
    <tableColumn id="27" xr3:uid="{3AF3954B-D4BE-44E6-A19C-8464AA67F19D}" uniqueName="27" name="SCA/60" queryTableFieldId="27"/>
    <tableColumn id="28" xr3:uid="{D023AFF9-45B5-4915-863D-5AD96C3FFA03}" uniqueName="28" name="SCF%" queryTableFieldId="28"/>
    <tableColumn id="29" xr3:uid="{117D46BF-D730-4D8F-93BD-A478656807A8}" uniqueName="29" name="SCGF/60" queryTableFieldId="29"/>
    <tableColumn id="30" xr3:uid="{68644B38-25EB-4C48-8095-252354794617}" uniqueName="30" name="SCGA/60" queryTableFieldId="30"/>
    <tableColumn id="31" xr3:uid="{ACCADB31-2E69-457D-88B7-937833223FAA}" uniqueName="31" name="SCGF%" queryTableFieldId="31"/>
    <tableColumn id="32" xr3:uid="{D9F36E69-9C79-4B0B-A9C5-31738DBB37B2}" uniqueName="32" name="SCSH%" queryTableFieldId="32"/>
    <tableColumn id="33" xr3:uid="{D2D69C09-0E18-4478-AAF4-274CE9C33E51}" uniqueName="33" name="SCSV%" queryTableFieldId="33"/>
    <tableColumn id="34" xr3:uid="{A38C746E-967D-4270-8966-B96F850C348F}" uniqueName="34" name="HDCF/60" queryTableFieldId="34"/>
    <tableColumn id="35" xr3:uid="{47468B2C-E069-48E6-9344-9C7168B4E1EF}" uniqueName="35" name="HDCA/60" queryTableFieldId="35"/>
    <tableColumn id="36" xr3:uid="{2BEFDB53-D18E-4158-ACC1-FE64D136AECC}" uniqueName="36" name="HDCF%" queryTableFieldId="36"/>
    <tableColumn id="37" xr3:uid="{5B5AF4F4-7758-4BB1-A423-2B9676F6E647}" uniqueName="37" name="HDGF/60" queryTableFieldId="37"/>
    <tableColumn id="38" xr3:uid="{2E79C96F-B310-44BB-AC04-539826F9ABD7}" uniqueName="38" name="HDGA/60" queryTableFieldId="38"/>
    <tableColumn id="39" xr3:uid="{616B7374-04AA-4CA6-88FF-DEDF873113E9}" uniqueName="39" name="HDGF%" queryTableFieldId="39"/>
    <tableColumn id="40" xr3:uid="{BD7386BD-2443-4838-A8A1-B5E66DEC0AA5}" uniqueName="40" name="HDSH%" queryTableFieldId="40"/>
    <tableColumn id="41" xr3:uid="{9C5693F8-81C2-488B-AB38-2F576B917865}" uniqueName="41" name="HDSV%" queryTableFieldId="41"/>
    <tableColumn id="42" xr3:uid="{154F7240-C973-484E-908B-1CD5ADE59421}" uniqueName="42" name="SH%" queryTableFieldId="42"/>
    <tableColumn id="43" xr3:uid="{43F5E860-59DF-4D23-A587-3F0490F70D39}" uniqueName="43" name="SV%" queryTableFieldId="43"/>
    <tableColumn id="44" xr3:uid="{7B01A17E-8AA7-46CE-8849-1BE700577935}" uniqueName="44" name="PDO" queryTableFieldId="4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817003-274E-4A19-9B72-CCB75000934D}" name="Home_Power_Play_Practice" displayName="Home_Power_Play_Practice" ref="A74:AR105" tableType="queryTable" totalsRowShown="0">
  <autoFilter ref="A74:AR105" xr:uid="{67C4DB66-5125-42EB-9BC9-FBE0B7D5589B}"/>
  <tableColumns count="44">
    <tableColumn id="1" xr3:uid="{704E85CE-A225-43B9-9C8A-E24CCD436226}" uniqueName="1" name="Column1" queryTableFieldId="1"/>
    <tableColumn id="2" xr3:uid="{FDA7463C-FDB0-4F04-8918-647C42AE5327}" uniqueName="2" name="Team" queryTableFieldId="2" dataDxfId="20"/>
    <tableColumn id="3" xr3:uid="{28E959EF-EBC5-4978-89EF-248AB7777C49}" uniqueName="3" name="GP" queryTableFieldId="3"/>
    <tableColumn id="4" xr3:uid="{2F7969F1-F34C-4D92-8A4A-B81C528C8DE6}" uniqueName="4" name="TOI/GP" queryTableFieldId="4" dataDxfId="19"/>
    <tableColumn id="5" xr3:uid="{2C931B7A-4F52-4247-B1D2-35BF4DC298CA}" uniqueName="5" name="W" queryTableFieldId="5"/>
    <tableColumn id="6" xr3:uid="{6C1D872D-16B3-41E1-A213-13C012EE1826}" uniqueName="6" name="L" queryTableFieldId="6"/>
    <tableColumn id="7" xr3:uid="{7F975CE5-8E91-4765-8B39-46DB7E458106}" uniqueName="7" name="OTL" queryTableFieldId="7"/>
    <tableColumn id="8" xr3:uid="{67A4D9BC-7757-48D1-B51E-5FBE7FBB0263}" uniqueName="8" name="ROW" queryTableFieldId="8"/>
    <tableColumn id="9" xr3:uid="{090CC11B-8B73-4202-A9A6-167209AC0041}" uniqueName="9" name="Points" queryTableFieldId="9"/>
    <tableColumn id="10" xr3:uid="{99101669-A201-4076-AD17-8292FB2ADEC1}" uniqueName="10" name="Point %" queryTableFieldId="10"/>
    <tableColumn id="11" xr3:uid="{DA2605E3-3166-4A25-B744-518EB6800A71}" uniqueName="11" name="CF/60" queryTableFieldId="11"/>
    <tableColumn id="12" xr3:uid="{C08F1C16-2D74-4127-9190-90C966B11BA6}" uniqueName="12" name="CA/60" queryTableFieldId="12"/>
    <tableColumn id="13" xr3:uid="{FEDE937E-5331-485A-86C6-2DC31E7CBEEA}" uniqueName="13" name="CF%" queryTableFieldId="13"/>
    <tableColumn id="14" xr3:uid="{9997ACBE-9467-45C5-B111-EAAE81B7CE98}" uniqueName="14" name="FF/60" queryTableFieldId="14"/>
    <tableColumn id="15" xr3:uid="{4B659F91-9ACF-4493-BDEE-EB9179C20506}" uniqueName="15" name="FA/60" queryTableFieldId="15"/>
    <tableColumn id="16" xr3:uid="{959F0C9E-DA9E-4F41-81FD-703068ED67BA}" uniqueName="16" name="FF%" queryTableFieldId="16"/>
    <tableColumn id="17" xr3:uid="{C5BCD59E-E7ED-43FA-9F6A-BCD5CE099ACE}" uniqueName="17" name="SF/60" queryTableFieldId="17"/>
    <tableColumn id="18" xr3:uid="{F96D11E4-B1CA-4BA1-BC57-E575A346930B}" uniqueName="18" name="SA/60" queryTableFieldId="18"/>
    <tableColumn id="19" xr3:uid="{1A24D3B8-F1FD-4804-957B-FC5238078442}" uniqueName="19" name="SF%" queryTableFieldId="19"/>
    <tableColumn id="20" xr3:uid="{A567B481-6A31-4FBF-8F46-00ED132F83A0}" uniqueName="20" name="GF/60" queryTableFieldId="20"/>
    <tableColumn id="21" xr3:uid="{B2FE8E39-48E9-460B-966F-0992BABA46F1}" uniqueName="21" name="GA/60" queryTableFieldId="21"/>
    <tableColumn id="22" xr3:uid="{75B54FF0-B669-4FF5-AE03-FE49030985A0}" uniqueName="22" name="GF%" queryTableFieldId="22"/>
    <tableColumn id="23" xr3:uid="{FC7329C3-7453-4E2B-8CA7-C72F5957E068}" uniqueName="23" name="xGF/60" queryTableFieldId="23"/>
    <tableColumn id="24" xr3:uid="{2AB01BF6-AE53-4CF4-97D4-404A6B5CA22D}" uniqueName="24" name="xGA/60" queryTableFieldId="24"/>
    <tableColumn id="25" xr3:uid="{E7155E46-0A0D-438B-BCB1-18C20F8AF5F9}" uniqueName="25" name="xGF%" queryTableFieldId="25"/>
    <tableColumn id="26" xr3:uid="{63EE3D32-4E54-422A-94CE-8A2472371BCE}" uniqueName="26" name="SCF/60" queryTableFieldId="26"/>
    <tableColumn id="27" xr3:uid="{806D14E4-2BB2-48A2-B4AB-DD331A0459E7}" uniqueName="27" name="SCA/60" queryTableFieldId="27"/>
    <tableColumn id="28" xr3:uid="{CB40E952-85B3-48A7-9778-55563489A69D}" uniqueName="28" name="SCF%" queryTableFieldId="28"/>
    <tableColumn id="29" xr3:uid="{A6160EC5-63F9-4608-8AC9-9975F9A042E6}" uniqueName="29" name="SCGF/60" queryTableFieldId="29"/>
    <tableColumn id="30" xr3:uid="{801CC65B-AE07-4A88-B521-9C7E0062915B}" uniqueName="30" name="SCGA/60" queryTableFieldId="30"/>
    <tableColumn id="31" xr3:uid="{EF20D86B-D572-411A-B21C-735EA8B2A2D7}" uniqueName="31" name="SCGF%" queryTableFieldId="31" dataDxfId="18"/>
    <tableColumn id="32" xr3:uid="{F2622043-B005-4113-AFA9-205633685D6A}" uniqueName="32" name="SCSH%" queryTableFieldId="32"/>
    <tableColumn id="33" xr3:uid="{A18072EE-39A7-4C81-BDCC-13827E420E2C}" uniqueName="33" name="SCSV%" queryTableFieldId="33" dataDxfId="17"/>
    <tableColumn id="34" xr3:uid="{CD7611F7-1C29-431E-94CA-9CFAA0B6D41D}" uniqueName="34" name="HDCF/60" queryTableFieldId="34"/>
    <tableColumn id="35" xr3:uid="{0A92010B-4711-4C3C-8C0B-58F3C975592B}" uniqueName="35" name="HDCA/60" queryTableFieldId="35"/>
    <tableColumn id="36" xr3:uid="{F7843410-F59B-4444-B4B5-1D7BA7878339}" uniqueName="36" name="HDCF%" queryTableFieldId="36"/>
    <tableColumn id="37" xr3:uid="{7AB31BD0-AFF4-4CE2-89C5-AD39C707A1A3}" uniqueName="37" name="HDGF/60" queryTableFieldId="37"/>
    <tableColumn id="38" xr3:uid="{93B62813-DB45-4056-BA8B-069A8DB44C00}" uniqueName="38" name="HDGA/60" queryTableFieldId="38"/>
    <tableColumn id="39" xr3:uid="{AAC9A410-F2C6-4A04-961C-BEF786F46373}" uniqueName="39" name="HDGF%" queryTableFieldId="39" dataDxfId="16"/>
    <tableColumn id="40" xr3:uid="{F5EAA8EF-57C4-4793-AA3A-7534AD81C0F0}" uniqueName="40" name="HDSH%" queryTableFieldId="40"/>
    <tableColumn id="41" xr3:uid="{909905B0-C469-4A62-BC6E-4A6EC04ADC6E}" uniqueName="41" name="HDSV%" queryTableFieldId="41" dataDxfId="15"/>
    <tableColumn id="42" xr3:uid="{9308B2E7-D6E7-4067-95AC-C233D0B2EB59}" uniqueName="42" name="SH%" queryTableFieldId="42"/>
    <tableColumn id="43" xr3:uid="{A1A45F52-7316-4E35-929B-9FCF6E80B866}" uniqueName="43" name="SV%" queryTableFieldId="43"/>
    <tableColumn id="44" xr3:uid="{0EC93E54-B4D1-4C87-B0A0-E3E88D369936}" uniqueName="44" name="PDO" queryTableFieldId="4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C8952B1-77A0-4C36-ACDB-8A8EB4DD178E}" name="Away_Power_Play_Practice" displayName="Away_Power_Play_Practice" ref="A109:AR140" tableType="queryTable" totalsRowShown="0">
  <autoFilter ref="A109:AR140" xr:uid="{C517F3DF-BD09-45F7-8001-F0F96874BB77}"/>
  <tableColumns count="44">
    <tableColumn id="1" xr3:uid="{B341790C-3D72-4EE9-9C2B-513052BB65AF}" uniqueName="1" name="Column1" queryTableFieldId="1"/>
    <tableColumn id="2" xr3:uid="{CE291D18-50D9-4070-889A-2F0AFBD8AC36}" uniqueName="2" name="Team" queryTableFieldId="2" dataDxfId="14"/>
    <tableColumn id="3" xr3:uid="{7AD81091-2C8B-465F-89B6-3C1656CE2336}" uniqueName="3" name="GP" queryTableFieldId="3"/>
    <tableColumn id="4" xr3:uid="{9D124648-F420-4745-A5A4-EBB073FBE3DD}" uniqueName="4" name="TOI/GP" queryTableFieldId="4" dataDxfId="13"/>
    <tableColumn id="5" xr3:uid="{9F0D10F0-4B4D-4F9D-AE8E-47CC4318F702}" uniqueName="5" name="W" queryTableFieldId="5"/>
    <tableColumn id="6" xr3:uid="{C15A4AEC-107F-4476-BBDB-03280C89062E}" uniqueName="6" name="L" queryTableFieldId="6"/>
    <tableColumn id="7" xr3:uid="{E6D2DBE6-81BD-464E-B08E-972DE9F37EC7}" uniqueName="7" name="OTL" queryTableFieldId="7"/>
    <tableColumn id="8" xr3:uid="{DC7E6C9F-0DC6-4E49-B95A-8EB632FF79FA}" uniqueName="8" name="ROW" queryTableFieldId="8"/>
    <tableColumn id="9" xr3:uid="{C2283BE4-145E-4CD7-9E1A-08D135F5596E}" uniqueName="9" name="Points" queryTableFieldId="9"/>
    <tableColumn id="10" xr3:uid="{57DA8466-34CE-42F6-BFCC-5FD1DA7127C6}" uniqueName="10" name="Point %" queryTableFieldId="10"/>
    <tableColumn id="11" xr3:uid="{50411792-735C-4857-BFE5-8831B4B869AC}" uniqueName="11" name="CF/60" queryTableFieldId="11"/>
    <tableColumn id="12" xr3:uid="{06991004-C3ED-452C-9AA1-B77C6A4CED97}" uniqueName="12" name="CA/60" queryTableFieldId="12"/>
    <tableColumn id="13" xr3:uid="{4AE0599B-14BF-4E48-AA37-781176472EBD}" uniqueName="13" name="CF%" queryTableFieldId="13"/>
    <tableColumn id="14" xr3:uid="{758AE93C-7CC5-411A-BA9A-187856BF369C}" uniqueName="14" name="FF/60" queryTableFieldId="14"/>
    <tableColumn id="15" xr3:uid="{2C72320C-318C-4D80-8A57-FB686387B541}" uniqueName="15" name="FA/60" queryTableFieldId="15"/>
    <tableColumn id="16" xr3:uid="{BF60E4E1-C240-4B8A-884B-3E0301EEFF2A}" uniqueName="16" name="FF%" queryTableFieldId="16"/>
    <tableColumn id="17" xr3:uid="{9B900CD9-4ECD-4344-B681-9B21BF22DD36}" uniqueName="17" name="SF/60" queryTableFieldId="17"/>
    <tableColumn id="18" xr3:uid="{A36FD4AD-11E0-454A-85D9-5C37F8F65E4C}" uniqueName="18" name="SA/60" queryTableFieldId="18"/>
    <tableColumn id="19" xr3:uid="{9B0B9D78-0A6B-4D78-9088-D270417A5922}" uniqueName="19" name="SF%" queryTableFieldId="19"/>
    <tableColumn id="20" xr3:uid="{C470EBED-8995-4397-A2F3-B7064F33D68A}" uniqueName="20" name="GF/60" queryTableFieldId="20"/>
    <tableColumn id="21" xr3:uid="{7CFBB4F0-877C-4CDF-BD81-35336F8CA318}" uniqueName="21" name="GA/60" queryTableFieldId="21"/>
    <tableColumn id="22" xr3:uid="{E24CC7FE-5146-4237-9F29-8402E1A5DB1B}" uniqueName="22" name="GF%" queryTableFieldId="22"/>
    <tableColumn id="23" xr3:uid="{9EC077F9-57D2-4177-AF1D-EAE8C408E060}" uniqueName="23" name="xGF/60" queryTableFieldId="23"/>
    <tableColumn id="24" xr3:uid="{71073BFD-1A74-4615-A2F6-15F7B00A2372}" uniqueName="24" name="xGA/60" queryTableFieldId="24"/>
    <tableColumn id="25" xr3:uid="{6EE6FE67-E3EB-4CBF-98AE-F1D643135692}" uniqueName="25" name="xGF%" queryTableFieldId="25"/>
    <tableColumn id="26" xr3:uid="{3E2AC65F-A24F-4108-B8BD-1D83181DF733}" uniqueName="26" name="SCF/60" queryTableFieldId="26"/>
    <tableColumn id="27" xr3:uid="{91A3CD76-01D9-48F7-AB13-C59A0BE32A25}" uniqueName="27" name="SCA/60" queryTableFieldId="27"/>
    <tableColumn id="28" xr3:uid="{57978111-9633-48FB-ABE5-4431186961A4}" uniqueName="28" name="SCF%" queryTableFieldId="28"/>
    <tableColumn id="29" xr3:uid="{D0004B56-9ED3-480E-BFDF-7E064BA6B54A}" uniqueName="29" name="SCGF/60" queryTableFieldId="29"/>
    <tableColumn id="30" xr3:uid="{FD65809D-E359-4F1F-AA83-DD668D1A13DC}" uniqueName="30" name="SCGA/60" queryTableFieldId="30"/>
    <tableColumn id="31" xr3:uid="{5A976D59-15C5-461C-B6AC-72C5AD24EFDD}" uniqueName="31" name="SCGF%" queryTableFieldId="31"/>
    <tableColumn id="32" xr3:uid="{A9B89B7E-57CF-40EB-962F-B4D326E9F38D}" uniqueName="32" name="SCSH%" queryTableFieldId="32"/>
    <tableColumn id="33" xr3:uid="{627C3368-A735-4B5A-9538-5488FC85A861}" uniqueName="33" name="SCSV%" queryTableFieldId="33"/>
    <tableColumn id="34" xr3:uid="{4B9F004C-D556-4893-838C-94BF092D0DD9}" uniqueName="34" name="HDCF/60" queryTableFieldId="34"/>
    <tableColumn id="35" xr3:uid="{5D52388C-5784-4717-BC6D-971CEEF112EE}" uniqueName="35" name="HDCA/60" queryTableFieldId="35"/>
    <tableColumn id="36" xr3:uid="{E2826439-564F-4BFB-86B2-7BD5D3792848}" uniqueName="36" name="HDCF%" queryTableFieldId="36"/>
    <tableColumn id="37" xr3:uid="{3AA90855-88B1-4D6D-B431-3B356EB3D835}" uniqueName="37" name="HDGF/60" queryTableFieldId="37"/>
    <tableColumn id="38" xr3:uid="{429BD79C-B899-42A6-BD45-82B3A69DB5CC}" uniqueName="38" name="HDGA/60" queryTableFieldId="38"/>
    <tableColumn id="39" xr3:uid="{171CABAF-4713-4DDF-BE4F-E5678A2D62A4}" uniqueName="39" name="HDGF%" queryTableFieldId="39" dataDxfId="12"/>
    <tableColumn id="40" xr3:uid="{9582DE6B-6113-4465-A864-0EDD5E7155D1}" uniqueName="40" name="HDSH%" queryTableFieldId="40"/>
    <tableColumn id="41" xr3:uid="{A1CAB0B5-7625-4CBE-8642-FBFCFA1F88A2}" uniqueName="41" name="HDSV%" queryTableFieldId="41" dataDxfId="11"/>
    <tableColumn id="42" xr3:uid="{A4933CBD-F54A-427F-8120-97F659C7D085}" uniqueName="42" name="SH%" queryTableFieldId="42"/>
    <tableColumn id="43" xr3:uid="{D8AD92BE-1335-4870-AA2A-1F772DEB9EC8}" uniqueName="43" name="SV%" queryTableFieldId="43"/>
    <tableColumn id="44" xr3:uid="{4197C3A9-7BC0-41D0-9F1B-D2421AFB058D}" uniqueName="44" name="PDO" queryTableFieldId="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B6D683-1EBE-4751-AFE8-15562F9FE079}" name="Home_Penalty_Kill" displayName="Home_Penalty_Kill" ref="A144:AR175" tableType="queryTable" totalsRowShown="0">
  <autoFilter ref="A144:AR175" xr:uid="{261671A5-9DD9-488C-9B7D-12403E1EC127}"/>
  <tableColumns count="44">
    <tableColumn id="1" xr3:uid="{9B1C6479-7E66-4C7C-BEC5-89485925EF94}" uniqueName="1" name="Column1" queryTableFieldId="1"/>
    <tableColumn id="2" xr3:uid="{3DABFD8B-99FF-44C4-9B6A-9D46C4640795}" uniqueName="2" name="Team" queryTableFieldId="2" dataDxfId="10"/>
    <tableColumn id="3" xr3:uid="{D49F99D3-3972-49B2-A8C6-F4E719DA7D84}" uniqueName="3" name="GP" queryTableFieldId="3"/>
    <tableColumn id="4" xr3:uid="{5A89B028-0A04-4A01-9ABD-9B85AF7452F4}" uniqueName="4" name="TOI/GP" queryTableFieldId="4" dataDxfId="9"/>
    <tableColumn id="5" xr3:uid="{41CB4127-89DF-46B2-BB0A-AC6D9D724024}" uniqueName="5" name="W" queryTableFieldId="5"/>
    <tableColumn id="6" xr3:uid="{A11EB00B-7959-4703-82EF-7BB1B1C4CCC6}" uniqueName="6" name="L" queryTableFieldId="6"/>
    <tableColumn id="7" xr3:uid="{B6236180-40CD-4B69-9CFC-503D015D8A7D}" uniqueName="7" name="OTL" queryTableFieldId="7"/>
    <tableColumn id="8" xr3:uid="{E0B0212B-3975-4A10-A3E2-BA1371FABD53}" uniqueName="8" name="ROW" queryTableFieldId="8"/>
    <tableColumn id="9" xr3:uid="{4752D976-0B6C-437D-AD47-3AB8FEFA5011}" uniqueName="9" name="Points" queryTableFieldId="9"/>
    <tableColumn id="10" xr3:uid="{26CCD848-7FAD-4785-8D1F-A6F960B4E03E}" uniqueName="10" name="Point %" queryTableFieldId="10"/>
    <tableColumn id="11" xr3:uid="{5434BFCB-1E00-491F-A0F0-846932826BEA}" uniqueName="11" name="CF/60" queryTableFieldId="11"/>
    <tableColumn id="12" xr3:uid="{2CAA9E71-CD60-499B-9045-4D7358572572}" uniqueName="12" name="CA/60" queryTableFieldId="12"/>
    <tableColumn id="13" xr3:uid="{C98B24B8-2C03-46E7-8019-9ED41776C25C}" uniqueName="13" name="CF%" queryTableFieldId="13"/>
    <tableColumn id="14" xr3:uid="{C59E21F4-96F4-4D32-B52B-CBDD75EF5013}" uniqueName="14" name="FF/60" queryTableFieldId="14"/>
    <tableColumn id="15" xr3:uid="{F4671E1F-5F50-43D8-8ED0-4DD801E87E7A}" uniqueName="15" name="FA/60" queryTableFieldId="15"/>
    <tableColumn id="16" xr3:uid="{733A1938-6F89-44E7-99D6-E94869C2FF46}" uniqueName="16" name="FF%" queryTableFieldId="16"/>
    <tableColumn id="17" xr3:uid="{4533D97F-2056-41C4-BA06-44A07F154E3A}" uniqueName="17" name="SF/60" queryTableFieldId="17"/>
    <tableColumn id="18" xr3:uid="{4839D30F-8E6B-4C87-82A8-7EEA66FAD35D}" uniqueName="18" name="SA/60" queryTableFieldId="18"/>
    <tableColumn id="19" xr3:uid="{1E0FB464-EF58-446F-A414-F34C4B968593}" uniqueName="19" name="SF%" queryTableFieldId="19"/>
    <tableColumn id="20" xr3:uid="{6ACFF01A-B69B-466A-9490-4D8BC0683123}" uniqueName="20" name="GF/60" queryTableFieldId="20"/>
    <tableColumn id="21" xr3:uid="{F2A303F4-299D-4BCA-956A-12C0BF98CEC0}" uniqueName="21" name="GA/60" queryTableFieldId="21"/>
    <tableColumn id="22" xr3:uid="{0E84A1DE-550D-4AA8-A546-2F5F9474012B}" uniqueName="22" name="GF%" queryTableFieldId="22"/>
    <tableColumn id="23" xr3:uid="{54B125C0-72AE-4C83-9452-27688D9EED05}" uniqueName="23" name="xGF/60" queryTableFieldId="23"/>
    <tableColumn id="24" xr3:uid="{A1F6F4E7-86B2-4257-BAEA-A1E6F0F4083B}" uniqueName="24" name="xGA/60" queryTableFieldId="24"/>
    <tableColumn id="25" xr3:uid="{FC2E0B77-BDAE-4C2F-902C-D1B75D9801EF}" uniqueName="25" name="xGF%" queryTableFieldId="25"/>
    <tableColumn id="26" xr3:uid="{ABCCF1E7-0200-46D2-AE9A-7B50A1ACC5A4}" uniqueName="26" name="SCF/60" queryTableFieldId="26"/>
    <tableColumn id="27" xr3:uid="{E8425998-8051-4B9A-9ECA-E4E6FD9E9599}" uniqueName="27" name="SCA/60" queryTableFieldId="27"/>
    <tableColumn id="28" xr3:uid="{AD8F7C28-F91C-4414-A206-45F31413EBAA}" uniqueName="28" name="SCF%" queryTableFieldId="28"/>
    <tableColumn id="29" xr3:uid="{A6EFB1D0-B90D-4046-AEFB-2A1A87E5D037}" uniqueName="29" name="SCGF/60" queryTableFieldId="29"/>
    <tableColumn id="30" xr3:uid="{FC1C5A85-33B8-4D8D-80FC-1D198B6FBE0E}" uniqueName="30" name="SCGA/60" queryTableFieldId="30"/>
    <tableColumn id="31" xr3:uid="{D87560BB-D06C-483B-8CE7-B987324892B9}" uniqueName="31" name="SCGF%" queryTableFieldId="31"/>
    <tableColumn id="32" xr3:uid="{B309CDB4-84D3-4C5B-8312-7B387A5AF3F5}" uniqueName="32" name="SCSH%" queryTableFieldId="32" dataDxfId="8"/>
    <tableColumn id="33" xr3:uid="{3682176B-14FD-47B3-BB15-2599B8DAF944}" uniqueName="33" name="SCSV%" queryTableFieldId="33"/>
    <tableColumn id="34" xr3:uid="{EF7C1B05-F002-484D-9BC6-790882AD84C8}" uniqueName="34" name="HDCF/60" queryTableFieldId="34"/>
    <tableColumn id="35" xr3:uid="{2A5E1F3F-9169-48F5-84A7-4B464CFEBBA6}" uniqueName="35" name="HDCA/60" queryTableFieldId="35"/>
    <tableColumn id="36" xr3:uid="{62893DED-BBE6-4705-8D68-726CC5F515AC}" uniqueName="36" name="HDCF%" queryTableFieldId="36"/>
    <tableColumn id="37" xr3:uid="{E8287053-19C7-49E4-A0C8-AAAB242D4249}" uniqueName="37" name="HDGF/60" queryTableFieldId="37"/>
    <tableColumn id="38" xr3:uid="{D7AF3DF1-3F86-4226-B1A7-C818AE0D2A85}" uniqueName="38" name="HDGA/60" queryTableFieldId="38"/>
    <tableColumn id="39" xr3:uid="{28AB27E6-6D3E-40A5-B349-66DC638DF40C}" uniqueName="39" name="HDGF%" queryTableFieldId="39"/>
    <tableColumn id="40" xr3:uid="{C8F75B04-E985-4647-AADA-BA322DD2E8C3}" uniqueName="40" name="HDSH%" queryTableFieldId="40" dataDxfId="7"/>
    <tableColumn id="41" xr3:uid="{89976CD5-587D-45D0-BC76-F0205A29EFB8}" uniqueName="41" name="HDSV%" queryTableFieldId="41"/>
    <tableColumn id="42" xr3:uid="{5AAD5739-092E-47B1-9AAB-BDF44F480C24}" uniqueName="42" name="SH%" queryTableFieldId="42"/>
    <tableColumn id="43" xr3:uid="{DFC9F213-184C-47B8-802A-A18E2BADCC17}" uniqueName="43" name="SV%" queryTableFieldId="43"/>
    <tableColumn id="44" xr3:uid="{9096BCC4-2392-49DE-A634-337FE38139E9}" uniqueName="44" name="PDO" queryTableFieldId="4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8C6CAF-5E85-4527-82DC-D992ECA9BC04}" name="Away_Penalty_Kill" displayName="Away_Penalty_Kill" ref="A179:AR210" tableType="queryTable" totalsRowShown="0">
  <autoFilter ref="A179:AR210" xr:uid="{39DE3A5B-F749-468D-9445-0590727006A4}"/>
  <tableColumns count="44">
    <tableColumn id="1" xr3:uid="{0A67F497-BAB3-4642-8836-249940227D04}" uniqueName="1" name="Column1" queryTableFieldId="1"/>
    <tableColumn id="2" xr3:uid="{3764D3E2-E2F8-4428-A351-385F1FA5FE5D}" uniqueName="2" name="Team" queryTableFieldId="2" dataDxfId="6"/>
    <tableColumn id="3" xr3:uid="{75676926-6463-4BC0-92D7-C8679F80517D}" uniqueName="3" name="GP" queryTableFieldId="3"/>
    <tableColumn id="4" xr3:uid="{D008F900-9CE8-4547-96FE-DF4720CC6247}" uniqueName="4" name="TOI/GP" queryTableFieldId="4" dataDxfId="5"/>
    <tableColumn id="5" xr3:uid="{7566D070-06CD-45BC-B1A6-8724BB83E93D}" uniqueName="5" name="W" queryTableFieldId="5"/>
    <tableColumn id="6" xr3:uid="{2A224CAA-7CDF-4EA3-9C94-0F773F09BE7E}" uniqueName="6" name="L" queryTableFieldId="6"/>
    <tableColumn id="7" xr3:uid="{BF262951-9218-426D-8ED0-CC585D02D515}" uniqueName="7" name="OTL" queryTableFieldId="7"/>
    <tableColumn id="8" xr3:uid="{5FBDB016-E6B9-4BD8-8194-1C54A2FE6310}" uniqueName="8" name="ROW" queryTableFieldId="8"/>
    <tableColumn id="9" xr3:uid="{A54DB003-6966-4868-818F-D19106705047}" uniqueName="9" name="Points" queryTableFieldId="9"/>
    <tableColumn id="10" xr3:uid="{0A332237-E2D5-4F0D-9B40-A7ADEDEB1725}" uniqueName="10" name="Point %" queryTableFieldId="10"/>
    <tableColumn id="11" xr3:uid="{8CCA7EA6-A341-48EB-ACD0-FC13DDBCF582}" uniqueName="11" name="CF/60" queryTableFieldId="11"/>
    <tableColumn id="12" xr3:uid="{DA8EC52D-8C63-4631-80B7-80B76E08B7D3}" uniqueName="12" name="CA/60" queryTableFieldId="12"/>
    <tableColumn id="13" xr3:uid="{992068BE-4047-440B-88B9-70F9D26CF9F6}" uniqueName="13" name="CF%" queryTableFieldId="13"/>
    <tableColumn id="14" xr3:uid="{E8164C99-5E4C-4CF5-A0C4-CEC7A4A26F18}" uniqueName="14" name="FF/60" queryTableFieldId="14"/>
    <tableColumn id="15" xr3:uid="{7591BC02-E1AD-4F02-BC94-0E7E1D042E7A}" uniqueName="15" name="FA/60" queryTableFieldId="15"/>
    <tableColumn id="16" xr3:uid="{5F6DA688-7C9F-4D72-8DE5-EA9F647D96C4}" uniqueName="16" name="FF%" queryTableFieldId="16"/>
    <tableColumn id="17" xr3:uid="{C8B98866-2523-4060-8813-F8480E950EF2}" uniqueName="17" name="SF/60" queryTableFieldId="17"/>
    <tableColumn id="18" xr3:uid="{32FB5FC5-41CE-4857-ADA6-E879C7E0EFC5}" uniqueName="18" name="SA/60" queryTableFieldId="18"/>
    <tableColumn id="19" xr3:uid="{97433B93-9061-4F01-BB0A-19ED3EB8BD55}" uniqueName="19" name="SF%" queryTableFieldId="19"/>
    <tableColumn id="20" xr3:uid="{8AFAA5FF-766A-465F-BE05-D66970EDC867}" uniqueName="20" name="GF/60" queryTableFieldId="20"/>
    <tableColumn id="21" xr3:uid="{28FB01D7-2FE3-4E2C-AEE5-4FC79D38109B}" uniqueName="21" name="GA/60" queryTableFieldId="21"/>
    <tableColumn id="22" xr3:uid="{9F260DCB-7C34-46D2-9220-E8C01C01BF89}" uniqueName="22" name="GF%" queryTableFieldId="22"/>
    <tableColumn id="23" xr3:uid="{06F4051C-E47A-4398-9248-3DD4AB937690}" uniqueName="23" name="xGF/60" queryTableFieldId="23"/>
    <tableColumn id="24" xr3:uid="{DCC99DF4-E2FB-4B30-8609-F35F9270E3EB}" uniqueName="24" name="xGA/60" queryTableFieldId="24"/>
    <tableColumn id="25" xr3:uid="{F8377927-647A-4E7E-9841-6882E683A65B}" uniqueName="25" name="xGF%" queryTableFieldId="25"/>
    <tableColumn id="26" xr3:uid="{58AA4D41-59BB-4DB7-957A-2E999E6384D2}" uniqueName="26" name="SCF/60" queryTableFieldId="26"/>
    <tableColumn id="27" xr3:uid="{F8162761-7A3C-41FB-90A1-3B3C5BB8AD7A}" uniqueName="27" name="SCA/60" queryTableFieldId="27"/>
    <tableColumn id="28" xr3:uid="{98E88718-8E96-4CDB-9001-2E3507D7BB46}" uniqueName="28" name="SCF%" queryTableFieldId="28"/>
    <tableColumn id="29" xr3:uid="{4FBA78AE-BE7D-4EE2-9DD1-D0550EC65414}" uniqueName="29" name="SCGF/60" queryTableFieldId="29"/>
    <tableColumn id="30" xr3:uid="{7DE6379A-08F7-4BE6-BEBD-DA48C863B5FB}" uniqueName="30" name="SCGA/60" queryTableFieldId="30"/>
    <tableColumn id="31" xr3:uid="{ADB26473-0CB7-4B56-A455-EBFD7CF784EF}" uniqueName="31" name="SCGF%" queryTableFieldId="31" dataDxfId="4"/>
    <tableColumn id="32" xr3:uid="{BA3FD025-FEBE-4EB7-AD06-3FF50E4E4453}" uniqueName="32" name="SCSH%" queryTableFieldId="32" dataDxfId="3"/>
    <tableColumn id="33" xr3:uid="{55AF252D-FCE4-4D2E-AEDF-3F49D10E773A}" uniqueName="33" name="SCSV%" queryTableFieldId="33"/>
    <tableColumn id="34" xr3:uid="{8B82160B-CBDF-4AE0-AF78-9DA7EF6E5BCE}" uniqueName="34" name="HDCF/60" queryTableFieldId="34"/>
    <tableColumn id="35" xr3:uid="{F3264552-D261-4212-9FED-61A8B91B252C}" uniqueName="35" name="HDCA/60" queryTableFieldId="35"/>
    <tableColumn id="36" xr3:uid="{A7E1360C-E0EB-4D6B-A9A6-B5CF0735FDD6}" uniqueName="36" name="HDCF%" queryTableFieldId="36"/>
    <tableColumn id="37" xr3:uid="{7EEBF7A5-FE5B-4777-8E8F-821F3765833D}" uniqueName="37" name="HDGF/60" queryTableFieldId="37"/>
    <tableColumn id="38" xr3:uid="{6B16D8F6-E9C3-4BC0-83B6-B0B59A0F5BD5}" uniqueName="38" name="HDGA/60" queryTableFieldId="38"/>
    <tableColumn id="39" xr3:uid="{BCD167C1-91E0-4A76-A8DD-F2C5C3D8B5A1}" uniqueName="39" name="HDGF%" queryTableFieldId="39" dataDxfId="2"/>
    <tableColumn id="40" xr3:uid="{F19749E8-25DD-4461-868C-518D8128144C}" uniqueName="40" name="HDSH%" queryTableFieldId="40" dataDxfId="1"/>
    <tableColumn id="41" xr3:uid="{CD47BE97-A42C-48B5-89FA-6F75CE3B8600}" uniqueName="41" name="HDSV%" queryTableFieldId="41"/>
    <tableColumn id="42" xr3:uid="{3C38F8C3-6A92-4C20-8B6C-92EEAC40921F}" uniqueName="42" name="SH%" queryTableFieldId="42"/>
    <tableColumn id="43" xr3:uid="{3176DF8D-6808-43E9-AC96-1FC65DFF470E}" uniqueName="43" name="SV%" queryTableFieldId="43"/>
    <tableColumn id="44" xr3:uid="{BCB1416C-DE17-49F4-83FB-A686CBCCD852}" uniqueName="44" name="PDO" queryTableFieldId="4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8024C1-399C-4061-A2FD-83DF2FB75E41}" name="Table97" displayName="Table97" ref="A214:BT245" totalsRowShown="0">
  <autoFilter ref="A214:BT245" xr:uid="{30B397AC-20D8-4477-9477-BFC42AFCCCA8}"/>
  <tableColumns count="72">
    <tableColumn id="1" xr3:uid="{0EC8CBDF-E9E7-4EC7-9286-1D252285E633}" name="Column1"/>
    <tableColumn id="2" xr3:uid="{12FB7826-7917-4920-8BEE-A09D713E07B5}" name="Team"/>
    <tableColumn id="3" xr3:uid="{7177AD94-D817-49F7-AF26-530ACA7ACF45}" name="GP"/>
    <tableColumn id="4" xr3:uid="{9394109D-6B9F-436F-88AD-9CE3191CFADE}" name="TOI/GP"/>
    <tableColumn id="5" xr3:uid="{8B751FB2-867C-4879-B41C-AE7AAF34678E}" name="W"/>
    <tableColumn id="6" xr3:uid="{BD71C65F-4EAD-47A8-BCF9-28956A20A1D3}" name="L"/>
    <tableColumn id="7" xr3:uid="{897B9E20-E872-4E68-B941-AD5B61EA0AF5}" name="OTL"/>
    <tableColumn id="8" xr3:uid="{27584824-BEBD-4D12-A5B5-2C7882995F74}" name="ROW"/>
    <tableColumn id="9" xr3:uid="{33ECB5FB-8FE1-4EE4-BF59-54E7E38E268C}" name="Points"/>
    <tableColumn id="10" xr3:uid="{99C17767-82B7-485F-9A5A-1AB715DB27BB}" name="Point %"/>
    <tableColumn id="11" xr3:uid="{4FF2CEF4-9E10-45C5-A902-934850843312}" name="CF/60"/>
    <tableColumn id="12" xr3:uid="{635E5808-7FD7-46B8-ACF8-3B85C8FECDAF}" name="CA/60"/>
    <tableColumn id="13" xr3:uid="{F03CB48E-28EB-4AAB-A8A0-5DEF6E6C0C31}" name="CF%"/>
    <tableColumn id="14" xr3:uid="{6076A5B9-C837-42CB-872F-0D5D240B95E4}" name="FF/60"/>
    <tableColumn id="15" xr3:uid="{99E48DB7-8B50-4EF3-8563-8A88C15040C4}" name="FA/60"/>
    <tableColumn id="16" xr3:uid="{76C1528C-ABFF-46E6-AD93-F904471B42D2}" name="FF%"/>
    <tableColumn id="17" xr3:uid="{0A84E5F3-98AB-4E7D-BBB0-80F3C2BF5CA6}" name="SF/60"/>
    <tableColumn id="18" xr3:uid="{778E41FF-F8C6-4C54-A72C-235C1B45FC39}" name="SA/60"/>
    <tableColumn id="19" xr3:uid="{3D11528E-2921-433D-9FBE-00BBC64120FB}" name="SF%"/>
    <tableColumn id="20" xr3:uid="{BE4C4A08-6328-4CA6-89DB-4DDAFD0D64D4}" name="GF/60"/>
    <tableColumn id="21" xr3:uid="{808970C1-FE37-4096-9610-3989DCE53C7F}" name="GA/60"/>
    <tableColumn id="22" xr3:uid="{FBB8F113-8941-4C93-9F6F-CDFEEE7A9D58}" name="GF%"/>
    <tableColumn id="23" xr3:uid="{B39CE3A0-4A6B-4197-B655-32BF74782745}" name="xGF/60"/>
    <tableColumn id="24" xr3:uid="{0D55DD0D-C102-40DB-86E8-344522C5B484}" name="xGA/60"/>
    <tableColumn id="25" xr3:uid="{58D24BA7-8411-4774-A61F-8E1707C4E393}" name="xGF%"/>
    <tableColumn id="26" xr3:uid="{DDE62CCC-1AC6-41D1-A034-3AC15CD8C58C}" name="SCF/60"/>
    <tableColumn id="27" xr3:uid="{E131A833-5C5D-4680-A473-546350AB38A9}" name="SCA/60"/>
    <tableColumn id="28" xr3:uid="{2AF9D27E-94E9-4EF6-9909-C4B3CFA2E43F}" name="SCF%"/>
    <tableColumn id="29" xr3:uid="{CE33181C-E305-4B2C-AE3A-552F857B86F7}" name="SCSF/60"/>
    <tableColumn id="30" xr3:uid="{B1A08BAC-0F47-485D-81B0-ABC0AED57900}" name="SCSA/60"/>
    <tableColumn id="31" xr3:uid="{FCC178EE-C391-49EA-B14B-2235A777DF97}" name="SCSF%"/>
    <tableColumn id="32" xr3:uid="{357D1EF5-C493-441C-BACD-465741ECC5F4}" name="SCGF/60"/>
    <tableColumn id="33" xr3:uid="{4E87CC5F-950D-4B73-AED0-104EEBD06795}" name="SCGA/60"/>
    <tableColumn id="34" xr3:uid="{41B8DC95-1265-48DC-9D7B-4EE617F6F3A1}" name="SCGF%"/>
    <tableColumn id="35" xr3:uid="{C2BFE8FC-F6BE-49BB-A8C3-610C9E8B741A}" name="SCSH%"/>
    <tableColumn id="36" xr3:uid="{665BD7DF-2AE2-43B2-A131-7F4D3306A4A3}" name="SCSV%"/>
    <tableColumn id="37" xr3:uid="{0CE2BE15-A0CE-4295-B67E-A14968C31E64}" name="HDCF/60"/>
    <tableColumn id="38" xr3:uid="{F89C5556-7E7C-4CF9-A716-DDC8F222D621}" name="HDCA/60"/>
    <tableColumn id="39" xr3:uid="{81B23A75-4244-4D56-A632-9F8262CFC47C}" name="HDCF%"/>
    <tableColumn id="40" xr3:uid="{DB8E9097-2D10-4F8F-AA27-43E0E76ED05C}" name="HDSF/60"/>
    <tableColumn id="41" xr3:uid="{1C93BDCA-763F-439D-BE1E-A91C1249F92E}" name="HDSA/60"/>
    <tableColumn id="42" xr3:uid="{875FADA6-4A3F-435A-A504-F777B1DDCFEA}" name="HDSF%"/>
    <tableColumn id="43" xr3:uid="{13349C9F-4E1B-47C6-B089-A38AD6581FD9}" name="HDGF/60"/>
    <tableColumn id="44" xr3:uid="{E5F35CEC-7A94-4232-8688-D9316A97CDD3}" name="HDGA/60"/>
    <tableColumn id="45" xr3:uid="{D07C66A8-CF73-40C1-89BA-D92306CDDE77}" name="HDGF%"/>
    <tableColumn id="46" xr3:uid="{E5AE97CA-83B4-475F-B3F1-2D4F69F0890F}" name="HDSH%"/>
    <tableColumn id="47" xr3:uid="{AC93B649-904F-4A96-88BC-87E904AEEA02}" name="HDSV%"/>
    <tableColumn id="48" xr3:uid="{92D959A2-0B81-4F90-B0B9-F0B15C852642}" name="MDCF/60"/>
    <tableColumn id="49" xr3:uid="{B192AC19-350A-4C10-A882-F425A0FD5A74}" name="MDCA/60"/>
    <tableColumn id="50" xr3:uid="{6EF7EC8E-CF19-4784-8408-0ABA48EF82DC}" name="MDCF%"/>
    <tableColumn id="51" xr3:uid="{DE162603-6852-4B90-9914-4EF7FF978EF4}" name="MDSF/60"/>
    <tableColumn id="52" xr3:uid="{BE346EC5-7F2C-4250-90AC-361A7C66BC0F}" name="MDSA/60"/>
    <tableColumn id="53" xr3:uid="{8DF6B3CC-982D-43DF-9805-8CD91F0D5E8A}" name="MDSF%"/>
    <tableColumn id="54" xr3:uid="{91F1BCAF-D395-4502-85A8-6AE5DFECB84D}" name="MDGF/60"/>
    <tableColumn id="55" xr3:uid="{B05D02EB-7343-4022-90DD-4C168FCB690E}" name="MDGA/60"/>
    <tableColumn id="56" xr3:uid="{AA89F425-1E0A-4811-AAFB-DFC717E0224C}" name="MDGF%"/>
    <tableColumn id="57" xr3:uid="{4B866301-53D7-4C60-B25B-4FB3FD6AA814}" name="MDSH%"/>
    <tableColumn id="58" xr3:uid="{29017A7A-1C27-4DCB-9AF6-A3EAE96AB88C}" name="MDSV%"/>
    <tableColumn id="59" xr3:uid="{CFDAFB92-A7C6-4344-86B0-A1DF368EDD35}" name="LDCF/60"/>
    <tableColumn id="60" xr3:uid="{76B4C96A-28EC-4152-B420-0C983D516005}" name="LDCA/60"/>
    <tableColumn id="61" xr3:uid="{37EA73C0-9E04-4536-B871-2DCCAF4B8C66}" name="LDCF%"/>
    <tableColumn id="62" xr3:uid="{2689B372-B0DD-4FB9-A148-E574051EFAEC}" name="LDSF/60"/>
    <tableColumn id="63" xr3:uid="{B01C28FC-6E36-4BBC-B8B8-058A3CD8E268}" name="LDSA/60"/>
    <tableColumn id="64" xr3:uid="{6CC30AA5-A25B-4425-B76F-AEFB4D32CA60}" name="LDSF%"/>
    <tableColumn id="65" xr3:uid="{8DBB8053-54EB-466E-81B6-9FDCA9169DF7}" name="LDGF/60"/>
    <tableColumn id="66" xr3:uid="{59D7849E-6BF7-4A8D-81AB-6E76A7A16D89}" name="LDGA/60"/>
    <tableColumn id="67" xr3:uid="{32049E7C-2D58-455A-A97F-0F1A7BB21C01}" name="LDGF%"/>
    <tableColumn id="68" xr3:uid="{89CF1332-547C-4DE6-8213-3A629D9B7994}" name="LDSH%"/>
    <tableColumn id="69" xr3:uid="{BD25E34E-987C-4A93-B9E1-919DC43547C2}" name="LDSV%"/>
    <tableColumn id="70" xr3:uid="{7E129820-F5EF-4E46-9EBB-F5D90D61E7FF}" name="SH%"/>
    <tableColumn id="71" xr3:uid="{91C5B24D-9EB5-4C17-AF62-A582200AF7F6}" name="SV%"/>
    <tableColumn id="72" xr3:uid="{C8CAD737-1409-4B4B-9937-26D3C0D22CF1}" name="PDO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57BE-0B04-4200-B376-37162EB738B0}">
  <sheetPr codeName="Sheet2"/>
  <dimension ref="A1:CB352"/>
  <sheetViews>
    <sheetView tabSelected="1" zoomScale="36" workbookViewId="0">
      <selection activeCell="D262" sqref="D262:E292"/>
    </sheetView>
  </sheetViews>
  <sheetFormatPr defaultRowHeight="14.5" x14ac:dyDescent="0.35"/>
  <cols>
    <col min="1" max="1" width="27.26953125" bestFit="1" customWidth="1"/>
    <col min="2" max="2" width="19.7265625" bestFit="1" customWidth="1"/>
    <col min="3" max="3" width="6.81640625" customWidth="1"/>
    <col min="4" max="4" width="10.26953125" customWidth="1"/>
    <col min="5" max="5" width="8.54296875" customWidth="1"/>
    <col min="6" max="6" width="6.6328125" bestFit="1" customWidth="1"/>
    <col min="7" max="7" width="8.08984375" customWidth="1"/>
    <col min="8" max="8" width="8.90625" customWidth="1"/>
    <col min="9" max="9" width="4.08984375" bestFit="1" customWidth="1"/>
    <col min="10" max="10" width="20.453125" bestFit="1" customWidth="1"/>
    <col min="11" max="11" width="4.08984375" bestFit="1" customWidth="1"/>
    <col min="12" max="12" width="7.54296875" bestFit="1" customWidth="1"/>
    <col min="13" max="15" width="4.08984375" bestFit="1" customWidth="1"/>
    <col min="16" max="16" width="5" bestFit="1" customWidth="1"/>
    <col min="17" max="17" width="5.7265625" bestFit="1" customWidth="1"/>
    <col min="18" max="18" width="6.7265625" bestFit="1" customWidth="1"/>
    <col min="19" max="27" width="5.7265625" bestFit="1" customWidth="1"/>
    <col min="28" max="28" width="5.81640625" bestFit="1" customWidth="1"/>
    <col min="29" max="29" width="6" bestFit="1" customWidth="1"/>
    <col min="30" max="30" width="5.7265625" bestFit="1" customWidth="1"/>
    <col min="31" max="31" width="6.7265625" bestFit="1" customWidth="1"/>
    <col min="32" max="32" width="6.90625" bestFit="1" customWidth="1"/>
    <col min="33" max="33" width="5.7265625" bestFit="1" customWidth="1"/>
    <col min="34" max="34" width="6.453125" bestFit="1" customWidth="1"/>
    <col min="35" max="35" width="6.54296875" bestFit="1" customWidth="1"/>
    <col min="36" max="36" width="5.7265625" bestFit="1" customWidth="1"/>
    <col min="37" max="37" width="7.36328125" bestFit="1" customWidth="1"/>
    <col min="38" max="38" width="7.54296875" bestFit="1" customWidth="1"/>
    <col min="39" max="39" width="6.08984375" bestFit="1" customWidth="1"/>
    <col min="40" max="40" width="7.6328125" bestFit="1" customWidth="1"/>
    <col min="41" max="41" width="7.81640625" bestFit="1" customWidth="1"/>
    <col min="42" max="43" width="6.453125" bestFit="1" customWidth="1"/>
    <col min="44" max="44" width="6.26953125" bestFit="1" customWidth="1"/>
    <col min="45" max="45" width="7.90625" bestFit="1" customWidth="1"/>
    <col min="46" max="46" width="8.1796875" bestFit="1" customWidth="1"/>
    <col min="47" max="47" width="6.7265625" bestFit="1" customWidth="1"/>
    <col min="48" max="48" width="7.90625" bestFit="1" customWidth="1"/>
    <col min="49" max="49" width="8.08984375" bestFit="1" customWidth="1"/>
    <col min="50" max="50" width="6.6328125" bestFit="1" customWidth="1"/>
    <col min="51" max="51" width="8.08984375" bestFit="1" customWidth="1"/>
    <col min="52" max="52" width="8.36328125" bestFit="1" customWidth="1"/>
    <col min="53" max="54" width="7" bestFit="1" customWidth="1"/>
    <col min="55" max="55" width="6.81640625" bestFit="1" customWidth="1"/>
    <col min="56" max="56" width="8.08984375" bestFit="1" customWidth="1"/>
    <col min="57" max="57" width="8.36328125" bestFit="1" customWidth="1"/>
    <col min="58" max="58" width="7" bestFit="1" customWidth="1"/>
    <col min="59" max="59" width="8.08984375" bestFit="1" customWidth="1"/>
    <col min="60" max="60" width="8.36328125" bestFit="1" customWidth="1"/>
    <col min="61" max="61" width="7" bestFit="1" customWidth="1"/>
    <col min="62" max="62" width="8.54296875" bestFit="1" customWidth="1"/>
    <col min="63" max="63" width="8.6328125" bestFit="1" customWidth="1"/>
    <col min="64" max="65" width="7.26953125" bestFit="1" customWidth="1"/>
    <col min="66" max="66" width="7.08984375" bestFit="1" customWidth="1"/>
    <col min="67" max="67" width="7.453125" bestFit="1" customWidth="1"/>
    <col min="68" max="68" width="7.54296875" bestFit="1" customWidth="1"/>
    <col min="69" max="69" width="6.1796875" bestFit="1" customWidth="1"/>
    <col min="70" max="70" width="7.453125" bestFit="1" customWidth="1"/>
    <col min="71" max="71" width="7.54296875" bestFit="1" customWidth="1"/>
    <col min="72" max="72" width="6.1796875" bestFit="1" customWidth="1"/>
    <col min="73" max="73" width="7.7265625" bestFit="1" customWidth="1"/>
    <col min="74" max="74" width="7.81640625" bestFit="1" customWidth="1"/>
    <col min="75" max="76" width="6.453125" bestFit="1" customWidth="1"/>
    <col min="77" max="77" width="6.36328125" bestFit="1" customWidth="1"/>
    <col min="78" max="80" width="5.6328125" bestFit="1" customWidth="1"/>
  </cols>
  <sheetData>
    <row r="1" spans="1:72" ht="36" x14ac:dyDescent="0.8">
      <c r="A1" s="10" t="s">
        <v>87</v>
      </c>
    </row>
    <row r="2" spans="1:72" x14ac:dyDescent="0.35">
      <c r="A2" t="s">
        <v>79</v>
      </c>
      <c r="B2" t="s">
        <v>0</v>
      </c>
      <c r="C2" t="s">
        <v>1</v>
      </c>
      <c r="D2" t="s">
        <v>90</v>
      </c>
      <c r="E2" t="s">
        <v>2</v>
      </c>
      <c r="F2" t="s">
        <v>3</v>
      </c>
      <c r="G2" t="s">
        <v>4</v>
      </c>
      <c r="H2" t="s">
        <v>5</v>
      </c>
      <c r="I2" t="s">
        <v>6</v>
      </c>
      <c r="J2" t="s">
        <v>7</v>
      </c>
      <c r="K2" t="s">
        <v>91</v>
      </c>
      <c r="L2" t="s">
        <v>92</v>
      </c>
      <c r="M2" t="s">
        <v>8</v>
      </c>
      <c r="N2" t="s">
        <v>93</v>
      </c>
      <c r="O2" t="s">
        <v>94</v>
      </c>
      <c r="P2" t="s">
        <v>9</v>
      </c>
      <c r="Q2" t="s">
        <v>95</v>
      </c>
      <c r="R2" t="s">
        <v>71</v>
      </c>
      <c r="S2" t="s">
        <v>10</v>
      </c>
      <c r="T2" t="s">
        <v>96</v>
      </c>
      <c r="U2" t="s">
        <v>97</v>
      </c>
      <c r="V2" t="s">
        <v>11</v>
      </c>
      <c r="W2" t="s">
        <v>98</v>
      </c>
      <c r="X2" t="s">
        <v>99</v>
      </c>
      <c r="Y2" t="s">
        <v>14</v>
      </c>
      <c r="Z2" t="s">
        <v>100</v>
      </c>
      <c r="AA2" t="s">
        <v>101</v>
      </c>
      <c r="AB2" t="s">
        <v>15</v>
      </c>
      <c r="AC2" t="s">
        <v>102</v>
      </c>
      <c r="AD2" t="s">
        <v>103</v>
      </c>
      <c r="AE2" t="s">
        <v>16</v>
      </c>
      <c r="AF2" t="s">
        <v>104</v>
      </c>
      <c r="AG2" t="s">
        <v>105</v>
      </c>
      <c r="AH2" t="s">
        <v>17</v>
      </c>
      <c r="AI2" t="s">
        <v>18</v>
      </c>
      <c r="AJ2" t="s">
        <v>19</v>
      </c>
      <c r="AK2" t="s">
        <v>106</v>
      </c>
      <c r="AL2" t="s">
        <v>107</v>
      </c>
      <c r="AM2" t="s">
        <v>20</v>
      </c>
      <c r="AN2" t="s">
        <v>108</v>
      </c>
      <c r="AO2" t="s">
        <v>72</v>
      </c>
      <c r="AP2" t="s">
        <v>21</v>
      </c>
      <c r="AQ2" t="s">
        <v>109</v>
      </c>
      <c r="AR2" t="s">
        <v>73</v>
      </c>
      <c r="AS2" t="s">
        <v>22</v>
      </c>
      <c r="AT2" t="s">
        <v>23</v>
      </c>
      <c r="AU2" t="s">
        <v>24</v>
      </c>
      <c r="AV2" t="s">
        <v>110</v>
      </c>
      <c r="AW2" t="s">
        <v>111</v>
      </c>
      <c r="AX2" t="s">
        <v>25</v>
      </c>
      <c r="AY2" t="s">
        <v>112</v>
      </c>
      <c r="AZ2" t="s">
        <v>77</v>
      </c>
      <c r="BA2" t="s">
        <v>26</v>
      </c>
      <c r="BB2" t="s">
        <v>113</v>
      </c>
      <c r="BC2" t="s">
        <v>74</v>
      </c>
      <c r="BD2" t="s">
        <v>27</v>
      </c>
      <c r="BE2" t="s">
        <v>28</v>
      </c>
      <c r="BF2" t="s">
        <v>29</v>
      </c>
      <c r="BG2" t="s">
        <v>114</v>
      </c>
      <c r="BH2" t="s">
        <v>115</v>
      </c>
      <c r="BI2" t="s">
        <v>30</v>
      </c>
      <c r="BJ2" t="s">
        <v>116</v>
      </c>
      <c r="BK2" t="s">
        <v>75</v>
      </c>
      <c r="BL2" t="s">
        <v>31</v>
      </c>
      <c r="BM2" t="s">
        <v>117</v>
      </c>
      <c r="BN2" t="s">
        <v>76</v>
      </c>
      <c r="BO2" t="s">
        <v>32</v>
      </c>
      <c r="BP2" t="s">
        <v>33</v>
      </c>
      <c r="BQ2" t="s">
        <v>34</v>
      </c>
      <c r="BR2" t="s">
        <v>35</v>
      </c>
      <c r="BS2" t="s">
        <v>36</v>
      </c>
      <c r="BT2" t="s">
        <v>37</v>
      </c>
    </row>
    <row r="3" spans="1:72" x14ac:dyDescent="0.35">
      <c r="A3">
        <v>1</v>
      </c>
      <c r="B3" t="s">
        <v>38</v>
      </c>
      <c r="C3">
        <v>10</v>
      </c>
      <c r="D3">
        <v>51.08</v>
      </c>
      <c r="E3">
        <v>2</v>
      </c>
      <c r="F3">
        <v>7</v>
      </c>
      <c r="G3">
        <v>1</v>
      </c>
      <c r="H3">
        <v>2</v>
      </c>
      <c r="I3">
        <v>5</v>
      </c>
      <c r="J3">
        <v>0.25</v>
      </c>
      <c r="K3">
        <v>56.21</v>
      </c>
      <c r="L3">
        <v>52.34</v>
      </c>
      <c r="M3">
        <v>51.78</v>
      </c>
      <c r="N3">
        <v>42.6</v>
      </c>
      <c r="O3">
        <v>40.130000000000003</v>
      </c>
      <c r="P3">
        <v>51.49</v>
      </c>
      <c r="Q3">
        <v>29.34</v>
      </c>
      <c r="R3">
        <v>28.98</v>
      </c>
      <c r="S3">
        <v>50.3</v>
      </c>
      <c r="T3">
        <v>2.11</v>
      </c>
      <c r="U3">
        <v>3.4</v>
      </c>
      <c r="V3">
        <v>38.299999999999997</v>
      </c>
      <c r="W3">
        <v>2.35</v>
      </c>
      <c r="X3">
        <v>2.59</v>
      </c>
      <c r="Y3">
        <v>47.56</v>
      </c>
      <c r="Z3">
        <v>26.64</v>
      </c>
      <c r="AA3">
        <v>28.16</v>
      </c>
      <c r="AB3">
        <v>48.61</v>
      </c>
      <c r="AC3">
        <v>16.899999999999999</v>
      </c>
      <c r="AD3">
        <v>18.78</v>
      </c>
      <c r="AE3">
        <v>47.37</v>
      </c>
      <c r="AF3">
        <v>1.99</v>
      </c>
      <c r="AG3">
        <v>3.29</v>
      </c>
      <c r="AH3">
        <v>37.78</v>
      </c>
      <c r="AI3">
        <v>11.81</v>
      </c>
      <c r="AJ3">
        <v>82.5</v>
      </c>
      <c r="AK3">
        <v>12.67</v>
      </c>
      <c r="AL3">
        <v>13.26</v>
      </c>
      <c r="AM3">
        <v>48.87</v>
      </c>
      <c r="AN3">
        <v>9.15</v>
      </c>
      <c r="AO3">
        <v>10.56</v>
      </c>
      <c r="AP3">
        <v>46.43</v>
      </c>
      <c r="AQ3">
        <v>1.41</v>
      </c>
      <c r="AR3">
        <v>2.35</v>
      </c>
      <c r="AS3">
        <v>37.5</v>
      </c>
      <c r="AT3">
        <v>15.38</v>
      </c>
      <c r="AU3">
        <v>77.78</v>
      </c>
      <c r="AV3">
        <v>13.96</v>
      </c>
      <c r="AW3">
        <v>14.9</v>
      </c>
      <c r="AX3">
        <v>48.37</v>
      </c>
      <c r="AY3">
        <v>7.74</v>
      </c>
      <c r="AZ3">
        <v>8.2100000000000009</v>
      </c>
      <c r="BA3">
        <v>48.53</v>
      </c>
      <c r="BB3">
        <v>0.59</v>
      </c>
      <c r="BC3">
        <v>0.94</v>
      </c>
      <c r="BD3">
        <v>38.46</v>
      </c>
      <c r="BE3">
        <v>7.58</v>
      </c>
      <c r="BF3">
        <v>88.57</v>
      </c>
      <c r="BG3">
        <v>26.29</v>
      </c>
      <c r="BH3">
        <v>21.59</v>
      </c>
      <c r="BI3">
        <v>54.9</v>
      </c>
      <c r="BJ3">
        <v>11.5</v>
      </c>
      <c r="BK3">
        <v>9.39</v>
      </c>
      <c r="BL3">
        <v>55.06</v>
      </c>
      <c r="BM3">
        <v>0.12</v>
      </c>
      <c r="BN3">
        <v>0.12</v>
      </c>
      <c r="BO3">
        <v>50</v>
      </c>
      <c r="BP3">
        <v>1.02</v>
      </c>
      <c r="BQ3">
        <v>98.75</v>
      </c>
      <c r="BR3">
        <v>7.2</v>
      </c>
      <c r="BS3">
        <v>88.26</v>
      </c>
      <c r="BT3">
        <v>0.95499999999999996</v>
      </c>
    </row>
    <row r="4" spans="1:72" x14ac:dyDescent="0.35">
      <c r="A4">
        <v>2</v>
      </c>
      <c r="B4" t="s">
        <v>39</v>
      </c>
      <c r="C4">
        <v>10</v>
      </c>
      <c r="D4">
        <v>51.39</v>
      </c>
      <c r="E4">
        <v>4</v>
      </c>
      <c r="F4">
        <v>5</v>
      </c>
      <c r="G4">
        <v>1</v>
      </c>
      <c r="H4">
        <v>2</v>
      </c>
      <c r="I4">
        <v>9</v>
      </c>
      <c r="J4">
        <v>0.45</v>
      </c>
      <c r="K4">
        <v>48.21</v>
      </c>
      <c r="L4">
        <v>56.26</v>
      </c>
      <c r="M4">
        <v>46.15</v>
      </c>
      <c r="N4">
        <v>35.18</v>
      </c>
      <c r="O4">
        <v>43.83</v>
      </c>
      <c r="P4">
        <v>44.53</v>
      </c>
      <c r="Q4">
        <v>25.58</v>
      </c>
      <c r="R4">
        <v>30.68</v>
      </c>
      <c r="S4">
        <v>45.47</v>
      </c>
      <c r="T4">
        <v>2.37</v>
      </c>
      <c r="U4">
        <v>3.55</v>
      </c>
      <c r="V4">
        <v>40</v>
      </c>
      <c r="W4">
        <v>2.17</v>
      </c>
      <c r="X4">
        <v>2.7</v>
      </c>
      <c r="Y4">
        <v>44.58</v>
      </c>
      <c r="Z4">
        <v>23.57</v>
      </c>
      <c r="AA4">
        <v>28.43</v>
      </c>
      <c r="AB4">
        <v>45.33</v>
      </c>
      <c r="AC4">
        <v>13.74</v>
      </c>
      <c r="AD4">
        <v>17.29</v>
      </c>
      <c r="AE4">
        <v>44.27</v>
      </c>
      <c r="AF4">
        <v>2.13</v>
      </c>
      <c r="AG4">
        <v>2.96</v>
      </c>
      <c r="AH4">
        <v>41.86</v>
      </c>
      <c r="AI4">
        <v>15.52</v>
      </c>
      <c r="AJ4">
        <v>82.88</v>
      </c>
      <c r="AK4">
        <v>10.07</v>
      </c>
      <c r="AL4">
        <v>12.32</v>
      </c>
      <c r="AM4">
        <v>44.97</v>
      </c>
      <c r="AN4">
        <v>6.87</v>
      </c>
      <c r="AO4">
        <v>9.1199999999999992</v>
      </c>
      <c r="AP4">
        <v>42.96</v>
      </c>
      <c r="AQ4">
        <v>0.83</v>
      </c>
      <c r="AR4">
        <v>1.66</v>
      </c>
      <c r="AS4">
        <v>33.33</v>
      </c>
      <c r="AT4">
        <v>12.07</v>
      </c>
      <c r="AU4">
        <v>81.819999999999993</v>
      </c>
      <c r="AV4">
        <v>13.5</v>
      </c>
      <c r="AW4">
        <v>16.11</v>
      </c>
      <c r="AX4">
        <v>45.6</v>
      </c>
      <c r="AY4">
        <v>6.87</v>
      </c>
      <c r="AZ4">
        <v>8.17</v>
      </c>
      <c r="BA4">
        <v>45.67</v>
      </c>
      <c r="BB4">
        <v>1.3</v>
      </c>
      <c r="BC4">
        <v>1.3</v>
      </c>
      <c r="BD4">
        <v>50</v>
      </c>
      <c r="BE4">
        <v>18.97</v>
      </c>
      <c r="BF4">
        <v>84.06</v>
      </c>
      <c r="BG4">
        <v>21.68</v>
      </c>
      <c r="BH4">
        <v>24.87</v>
      </c>
      <c r="BI4">
        <v>46.56</v>
      </c>
      <c r="BJ4">
        <v>10.66</v>
      </c>
      <c r="BK4">
        <v>11.96</v>
      </c>
      <c r="BL4">
        <v>47.12</v>
      </c>
      <c r="BM4">
        <v>0.24</v>
      </c>
      <c r="BN4">
        <v>0.36</v>
      </c>
      <c r="BO4">
        <v>40</v>
      </c>
      <c r="BP4">
        <v>2.2200000000000002</v>
      </c>
      <c r="BQ4">
        <v>97.03</v>
      </c>
      <c r="BR4">
        <v>9.26</v>
      </c>
      <c r="BS4">
        <v>88.42</v>
      </c>
      <c r="BT4">
        <v>0.97699999999999998</v>
      </c>
    </row>
    <row r="5" spans="1:72" x14ac:dyDescent="0.35">
      <c r="A5">
        <v>3</v>
      </c>
      <c r="B5" t="s">
        <v>40</v>
      </c>
      <c r="C5">
        <v>10</v>
      </c>
      <c r="D5">
        <v>50.21</v>
      </c>
      <c r="E5">
        <v>6</v>
      </c>
      <c r="F5">
        <v>3</v>
      </c>
      <c r="G5">
        <v>1</v>
      </c>
      <c r="H5">
        <v>6</v>
      </c>
      <c r="I5">
        <v>13</v>
      </c>
      <c r="J5">
        <v>0.65</v>
      </c>
      <c r="K5">
        <v>46.96</v>
      </c>
      <c r="L5">
        <v>49.58</v>
      </c>
      <c r="M5">
        <v>48.64</v>
      </c>
      <c r="N5">
        <v>36.83</v>
      </c>
      <c r="O5">
        <v>37.42</v>
      </c>
      <c r="P5">
        <v>49.6</v>
      </c>
      <c r="Q5">
        <v>26.46</v>
      </c>
      <c r="R5">
        <v>24.07</v>
      </c>
      <c r="S5">
        <v>52.36</v>
      </c>
      <c r="T5">
        <v>2.5</v>
      </c>
      <c r="U5">
        <v>1.79</v>
      </c>
      <c r="V5">
        <v>58.33</v>
      </c>
      <c r="W5">
        <v>1.58</v>
      </c>
      <c r="X5">
        <v>1.79</v>
      </c>
      <c r="Y5">
        <v>46.97</v>
      </c>
      <c r="Z5">
        <v>22.53</v>
      </c>
      <c r="AA5">
        <v>22.53</v>
      </c>
      <c r="AB5">
        <v>50</v>
      </c>
      <c r="AC5">
        <v>14.18</v>
      </c>
      <c r="AD5">
        <v>12.75</v>
      </c>
      <c r="AE5">
        <v>52.65</v>
      </c>
      <c r="AF5">
        <v>2.15</v>
      </c>
      <c r="AG5">
        <v>1.67</v>
      </c>
      <c r="AH5">
        <v>56.25</v>
      </c>
      <c r="AI5">
        <v>15.13</v>
      </c>
      <c r="AJ5">
        <v>86.92</v>
      </c>
      <c r="AK5">
        <v>7.03</v>
      </c>
      <c r="AL5">
        <v>7.51</v>
      </c>
      <c r="AM5">
        <v>48.36</v>
      </c>
      <c r="AN5">
        <v>5.6</v>
      </c>
      <c r="AO5">
        <v>5.96</v>
      </c>
      <c r="AP5">
        <v>48.45</v>
      </c>
      <c r="AQ5">
        <v>0.95</v>
      </c>
      <c r="AR5">
        <v>0.95</v>
      </c>
      <c r="AS5">
        <v>50</v>
      </c>
      <c r="AT5">
        <v>17.02</v>
      </c>
      <c r="AU5">
        <v>84</v>
      </c>
      <c r="AV5">
        <v>15.49</v>
      </c>
      <c r="AW5">
        <v>15.02</v>
      </c>
      <c r="AX5">
        <v>50.78</v>
      </c>
      <c r="AY5">
        <v>8.58</v>
      </c>
      <c r="AZ5">
        <v>6.79</v>
      </c>
      <c r="BA5">
        <v>55.81</v>
      </c>
      <c r="BB5">
        <v>1.19</v>
      </c>
      <c r="BC5">
        <v>0.72</v>
      </c>
      <c r="BD5">
        <v>62.5</v>
      </c>
      <c r="BE5">
        <v>13.89</v>
      </c>
      <c r="BF5">
        <v>89.47</v>
      </c>
      <c r="BG5">
        <v>21.81</v>
      </c>
      <c r="BH5">
        <v>24.55</v>
      </c>
      <c r="BI5">
        <v>47.04</v>
      </c>
      <c r="BJ5">
        <v>10.96</v>
      </c>
      <c r="BK5">
        <v>9.89</v>
      </c>
      <c r="BL5">
        <v>52.57</v>
      </c>
      <c r="BM5">
        <v>0.36</v>
      </c>
      <c r="BN5">
        <v>0.12</v>
      </c>
      <c r="BO5">
        <v>75</v>
      </c>
      <c r="BP5">
        <v>3.26</v>
      </c>
      <c r="BQ5">
        <v>98.8</v>
      </c>
      <c r="BR5">
        <v>9.4600000000000009</v>
      </c>
      <c r="BS5">
        <v>92.57</v>
      </c>
      <c r="BT5">
        <v>1.02</v>
      </c>
    </row>
    <row r="6" spans="1:72" x14ac:dyDescent="0.35">
      <c r="A6">
        <v>4</v>
      </c>
      <c r="B6" t="s">
        <v>41</v>
      </c>
      <c r="C6">
        <v>10</v>
      </c>
      <c r="D6">
        <v>51.02</v>
      </c>
      <c r="E6">
        <v>0</v>
      </c>
      <c r="F6">
        <v>9</v>
      </c>
      <c r="G6">
        <v>1</v>
      </c>
      <c r="H6">
        <v>0</v>
      </c>
      <c r="I6">
        <v>1</v>
      </c>
      <c r="J6">
        <v>0.05</v>
      </c>
      <c r="K6">
        <v>48.79</v>
      </c>
      <c r="L6">
        <v>54.67</v>
      </c>
      <c r="M6">
        <v>47.16</v>
      </c>
      <c r="N6">
        <v>38.21</v>
      </c>
      <c r="O6">
        <v>44.79</v>
      </c>
      <c r="P6">
        <v>46.03</v>
      </c>
      <c r="Q6">
        <v>24.81</v>
      </c>
      <c r="R6">
        <v>33.51</v>
      </c>
      <c r="S6">
        <v>42.54</v>
      </c>
      <c r="T6">
        <v>0.47</v>
      </c>
      <c r="U6">
        <v>3.88</v>
      </c>
      <c r="V6">
        <v>10.81</v>
      </c>
      <c r="W6">
        <v>2.0099999999999998</v>
      </c>
      <c r="X6">
        <v>3.32</v>
      </c>
      <c r="Y6">
        <v>37.71</v>
      </c>
      <c r="Z6">
        <v>21.51</v>
      </c>
      <c r="AA6">
        <v>25.86</v>
      </c>
      <c r="AB6">
        <v>45.41</v>
      </c>
      <c r="AC6">
        <v>11.52</v>
      </c>
      <c r="AD6">
        <v>16.46</v>
      </c>
      <c r="AE6">
        <v>41.18</v>
      </c>
      <c r="AF6">
        <v>0.47</v>
      </c>
      <c r="AG6">
        <v>3.17</v>
      </c>
      <c r="AH6">
        <v>12.9</v>
      </c>
      <c r="AI6">
        <v>4.08</v>
      </c>
      <c r="AJ6">
        <v>80.709999999999994</v>
      </c>
      <c r="AK6">
        <v>10.35</v>
      </c>
      <c r="AL6">
        <v>12.46</v>
      </c>
      <c r="AM6">
        <v>45.36</v>
      </c>
      <c r="AN6">
        <v>6.94</v>
      </c>
      <c r="AO6">
        <v>9.17</v>
      </c>
      <c r="AP6">
        <v>43.07</v>
      </c>
      <c r="AQ6">
        <v>0.35</v>
      </c>
      <c r="AR6">
        <v>1.76</v>
      </c>
      <c r="AS6">
        <v>16.670000000000002</v>
      </c>
      <c r="AT6">
        <v>5.08</v>
      </c>
      <c r="AU6">
        <v>80.77</v>
      </c>
      <c r="AV6">
        <v>11.17</v>
      </c>
      <c r="AW6">
        <v>13.4</v>
      </c>
      <c r="AX6">
        <v>45.45</v>
      </c>
      <c r="AY6">
        <v>4.59</v>
      </c>
      <c r="AZ6">
        <v>7.29</v>
      </c>
      <c r="BA6">
        <v>38.61</v>
      </c>
      <c r="BB6">
        <v>0.12</v>
      </c>
      <c r="BC6">
        <v>1.41</v>
      </c>
      <c r="BD6">
        <v>7.69</v>
      </c>
      <c r="BE6">
        <v>2.56</v>
      </c>
      <c r="BF6">
        <v>80.650000000000006</v>
      </c>
      <c r="BG6">
        <v>24.81</v>
      </c>
      <c r="BH6">
        <v>24.57</v>
      </c>
      <c r="BI6">
        <v>50.24</v>
      </c>
      <c r="BJ6">
        <v>12.34</v>
      </c>
      <c r="BK6">
        <v>15.17</v>
      </c>
      <c r="BL6">
        <v>44.87</v>
      </c>
      <c r="BM6">
        <v>0</v>
      </c>
      <c r="BN6">
        <v>0.47</v>
      </c>
      <c r="BO6">
        <v>0</v>
      </c>
      <c r="BP6">
        <v>0</v>
      </c>
      <c r="BQ6">
        <v>96.9</v>
      </c>
      <c r="BR6">
        <v>1.9</v>
      </c>
      <c r="BS6">
        <v>88.42</v>
      </c>
      <c r="BT6">
        <v>0.90300000000000002</v>
      </c>
    </row>
    <row r="7" spans="1:72" x14ac:dyDescent="0.35">
      <c r="A7">
        <v>5</v>
      </c>
      <c r="B7" t="s">
        <v>42</v>
      </c>
      <c r="C7">
        <v>10</v>
      </c>
      <c r="D7">
        <v>51.04</v>
      </c>
      <c r="E7">
        <v>6</v>
      </c>
      <c r="F7">
        <v>1</v>
      </c>
      <c r="G7">
        <v>3</v>
      </c>
      <c r="H7">
        <v>6</v>
      </c>
      <c r="I7">
        <v>15</v>
      </c>
      <c r="J7">
        <v>0.75</v>
      </c>
      <c r="K7">
        <v>59.68</v>
      </c>
      <c r="L7">
        <v>54.51</v>
      </c>
      <c r="M7">
        <v>52.26</v>
      </c>
      <c r="N7">
        <v>44.76</v>
      </c>
      <c r="O7">
        <v>41.7</v>
      </c>
      <c r="P7">
        <v>51.77</v>
      </c>
      <c r="Q7">
        <v>30.19</v>
      </c>
      <c r="R7">
        <v>28.66</v>
      </c>
      <c r="S7">
        <v>51.3</v>
      </c>
      <c r="T7">
        <v>2.58</v>
      </c>
      <c r="U7">
        <v>2.23</v>
      </c>
      <c r="V7">
        <v>53.66</v>
      </c>
      <c r="W7">
        <v>2.94</v>
      </c>
      <c r="X7">
        <v>2.4500000000000002</v>
      </c>
      <c r="Y7">
        <v>54.53</v>
      </c>
      <c r="Z7">
        <v>29.96</v>
      </c>
      <c r="AA7">
        <v>25.14</v>
      </c>
      <c r="AB7">
        <v>54.37</v>
      </c>
      <c r="AC7">
        <v>15.39</v>
      </c>
      <c r="AD7">
        <v>14.57</v>
      </c>
      <c r="AE7">
        <v>51.37</v>
      </c>
      <c r="AF7">
        <v>2</v>
      </c>
      <c r="AG7">
        <v>1.53</v>
      </c>
      <c r="AH7">
        <v>56.67</v>
      </c>
      <c r="AI7">
        <v>12.98</v>
      </c>
      <c r="AJ7">
        <v>89.52</v>
      </c>
      <c r="AK7">
        <v>12.34</v>
      </c>
      <c r="AL7">
        <v>9.4</v>
      </c>
      <c r="AM7">
        <v>56.76</v>
      </c>
      <c r="AN7">
        <v>7.99</v>
      </c>
      <c r="AO7">
        <v>6.81</v>
      </c>
      <c r="AP7">
        <v>53.97</v>
      </c>
      <c r="AQ7">
        <v>1.29</v>
      </c>
      <c r="AR7">
        <v>0.82</v>
      </c>
      <c r="AS7">
        <v>61.11</v>
      </c>
      <c r="AT7">
        <v>16.18</v>
      </c>
      <c r="AU7">
        <v>87.93</v>
      </c>
      <c r="AV7">
        <v>17.62</v>
      </c>
      <c r="AW7">
        <v>15.74</v>
      </c>
      <c r="AX7">
        <v>52.82</v>
      </c>
      <c r="AY7">
        <v>7.4</v>
      </c>
      <c r="AZ7">
        <v>7.75</v>
      </c>
      <c r="BA7">
        <v>48.84</v>
      </c>
      <c r="BB7">
        <v>0.7</v>
      </c>
      <c r="BC7">
        <v>0.7</v>
      </c>
      <c r="BD7">
        <v>50</v>
      </c>
      <c r="BE7">
        <v>9.52</v>
      </c>
      <c r="BF7">
        <v>90.91</v>
      </c>
      <c r="BG7">
        <v>25.38</v>
      </c>
      <c r="BH7">
        <v>24.08</v>
      </c>
      <c r="BI7">
        <v>51.31</v>
      </c>
      <c r="BJ7">
        <v>13.16</v>
      </c>
      <c r="BK7">
        <v>12.81</v>
      </c>
      <c r="BL7">
        <v>50.68</v>
      </c>
      <c r="BM7">
        <v>0.35</v>
      </c>
      <c r="BN7">
        <v>0.7</v>
      </c>
      <c r="BO7">
        <v>33.33</v>
      </c>
      <c r="BP7">
        <v>2.68</v>
      </c>
      <c r="BQ7">
        <v>94.5</v>
      </c>
      <c r="BR7">
        <v>8.56</v>
      </c>
      <c r="BS7">
        <v>92.21</v>
      </c>
      <c r="BT7">
        <v>1.008</v>
      </c>
    </row>
    <row r="8" spans="1:72" x14ac:dyDescent="0.35">
      <c r="A8">
        <v>6</v>
      </c>
      <c r="B8" t="s">
        <v>43</v>
      </c>
      <c r="C8">
        <v>10</v>
      </c>
      <c r="D8">
        <v>54.38</v>
      </c>
      <c r="E8">
        <v>3</v>
      </c>
      <c r="F8">
        <v>4</v>
      </c>
      <c r="G8">
        <v>3</v>
      </c>
      <c r="H8">
        <v>3</v>
      </c>
      <c r="I8">
        <v>9</v>
      </c>
      <c r="J8">
        <v>0.45</v>
      </c>
      <c r="K8">
        <v>48.1</v>
      </c>
      <c r="L8">
        <v>56.38</v>
      </c>
      <c r="M8">
        <v>46.04</v>
      </c>
      <c r="N8">
        <v>37.36</v>
      </c>
      <c r="O8">
        <v>41.28</v>
      </c>
      <c r="P8">
        <v>47.51</v>
      </c>
      <c r="Q8">
        <v>26.51</v>
      </c>
      <c r="R8">
        <v>30.54</v>
      </c>
      <c r="S8">
        <v>46.47</v>
      </c>
      <c r="T8">
        <v>2.0099999999999998</v>
      </c>
      <c r="U8">
        <v>2.35</v>
      </c>
      <c r="V8">
        <v>46.15</v>
      </c>
      <c r="W8">
        <v>1.94</v>
      </c>
      <c r="X8">
        <v>2.2799999999999998</v>
      </c>
      <c r="Y8">
        <v>46.08</v>
      </c>
      <c r="Z8">
        <v>20.58</v>
      </c>
      <c r="AA8">
        <v>25.06</v>
      </c>
      <c r="AB8">
        <v>45.1</v>
      </c>
      <c r="AC8">
        <v>12.19</v>
      </c>
      <c r="AD8">
        <v>15.21</v>
      </c>
      <c r="AE8">
        <v>44.49</v>
      </c>
      <c r="AF8">
        <v>1.1200000000000001</v>
      </c>
      <c r="AG8">
        <v>2.13</v>
      </c>
      <c r="AH8">
        <v>34.479999999999997</v>
      </c>
      <c r="AI8">
        <v>9.17</v>
      </c>
      <c r="AJ8">
        <v>86.03</v>
      </c>
      <c r="AK8">
        <v>7.38</v>
      </c>
      <c r="AL8">
        <v>9.2799999999999994</v>
      </c>
      <c r="AM8">
        <v>44.3</v>
      </c>
      <c r="AN8">
        <v>5.03</v>
      </c>
      <c r="AO8">
        <v>6.71</v>
      </c>
      <c r="AP8">
        <v>42.86</v>
      </c>
      <c r="AQ8">
        <v>0.56000000000000005</v>
      </c>
      <c r="AR8">
        <v>1.1200000000000001</v>
      </c>
      <c r="AS8">
        <v>33.33</v>
      </c>
      <c r="AT8">
        <v>11.11</v>
      </c>
      <c r="AU8">
        <v>83.33</v>
      </c>
      <c r="AV8">
        <v>13.2</v>
      </c>
      <c r="AW8">
        <v>15.77</v>
      </c>
      <c r="AX8">
        <v>45.56</v>
      </c>
      <c r="AY8">
        <v>7.16</v>
      </c>
      <c r="AZ8">
        <v>8.5</v>
      </c>
      <c r="BA8">
        <v>45.71</v>
      </c>
      <c r="BB8">
        <v>0.56000000000000005</v>
      </c>
      <c r="BC8">
        <v>1.01</v>
      </c>
      <c r="BD8">
        <v>35.71</v>
      </c>
      <c r="BE8">
        <v>7.81</v>
      </c>
      <c r="BF8">
        <v>88.16</v>
      </c>
      <c r="BG8">
        <v>23.16</v>
      </c>
      <c r="BH8">
        <v>27.41</v>
      </c>
      <c r="BI8">
        <v>45.8</v>
      </c>
      <c r="BJ8">
        <v>13.09</v>
      </c>
      <c r="BK8">
        <v>14.21</v>
      </c>
      <c r="BL8">
        <v>47.95</v>
      </c>
      <c r="BM8">
        <v>0.89</v>
      </c>
      <c r="BN8">
        <v>0.11</v>
      </c>
      <c r="BO8">
        <v>88.89</v>
      </c>
      <c r="BP8">
        <v>6.84</v>
      </c>
      <c r="BQ8">
        <v>99.21</v>
      </c>
      <c r="BR8">
        <v>7.59</v>
      </c>
      <c r="BS8">
        <v>92.31</v>
      </c>
      <c r="BT8">
        <v>0.999</v>
      </c>
    </row>
    <row r="9" spans="1:72" x14ac:dyDescent="0.35">
      <c r="A9">
        <v>7</v>
      </c>
      <c r="B9" t="s">
        <v>44</v>
      </c>
      <c r="C9">
        <v>10</v>
      </c>
      <c r="D9">
        <v>51.19</v>
      </c>
      <c r="E9">
        <v>6</v>
      </c>
      <c r="F9">
        <v>3</v>
      </c>
      <c r="G9">
        <v>1</v>
      </c>
      <c r="H9">
        <v>6</v>
      </c>
      <c r="I9">
        <v>13</v>
      </c>
      <c r="J9">
        <v>0.65</v>
      </c>
      <c r="K9">
        <v>54.95</v>
      </c>
      <c r="L9">
        <v>44.55</v>
      </c>
      <c r="M9">
        <v>55.23</v>
      </c>
      <c r="N9">
        <v>42.21</v>
      </c>
      <c r="O9">
        <v>35.659999999999997</v>
      </c>
      <c r="P9">
        <v>54.2</v>
      </c>
      <c r="Q9">
        <v>29.46</v>
      </c>
      <c r="R9">
        <v>26.31</v>
      </c>
      <c r="S9">
        <v>52.83</v>
      </c>
      <c r="T9">
        <v>3.27</v>
      </c>
      <c r="U9">
        <v>2.92</v>
      </c>
      <c r="V9">
        <v>52.83</v>
      </c>
      <c r="W9">
        <v>2.35</v>
      </c>
      <c r="X9">
        <v>1.79</v>
      </c>
      <c r="Y9">
        <v>56.76</v>
      </c>
      <c r="Z9">
        <v>26.77</v>
      </c>
      <c r="AA9">
        <v>21.28</v>
      </c>
      <c r="AB9">
        <v>55.72</v>
      </c>
      <c r="AC9">
        <v>17.77</v>
      </c>
      <c r="AD9">
        <v>14.5</v>
      </c>
      <c r="AE9">
        <v>55.07</v>
      </c>
      <c r="AF9">
        <v>3.27</v>
      </c>
      <c r="AG9">
        <v>2.69</v>
      </c>
      <c r="AH9">
        <v>54.9</v>
      </c>
      <c r="AI9">
        <v>18.420000000000002</v>
      </c>
      <c r="AJ9">
        <v>81.45</v>
      </c>
      <c r="AK9">
        <v>10.76</v>
      </c>
      <c r="AL9">
        <v>7.72</v>
      </c>
      <c r="AM9">
        <v>58.23</v>
      </c>
      <c r="AN9">
        <v>8.77</v>
      </c>
      <c r="AO9">
        <v>6.66</v>
      </c>
      <c r="AP9">
        <v>56.82</v>
      </c>
      <c r="AQ9">
        <v>1.64</v>
      </c>
      <c r="AR9">
        <v>1.64</v>
      </c>
      <c r="AS9">
        <v>50</v>
      </c>
      <c r="AT9">
        <v>18.670000000000002</v>
      </c>
      <c r="AU9">
        <v>75.44</v>
      </c>
      <c r="AV9">
        <v>16.02</v>
      </c>
      <c r="AW9">
        <v>13.56</v>
      </c>
      <c r="AX9">
        <v>54.15</v>
      </c>
      <c r="AY9">
        <v>9</v>
      </c>
      <c r="AZ9">
        <v>7.83</v>
      </c>
      <c r="BA9">
        <v>53.47</v>
      </c>
      <c r="BB9">
        <v>1.64</v>
      </c>
      <c r="BC9">
        <v>1.05</v>
      </c>
      <c r="BD9">
        <v>60.87</v>
      </c>
      <c r="BE9">
        <v>18.18</v>
      </c>
      <c r="BF9">
        <v>86.57</v>
      </c>
      <c r="BG9">
        <v>24.09</v>
      </c>
      <c r="BH9">
        <v>19.41</v>
      </c>
      <c r="BI9">
        <v>55.38</v>
      </c>
      <c r="BJ9">
        <v>10.52</v>
      </c>
      <c r="BK9">
        <v>10.41</v>
      </c>
      <c r="BL9">
        <v>50.28</v>
      </c>
      <c r="BM9">
        <v>0</v>
      </c>
      <c r="BN9">
        <v>0.23</v>
      </c>
      <c r="BO9">
        <v>0</v>
      </c>
      <c r="BP9">
        <v>0</v>
      </c>
      <c r="BQ9">
        <v>97.75</v>
      </c>
      <c r="BR9">
        <v>11.11</v>
      </c>
      <c r="BS9">
        <v>88.89</v>
      </c>
      <c r="BT9">
        <v>1</v>
      </c>
    </row>
    <row r="10" spans="1:72" x14ac:dyDescent="0.35">
      <c r="A10">
        <v>8</v>
      </c>
      <c r="B10" t="s">
        <v>45</v>
      </c>
      <c r="C10">
        <v>10</v>
      </c>
      <c r="D10">
        <v>52.2</v>
      </c>
      <c r="E10">
        <v>5</v>
      </c>
      <c r="F10">
        <v>3</v>
      </c>
      <c r="G10">
        <v>2</v>
      </c>
      <c r="H10">
        <v>4</v>
      </c>
      <c r="I10">
        <v>12</v>
      </c>
      <c r="J10">
        <v>0.6</v>
      </c>
      <c r="K10">
        <v>55.38</v>
      </c>
      <c r="L10">
        <v>62.72</v>
      </c>
      <c r="M10">
        <v>46.89</v>
      </c>
      <c r="N10">
        <v>37.950000000000003</v>
      </c>
      <c r="O10">
        <v>46.21</v>
      </c>
      <c r="P10">
        <v>45.1</v>
      </c>
      <c r="Q10">
        <v>30.5</v>
      </c>
      <c r="R10">
        <v>37.840000000000003</v>
      </c>
      <c r="S10">
        <v>44.63</v>
      </c>
      <c r="T10">
        <v>3.21</v>
      </c>
      <c r="U10">
        <v>2.75</v>
      </c>
      <c r="V10">
        <v>53.85</v>
      </c>
      <c r="W10">
        <v>2.31</v>
      </c>
      <c r="X10">
        <v>2.83</v>
      </c>
      <c r="Y10">
        <v>44.95</v>
      </c>
      <c r="Z10">
        <v>30.27</v>
      </c>
      <c r="AA10">
        <v>30.5</v>
      </c>
      <c r="AB10">
        <v>49.81</v>
      </c>
      <c r="AC10">
        <v>17.89</v>
      </c>
      <c r="AD10">
        <v>20.87</v>
      </c>
      <c r="AE10">
        <v>46.15</v>
      </c>
      <c r="AF10">
        <v>3.21</v>
      </c>
      <c r="AG10">
        <v>2.75</v>
      </c>
      <c r="AH10">
        <v>53.85</v>
      </c>
      <c r="AI10">
        <v>17.95</v>
      </c>
      <c r="AJ10">
        <v>86.81</v>
      </c>
      <c r="AK10">
        <v>11.12</v>
      </c>
      <c r="AL10">
        <v>12.5</v>
      </c>
      <c r="AM10">
        <v>47.09</v>
      </c>
      <c r="AN10">
        <v>8.83</v>
      </c>
      <c r="AO10">
        <v>10.66</v>
      </c>
      <c r="AP10">
        <v>45.29</v>
      </c>
      <c r="AQ10">
        <v>2.29</v>
      </c>
      <c r="AR10">
        <v>2.06</v>
      </c>
      <c r="AS10">
        <v>52.63</v>
      </c>
      <c r="AT10">
        <v>25.97</v>
      </c>
      <c r="AU10">
        <v>80.650000000000006</v>
      </c>
      <c r="AV10">
        <v>19.149999999999999</v>
      </c>
      <c r="AW10">
        <v>18</v>
      </c>
      <c r="AX10">
        <v>51.54</v>
      </c>
      <c r="AY10">
        <v>9.06</v>
      </c>
      <c r="AZ10">
        <v>10.199999999999999</v>
      </c>
      <c r="BA10">
        <v>47.02</v>
      </c>
      <c r="BB10">
        <v>0.92</v>
      </c>
      <c r="BC10">
        <v>0.69</v>
      </c>
      <c r="BD10">
        <v>57.14</v>
      </c>
      <c r="BE10">
        <v>10.130000000000001</v>
      </c>
      <c r="BF10">
        <v>93.26</v>
      </c>
      <c r="BG10">
        <v>20.059999999999999</v>
      </c>
      <c r="BH10">
        <v>26.83</v>
      </c>
      <c r="BI10">
        <v>42.79</v>
      </c>
      <c r="BJ10">
        <v>11.01</v>
      </c>
      <c r="BK10">
        <v>15.13</v>
      </c>
      <c r="BL10">
        <v>42.11</v>
      </c>
      <c r="BM10">
        <v>0</v>
      </c>
      <c r="BN10">
        <v>0</v>
      </c>
      <c r="BO10" t="s">
        <v>85</v>
      </c>
      <c r="BP10">
        <v>0</v>
      </c>
      <c r="BQ10">
        <v>100</v>
      </c>
      <c r="BR10">
        <v>10.53</v>
      </c>
      <c r="BS10">
        <v>92.73</v>
      </c>
      <c r="BT10">
        <v>1.0329999999999999</v>
      </c>
    </row>
    <row r="11" spans="1:72" x14ac:dyDescent="0.35">
      <c r="A11">
        <v>9</v>
      </c>
      <c r="B11" t="s">
        <v>46</v>
      </c>
      <c r="C11">
        <v>10</v>
      </c>
      <c r="D11">
        <v>51.07</v>
      </c>
      <c r="E11">
        <v>7</v>
      </c>
      <c r="F11">
        <v>2</v>
      </c>
      <c r="G11">
        <v>1</v>
      </c>
      <c r="H11">
        <v>7</v>
      </c>
      <c r="I11">
        <v>15</v>
      </c>
      <c r="J11">
        <v>0.75</v>
      </c>
      <c r="K11">
        <v>69.599999999999994</v>
      </c>
      <c r="L11">
        <v>40.61</v>
      </c>
      <c r="M11">
        <v>63.15</v>
      </c>
      <c r="N11">
        <v>51.05</v>
      </c>
      <c r="O11">
        <v>28.75</v>
      </c>
      <c r="P11">
        <v>63.97</v>
      </c>
      <c r="Q11">
        <v>38.61</v>
      </c>
      <c r="R11">
        <v>20.66</v>
      </c>
      <c r="S11">
        <v>65.150000000000006</v>
      </c>
      <c r="T11">
        <v>3.64</v>
      </c>
      <c r="U11">
        <v>2</v>
      </c>
      <c r="V11">
        <v>64.58</v>
      </c>
      <c r="W11">
        <v>2.98</v>
      </c>
      <c r="X11">
        <v>1.41</v>
      </c>
      <c r="Y11">
        <v>67.900000000000006</v>
      </c>
      <c r="Z11">
        <v>33.92</v>
      </c>
      <c r="AA11">
        <v>16.2</v>
      </c>
      <c r="AB11">
        <v>67.680000000000007</v>
      </c>
      <c r="AC11">
        <v>21.13</v>
      </c>
      <c r="AD11">
        <v>10.210000000000001</v>
      </c>
      <c r="AE11">
        <v>67.42</v>
      </c>
      <c r="AF11">
        <v>3.05</v>
      </c>
      <c r="AG11">
        <v>1.29</v>
      </c>
      <c r="AH11">
        <v>70.27</v>
      </c>
      <c r="AI11">
        <v>14.44</v>
      </c>
      <c r="AJ11">
        <v>87.36</v>
      </c>
      <c r="AK11">
        <v>11.62</v>
      </c>
      <c r="AL11">
        <v>6.69</v>
      </c>
      <c r="AM11">
        <v>63.46</v>
      </c>
      <c r="AN11">
        <v>8.33</v>
      </c>
      <c r="AO11">
        <v>5.28</v>
      </c>
      <c r="AP11">
        <v>61.21</v>
      </c>
      <c r="AQ11">
        <v>1.76</v>
      </c>
      <c r="AR11">
        <v>0.7</v>
      </c>
      <c r="AS11">
        <v>71.430000000000007</v>
      </c>
      <c r="AT11">
        <v>21.13</v>
      </c>
      <c r="AU11">
        <v>86.67</v>
      </c>
      <c r="AV11">
        <v>22.3</v>
      </c>
      <c r="AW11">
        <v>9.51</v>
      </c>
      <c r="AX11">
        <v>70.11</v>
      </c>
      <c r="AY11">
        <v>12.79</v>
      </c>
      <c r="AZ11">
        <v>4.93</v>
      </c>
      <c r="BA11">
        <v>72.19</v>
      </c>
      <c r="BB11">
        <v>1.29</v>
      </c>
      <c r="BC11">
        <v>0.59</v>
      </c>
      <c r="BD11">
        <v>68.75</v>
      </c>
      <c r="BE11">
        <v>10.09</v>
      </c>
      <c r="BF11">
        <v>88.1</v>
      </c>
      <c r="BG11">
        <v>31.45</v>
      </c>
      <c r="BH11">
        <v>20.07</v>
      </c>
      <c r="BI11">
        <v>61.05</v>
      </c>
      <c r="BJ11">
        <v>16.78</v>
      </c>
      <c r="BK11">
        <v>9.15</v>
      </c>
      <c r="BL11">
        <v>64.709999999999994</v>
      </c>
      <c r="BM11">
        <v>0.47</v>
      </c>
      <c r="BN11">
        <v>0.59</v>
      </c>
      <c r="BO11">
        <v>44.44</v>
      </c>
      <c r="BP11">
        <v>2.8</v>
      </c>
      <c r="BQ11">
        <v>93.59</v>
      </c>
      <c r="BR11">
        <v>9.42</v>
      </c>
      <c r="BS11">
        <v>90.34</v>
      </c>
      <c r="BT11">
        <v>0.998</v>
      </c>
    </row>
    <row r="12" spans="1:72" x14ac:dyDescent="0.35">
      <c r="A12">
        <v>10</v>
      </c>
      <c r="B12" t="s">
        <v>47</v>
      </c>
      <c r="C12">
        <v>10</v>
      </c>
      <c r="D12">
        <v>51.03</v>
      </c>
      <c r="E12">
        <v>2</v>
      </c>
      <c r="F12">
        <v>4</v>
      </c>
      <c r="G12">
        <v>4</v>
      </c>
      <c r="H12">
        <v>2</v>
      </c>
      <c r="I12">
        <v>8</v>
      </c>
      <c r="J12">
        <v>0.4</v>
      </c>
      <c r="K12">
        <v>56.19</v>
      </c>
      <c r="L12">
        <v>45.14</v>
      </c>
      <c r="M12">
        <v>55.45</v>
      </c>
      <c r="N12">
        <v>40.200000000000003</v>
      </c>
      <c r="O12">
        <v>33.5</v>
      </c>
      <c r="P12">
        <v>54.55</v>
      </c>
      <c r="Q12">
        <v>27.15</v>
      </c>
      <c r="R12">
        <v>21.39</v>
      </c>
      <c r="S12">
        <v>55.93</v>
      </c>
      <c r="T12">
        <v>2.4700000000000002</v>
      </c>
      <c r="U12">
        <v>1.76</v>
      </c>
      <c r="V12">
        <v>58.33</v>
      </c>
      <c r="W12">
        <v>2.1800000000000002</v>
      </c>
      <c r="X12">
        <v>1.7</v>
      </c>
      <c r="Y12">
        <v>56.17</v>
      </c>
      <c r="Z12">
        <v>26.1</v>
      </c>
      <c r="AA12">
        <v>20.22</v>
      </c>
      <c r="AB12">
        <v>56.35</v>
      </c>
      <c r="AC12">
        <v>14.69</v>
      </c>
      <c r="AD12">
        <v>10.93</v>
      </c>
      <c r="AE12">
        <v>57.34</v>
      </c>
      <c r="AF12">
        <v>2.35</v>
      </c>
      <c r="AG12">
        <v>1.29</v>
      </c>
      <c r="AH12">
        <v>64.52</v>
      </c>
      <c r="AI12">
        <v>16</v>
      </c>
      <c r="AJ12">
        <v>88.17</v>
      </c>
      <c r="AK12">
        <v>10.93</v>
      </c>
      <c r="AL12">
        <v>6.7</v>
      </c>
      <c r="AM12">
        <v>62</v>
      </c>
      <c r="AN12">
        <v>7.29</v>
      </c>
      <c r="AO12">
        <v>4.58</v>
      </c>
      <c r="AP12">
        <v>61.39</v>
      </c>
      <c r="AQ12">
        <v>1.76</v>
      </c>
      <c r="AR12">
        <v>1.18</v>
      </c>
      <c r="AS12">
        <v>60</v>
      </c>
      <c r="AT12">
        <v>24.19</v>
      </c>
      <c r="AU12">
        <v>74.36</v>
      </c>
      <c r="AV12">
        <v>15.16</v>
      </c>
      <c r="AW12">
        <v>13.52</v>
      </c>
      <c r="AX12">
        <v>52.87</v>
      </c>
      <c r="AY12">
        <v>7.41</v>
      </c>
      <c r="AZ12">
        <v>6.35</v>
      </c>
      <c r="BA12">
        <v>53.85</v>
      </c>
      <c r="BB12">
        <v>0.59</v>
      </c>
      <c r="BC12">
        <v>0.12</v>
      </c>
      <c r="BD12">
        <v>83.33</v>
      </c>
      <c r="BE12">
        <v>7.94</v>
      </c>
      <c r="BF12">
        <v>98.15</v>
      </c>
      <c r="BG12">
        <v>25.16</v>
      </c>
      <c r="BH12">
        <v>19.98</v>
      </c>
      <c r="BI12">
        <v>55.73</v>
      </c>
      <c r="BJ12">
        <v>10.46</v>
      </c>
      <c r="BK12">
        <v>8.58</v>
      </c>
      <c r="BL12">
        <v>54.94</v>
      </c>
      <c r="BM12">
        <v>0.12</v>
      </c>
      <c r="BN12">
        <v>0.47</v>
      </c>
      <c r="BO12">
        <v>20</v>
      </c>
      <c r="BP12">
        <v>1.1200000000000001</v>
      </c>
      <c r="BQ12">
        <v>94.52</v>
      </c>
      <c r="BR12">
        <v>9.09</v>
      </c>
      <c r="BS12">
        <v>91.76</v>
      </c>
      <c r="BT12">
        <v>1.008</v>
      </c>
    </row>
    <row r="13" spans="1:72" x14ac:dyDescent="0.35">
      <c r="A13">
        <v>11</v>
      </c>
      <c r="B13" t="s">
        <v>48</v>
      </c>
      <c r="C13">
        <v>10</v>
      </c>
      <c r="D13">
        <v>50.12</v>
      </c>
      <c r="E13">
        <v>5</v>
      </c>
      <c r="F13">
        <v>4</v>
      </c>
      <c r="G13">
        <v>1</v>
      </c>
      <c r="H13">
        <v>5</v>
      </c>
      <c r="I13">
        <v>11</v>
      </c>
      <c r="J13">
        <v>0.55000000000000004</v>
      </c>
      <c r="K13">
        <v>45.07</v>
      </c>
      <c r="L13">
        <v>58.1</v>
      </c>
      <c r="M13">
        <v>43.68</v>
      </c>
      <c r="N13">
        <v>34.79</v>
      </c>
      <c r="O13">
        <v>45.3</v>
      </c>
      <c r="P13">
        <v>43.43</v>
      </c>
      <c r="Q13">
        <v>25.34</v>
      </c>
      <c r="R13">
        <v>35.26</v>
      </c>
      <c r="S13">
        <v>41.81</v>
      </c>
      <c r="T13">
        <v>2.75</v>
      </c>
      <c r="U13">
        <v>2.27</v>
      </c>
      <c r="V13">
        <v>54.76</v>
      </c>
      <c r="W13">
        <v>2.15</v>
      </c>
      <c r="X13">
        <v>2.37</v>
      </c>
      <c r="Y13">
        <v>47.54</v>
      </c>
      <c r="Z13">
        <v>19.25</v>
      </c>
      <c r="AA13">
        <v>25.82</v>
      </c>
      <c r="AB13">
        <v>42.71</v>
      </c>
      <c r="AC13">
        <v>11.71</v>
      </c>
      <c r="AD13">
        <v>18.170000000000002</v>
      </c>
      <c r="AE13">
        <v>39.200000000000003</v>
      </c>
      <c r="AF13">
        <v>1.55</v>
      </c>
      <c r="AG13">
        <v>1.91</v>
      </c>
      <c r="AH13">
        <v>44.83</v>
      </c>
      <c r="AI13">
        <v>13.27</v>
      </c>
      <c r="AJ13">
        <v>89.47</v>
      </c>
      <c r="AK13">
        <v>7.77</v>
      </c>
      <c r="AL13">
        <v>11.24</v>
      </c>
      <c r="AM13">
        <v>40.880000000000003</v>
      </c>
      <c r="AN13">
        <v>6.34</v>
      </c>
      <c r="AO13">
        <v>9.1999999999999993</v>
      </c>
      <c r="AP13">
        <v>40.770000000000003</v>
      </c>
      <c r="AQ13">
        <v>0.84</v>
      </c>
      <c r="AR13">
        <v>1.31</v>
      </c>
      <c r="AS13">
        <v>38.89</v>
      </c>
      <c r="AT13">
        <v>13.21</v>
      </c>
      <c r="AU13">
        <v>85.71</v>
      </c>
      <c r="AV13">
        <v>11.48</v>
      </c>
      <c r="AW13">
        <v>14.58</v>
      </c>
      <c r="AX13">
        <v>44.04</v>
      </c>
      <c r="AY13">
        <v>5.38</v>
      </c>
      <c r="AZ13">
        <v>8.9700000000000006</v>
      </c>
      <c r="BA13">
        <v>37.5</v>
      </c>
      <c r="BB13">
        <v>0.72</v>
      </c>
      <c r="BC13">
        <v>0.6</v>
      </c>
      <c r="BD13">
        <v>54.55</v>
      </c>
      <c r="BE13">
        <v>13.33</v>
      </c>
      <c r="BF13">
        <v>93.33</v>
      </c>
      <c r="BG13">
        <v>22.35</v>
      </c>
      <c r="BH13">
        <v>28.33</v>
      </c>
      <c r="BI13">
        <v>44.1</v>
      </c>
      <c r="BJ13">
        <v>11.83</v>
      </c>
      <c r="BK13">
        <v>15.54</v>
      </c>
      <c r="BL13">
        <v>43.23</v>
      </c>
      <c r="BM13">
        <v>0.96</v>
      </c>
      <c r="BN13">
        <v>0.36</v>
      </c>
      <c r="BO13">
        <v>72.73</v>
      </c>
      <c r="BP13">
        <v>8.08</v>
      </c>
      <c r="BQ13">
        <v>97.69</v>
      </c>
      <c r="BR13">
        <v>10.85</v>
      </c>
      <c r="BS13">
        <v>93.56</v>
      </c>
      <c r="BT13">
        <v>1.044</v>
      </c>
    </row>
    <row r="14" spans="1:72" x14ac:dyDescent="0.35">
      <c r="A14">
        <v>12</v>
      </c>
      <c r="B14" t="s">
        <v>49</v>
      </c>
      <c r="C14">
        <v>10</v>
      </c>
      <c r="D14">
        <v>52.41</v>
      </c>
      <c r="E14">
        <v>7</v>
      </c>
      <c r="F14">
        <v>3</v>
      </c>
      <c r="G14">
        <v>0</v>
      </c>
      <c r="H14">
        <v>7</v>
      </c>
      <c r="I14">
        <v>14</v>
      </c>
      <c r="J14">
        <v>0.7</v>
      </c>
      <c r="K14">
        <v>57.59</v>
      </c>
      <c r="L14">
        <v>50.51</v>
      </c>
      <c r="M14">
        <v>53.28</v>
      </c>
      <c r="N14">
        <v>42.73</v>
      </c>
      <c r="O14">
        <v>38.659999999999997</v>
      </c>
      <c r="P14">
        <v>52.5</v>
      </c>
      <c r="Q14">
        <v>31</v>
      </c>
      <c r="R14">
        <v>28.45</v>
      </c>
      <c r="S14">
        <v>52.15</v>
      </c>
      <c r="T14">
        <v>3.02</v>
      </c>
      <c r="U14">
        <v>1.86</v>
      </c>
      <c r="V14">
        <v>61.9</v>
      </c>
      <c r="W14">
        <v>2.68</v>
      </c>
      <c r="X14">
        <v>2.2599999999999998</v>
      </c>
      <c r="Y14">
        <v>54.3</v>
      </c>
      <c r="Z14">
        <v>27.29</v>
      </c>
      <c r="AA14">
        <v>24.73</v>
      </c>
      <c r="AB14">
        <v>52.46</v>
      </c>
      <c r="AC14">
        <v>15.67</v>
      </c>
      <c r="AD14">
        <v>15.44</v>
      </c>
      <c r="AE14">
        <v>50.37</v>
      </c>
      <c r="AF14">
        <v>2.67</v>
      </c>
      <c r="AG14">
        <v>1.51</v>
      </c>
      <c r="AH14">
        <v>63.89</v>
      </c>
      <c r="AI14">
        <v>17.04</v>
      </c>
      <c r="AJ14">
        <v>90.23</v>
      </c>
      <c r="AK14">
        <v>11.73</v>
      </c>
      <c r="AL14">
        <v>10.45</v>
      </c>
      <c r="AM14">
        <v>52.88</v>
      </c>
      <c r="AN14">
        <v>8.24</v>
      </c>
      <c r="AO14">
        <v>7.43</v>
      </c>
      <c r="AP14">
        <v>52.59</v>
      </c>
      <c r="AQ14">
        <v>1.04</v>
      </c>
      <c r="AR14">
        <v>0.93</v>
      </c>
      <c r="AS14">
        <v>52.94</v>
      </c>
      <c r="AT14">
        <v>12.68</v>
      </c>
      <c r="AU14">
        <v>87.5</v>
      </c>
      <c r="AV14">
        <v>15.56</v>
      </c>
      <c r="AW14">
        <v>14.28</v>
      </c>
      <c r="AX14">
        <v>52.14</v>
      </c>
      <c r="AY14">
        <v>7.43</v>
      </c>
      <c r="AZ14">
        <v>8.01</v>
      </c>
      <c r="BA14">
        <v>48.12</v>
      </c>
      <c r="BB14">
        <v>1.63</v>
      </c>
      <c r="BC14">
        <v>0.57999999999999996</v>
      </c>
      <c r="BD14">
        <v>73.680000000000007</v>
      </c>
      <c r="BE14">
        <v>21.88</v>
      </c>
      <c r="BF14">
        <v>92.75</v>
      </c>
      <c r="BG14">
        <v>25.78</v>
      </c>
      <c r="BH14">
        <v>22.64</v>
      </c>
      <c r="BI14">
        <v>53.24</v>
      </c>
      <c r="BJ14">
        <v>14.17</v>
      </c>
      <c r="BK14">
        <v>11.73</v>
      </c>
      <c r="BL14">
        <v>54.71</v>
      </c>
      <c r="BM14">
        <v>0.23</v>
      </c>
      <c r="BN14">
        <v>0.35</v>
      </c>
      <c r="BO14">
        <v>40</v>
      </c>
      <c r="BP14">
        <v>1.64</v>
      </c>
      <c r="BQ14">
        <v>97.03</v>
      </c>
      <c r="BR14">
        <v>9.74</v>
      </c>
      <c r="BS14">
        <v>93.47</v>
      </c>
      <c r="BT14">
        <v>1.032</v>
      </c>
    </row>
    <row r="15" spans="1:72" x14ac:dyDescent="0.35">
      <c r="A15">
        <v>13</v>
      </c>
      <c r="B15" t="s">
        <v>50</v>
      </c>
      <c r="C15">
        <v>10</v>
      </c>
      <c r="D15">
        <v>50.36</v>
      </c>
      <c r="E15">
        <v>5</v>
      </c>
      <c r="F15">
        <v>3</v>
      </c>
      <c r="G15">
        <v>2</v>
      </c>
      <c r="H15">
        <v>5</v>
      </c>
      <c r="I15">
        <v>12</v>
      </c>
      <c r="J15">
        <v>0.6</v>
      </c>
      <c r="K15">
        <v>59.75</v>
      </c>
      <c r="L15">
        <v>44.39</v>
      </c>
      <c r="M15">
        <v>57.38</v>
      </c>
      <c r="N15">
        <v>48.02</v>
      </c>
      <c r="O15">
        <v>35.44</v>
      </c>
      <c r="P15">
        <v>57.54</v>
      </c>
      <c r="Q15">
        <v>38.1</v>
      </c>
      <c r="R15">
        <v>28.18</v>
      </c>
      <c r="S15">
        <v>57.48</v>
      </c>
      <c r="T15">
        <v>2.54</v>
      </c>
      <c r="U15">
        <v>2.42</v>
      </c>
      <c r="V15">
        <v>51.22</v>
      </c>
      <c r="W15">
        <v>3.12</v>
      </c>
      <c r="X15">
        <v>2.1</v>
      </c>
      <c r="Y15">
        <v>59.73</v>
      </c>
      <c r="Z15">
        <v>26.85</v>
      </c>
      <c r="AA15">
        <v>18.989999999999998</v>
      </c>
      <c r="AB15">
        <v>58.58</v>
      </c>
      <c r="AC15">
        <v>19.72</v>
      </c>
      <c r="AD15">
        <v>14.64</v>
      </c>
      <c r="AE15">
        <v>57.39</v>
      </c>
      <c r="AF15">
        <v>1.81</v>
      </c>
      <c r="AG15">
        <v>2.2999999999999998</v>
      </c>
      <c r="AH15">
        <v>44.12</v>
      </c>
      <c r="AI15">
        <v>9.1999999999999993</v>
      </c>
      <c r="AJ15">
        <v>84.3</v>
      </c>
      <c r="AK15">
        <v>11.73</v>
      </c>
      <c r="AL15">
        <v>8.35</v>
      </c>
      <c r="AM15">
        <v>58.43</v>
      </c>
      <c r="AN15">
        <v>10.16</v>
      </c>
      <c r="AO15">
        <v>7.38</v>
      </c>
      <c r="AP15">
        <v>57.93</v>
      </c>
      <c r="AQ15">
        <v>1.57</v>
      </c>
      <c r="AR15">
        <v>1.45</v>
      </c>
      <c r="AS15">
        <v>52</v>
      </c>
      <c r="AT15">
        <v>15.48</v>
      </c>
      <c r="AU15">
        <v>80.33</v>
      </c>
      <c r="AV15">
        <v>15.12</v>
      </c>
      <c r="AW15">
        <v>10.64</v>
      </c>
      <c r="AX15">
        <v>58.69</v>
      </c>
      <c r="AY15">
        <v>9.56</v>
      </c>
      <c r="AZ15">
        <v>7.26</v>
      </c>
      <c r="BA15">
        <v>56.83</v>
      </c>
      <c r="BB15">
        <v>0.24</v>
      </c>
      <c r="BC15">
        <v>0.85</v>
      </c>
      <c r="BD15">
        <v>22.22</v>
      </c>
      <c r="BE15">
        <v>2.5299999999999998</v>
      </c>
      <c r="BF15">
        <v>88.33</v>
      </c>
      <c r="BG15">
        <v>28.91</v>
      </c>
      <c r="BH15">
        <v>21.29</v>
      </c>
      <c r="BI15">
        <v>57.59</v>
      </c>
      <c r="BJ15">
        <v>15.97</v>
      </c>
      <c r="BK15">
        <v>11.98</v>
      </c>
      <c r="BL15">
        <v>57.14</v>
      </c>
      <c r="BM15">
        <v>0.48</v>
      </c>
      <c r="BN15">
        <v>0.12</v>
      </c>
      <c r="BO15">
        <v>80</v>
      </c>
      <c r="BP15">
        <v>3.03</v>
      </c>
      <c r="BQ15">
        <v>98.99</v>
      </c>
      <c r="BR15">
        <v>6.67</v>
      </c>
      <c r="BS15">
        <v>91.42</v>
      </c>
      <c r="BT15">
        <v>0.98099999999999998</v>
      </c>
    </row>
    <row r="16" spans="1:72" x14ac:dyDescent="0.35">
      <c r="A16">
        <v>14</v>
      </c>
      <c r="B16" t="s">
        <v>51</v>
      </c>
      <c r="C16">
        <v>10</v>
      </c>
      <c r="D16">
        <v>53.06</v>
      </c>
      <c r="E16">
        <v>5</v>
      </c>
      <c r="F16">
        <v>3</v>
      </c>
      <c r="G16">
        <v>2</v>
      </c>
      <c r="H16">
        <v>5</v>
      </c>
      <c r="I16">
        <v>12</v>
      </c>
      <c r="J16">
        <v>0.6</v>
      </c>
      <c r="K16">
        <v>47.45</v>
      </c>
      <c r="L16">
        <v>54.23</v>
      </c>
      <c r="M16">
        <v>46.67</v>
      </c>
      <c r="N16">
        <v>36.72</v>
      </c>
      <c r="O16">
        <v>43.16</v>
      </c>
      <c r="P16">
        <v>45.97</v>
      </c>
      <c r="Q16">
        <v>27.23</v>
      </c>
      <c r="R16">
        <v>29.83</v>
      </c>
      <c r="S16">
        <v>47.72</v>
      </c>
      <c r="T16">
        <v>2.37</v>
      </c>
      <c r="U16">
        <v>2.0299999999999998</v>
      </c>
      <c r="V16">
        <v>53.85</v>
      </c>
      <c r="W16">
        <v>2.44</v>
      </c>
      <c r="X16">
        <v>2.79</v>
      </c>
      <c r="Y16">
        <v>46.65</v>
      </c>
      <c r="Z16">
        <v>23.95</v>
      </c>
      <c r="AA16">
        <v>29.49</v>
      </c>
      <c r="AB16">
        <v>44.82</v>
      </c>
      <c r="AC16">
        <v>14.69</v>
      </c>
      <c r="AD16">
        <v>17.62</v>
      </c>
      <c r="AE16">
        <v>45.45</v>
      </c>
      <c r="AF16">
        <v>2.15</v>
      </c>
      <c r="AG16">
        <v>2.0299999999999998</v>
      </c>
      <c r="AH16">
        <v>51.35</v>
      </c>
      <c r="AI16">
        <v>14.62</v>
      </c>
      <c r="AJ16">
        <v>88.46</v>
      </c>
      <c r="AK16">
        <v>11.18</v>
      </c>
      <c r="AL16">
        <v>12.54</v>
      </c>
      <c r="AM16">
        <v>47.14</v>
      </c>
      <c r="AN16">
        <v>7.8</v>
      </c>
      <c r="AO16">
        <v>9.49</v>
      </c>
      <c r="AP16">
        <v>45.1</v>
      </c>
      <c r="AQ16">
        <v>1.92</v>
      </c>
      <c r="AR16">
        <v>1.24</v>
      </c>
      <c r="AS16">
        <v>60.71</v>
      </c>
      <c r="AT16">
        <v>24.64</v>
      </c>
      <c r="AU16">
        <v>86.9</v>
      </c>
      <c r="AV16">
        <v>12.77</v>
      </c>
      <c r="AW16">
        <v>16.95</v>
      </c>
      <c r="AX16">
        <v>42.97</v>
      </c>
      <c r="AY16">
        <v>6.89</v>
      </c>
      <c r="AZ16">
        <v>8.1300000000000008</v>
      </c>
      <c r="BA16">
        <v>45.86</v>
      </c>
      <c r="BB16">
        <v>0.23</v>
      </c>
      <c r="BC16">
        <v>0.79</v>
      </c>
      <c r="BD16">
        <v>22.22</v>
      </c>
      <c r="BE16">
        <v>3.28</v>
      </c>
      <c r="BF16">
        <v>90.28</v>
      </c>
      <c r="BG16">
        <v>19.21</v>
      </c>
      <c r="BH16">
        <v>21.69</v>
      </c>
      <c r="BI16">
        <v>46.96</v>
      </c>
      <c r="BJ16">
        <v>10.62</v>
      </c>
      <c r="BK16">
        <v>11.18</v>
      </c>
      <c r="BL16">
        <v>48.7</v>
      </c>
      <c r="BM16">
        <v>0</v>
      </c>
      <c r="BN16">
        <v>0</v>
      </c>
      <c r="BO16" t="s">
        <v>85</v>
      </c>
      <c r="BP16">
        <v>0</v>
      </c>
      <c r="BQ16">
        <v>100</v>
      </c>
      <c r="BR16">
        <v>8.7100000000000009</v>
      </c>
      <c r="BS16">
        <v>93.18</v>
      </c>
      <c r="BT16">
        <v>1.0189999999999999</v>
      </c>
    </row>
    <row r="17" spans="1:72" x14ac:dyDescent="0.35">
      <c r="A17">
        <v>15</v>
      </c>
      <c r="B17" t="s">
        <v>52</v>
      </c>
      <c r="C17">
        <v>10</v>
      </c>
      <c r="D17">
        <v>49.18</v>
      </c>
      <c r="E17">
        <v>10</v>
      </c>
      <c r="F17">
        <v>0</v>
      </c>
      <c r="G17">
        <v>0</v>
      </c>
      <c r="H17">
        <v>10</v>
      </c>
      <c r="I17">
        <v>20</v>
      </c>
      <c r="J17">
        <v>1</v>
      </c>
      <c r="K17">
        <v>51</v>
      </c>
      <c r="L17">
        <v>56.11</v>
      </c>
      <c r="M17">
        <v>47.61</v>
      </c>
      <c r="N17">
        <v>39.56</v>
      </c>
      <c r="O17">
        <v>40.409999999999997</v>
      </c>
      <c r="P17">
        <v>49.47</v>
      </c>
      <c r="Q17">
        <v>29.33</v>
      </c>
      <c r="R17">
        <v>27.87</v>
      </c>
      <c r="S17">
        <v>51.28</v>
      </c>
      <c r="T17">
        <v>3.53</v>
      </c>
      <c r="U17">
        <v>1.46</v>
      </c>
      <c r="V17">
        <v>70.73</v>
      </c>
      <c r="W17">
        <v>2.34</v>
      </c>
      <c r="X17">
        <v>1.67</v>
      </c>
      <c r="Y17">
        <v>58.43</v>
      </c>
      <c r="Z17">
        <v>24.46</v>
      </c>
      <c r="AA17">
        <v>19.84</v>
      </c>
      <c r="AB17">
        <v>55.22</v>
      </c>
      <c r="AC17">
        <v>16.43</v>
      </c>
      <c r="AD17">
        <v>11.32</v>
      </c>
      <c r="AE17">
        <v>59.21</v>
      </c>
      <c r="AF17">
        <v>3.04</v>
      </c>
      <c r="AG17">
        <v>1.34</v>
      </c>
      <c r="AH17">
        <v>69.44</v>
      </c>
      <c r="AI17">
        <v>18.52</v>
      </c>
      <c r="AJ17">
        <v>88.17</v>
      </c>
      <c r="AK17">
        <v>10.35</v>
      </c>
      <c r="AL17">
        <v>5.96</v>
      </c>
      <c r="AM17">
        <v>63.43</v>
      </c>
      <c r="AN17">
        <v>7.79</v>
      </c>
      <c r="AO17">
        <v>4.5</v>
      </c>
      <c r="AP17">
        <v>63.37</v>
      </c>
      <c r="AQ17">
        <v>1.83</v>
      </c>
      <c r="AR17">
        <v>0.73</v>
      </c>
      <c r="AS17">
        <v>71.430000000000007</v>
      </c>
      <c r="AT17">
        <v>23.44</v>
      </c>
      <c r="AU17">
        <v>83.78</v>
      </c>
      <c r="AV17">
        <v>14.12</v>
      </c>
      <c r="AW17">
        <v>13.87</v>
      </c>
      <c r="AX17">
        <v>50.43</v>
      </c>
      <c r="AY17">
        <v>8.64</v>
      </c>
      <c r="AZ17">
        <v>6.82</v>
      </c>
      <c r="BA17">
        <v>55.91</v>
      </c>
      <c r="BB17">
        <v>1.22</v>
      </c>
      <c r="BC17">
        <v>0.61</v>
      </c>
      <c r="BD17">
        <v>66.67</v>
      </c>
      <c r="BE17">
        <v>14.08</v>
      </c>
      <c r="BF17">
        <v>91.07</v>
      </c>
      <c r="BG17">
        <v>23</v>
      </c>
      <c r="BH17">
        <v>31.89</v>
      </c>
      <c r="BI17">
        <v>41.91</v>
      </c>
      <c r="BJ17">
        <v>12.41</v>
      </c>
      <c r="BK17">
        <v>15.34</v>
      </c>
      <c r="BL17">
        <v>44.74</v>
      </c>
      <c r="BM17">
        <v>0.24</v>
      </c>
      <c r="BN17">
        <v>0.12</v>
      </c>
      <c r="BO17">
        <v>66.67</v>
      </c>
      <c r="BP17">
        <v>1.96</v>
      </c>
      <c r="BQ17">
        <v>99.21</v>
      </c>
      <c r="BR17">
        <v>12.03</v>
      </c>
      <c r="BS17">
        <v>94.76</v>
      </c>
      <c r="BT17">
        <v>1.0680000000000001</v>
      </c>
    </row>
    <row r="18" spans="1:72" x14ac:dyDescent="0.35">
      <c r="A18">
        <v>16</v>
      </c>
      <c r="B18" t="s">
        <v>53</v>
      </c>
      <c r="C18">
        <v>10</v>
      </c>
      <c r="D18">
        <v>54.4</v>
      </c>
      <c r="E18">
        <v>4</v>
      </c>
      <c r="F18">
        <v>4</v>
      </c>
      <c r="G18">
        <v>2</v>
      </c>
      <c r="H18">
        <v>3</v>
      </c>
      <c r="I18">
        <v>10</v>
      </c>
      <c r="J18">
        <v>0.5</v>
      </c>
      <c r="K18">
        <v>62.38</v>
      </c>
      <c r="L18">
        <v>46.95</v>
      </c>
      <c r="M18">
        <v>57.06</v>
      </c>
      <c r="N18">
        <v>45.61</v>
      </c>
      <c r="O18">
        <v>34.99</v>
      </c>
      <c r="P18">
        <v>56.59</v>
      </c>
      <c r="Q18">
        <v>32.979999999999997</v>
      </c>
      <c r="R18">
        <v>25.71</v>
      </c>
      <c r="S18">
        <v>56.19</v>
      </c>
      <c r="T18">
        <v>2.68</v>
      </c>
      <c r="U18">
        <v>2.57</v>
      </c>
      <c r="V18">
        <v>51.06</v>
      </c>
      <c r="W18">
        <v>2.4</v>
      </c>
      <c r="X18">
        <v>1.98</v>
      </c>
      <c r="Y18">
        <v>54.82</v>
      </c>
      <c r="Z18">
        <v>30.63</v>
      </c>
      <c r="AA18">
        <v>21.58</v>
      </c>
      <c r="AB18">
        <v>58.67</v>
      </c>
      <c r="AC18">
        <v>17.100000000000001</v>
      </c>
      <c r="AD18">
        <v>11.85</v>
      </c>
      <c r="AE18">
        <v>59.07</v>
      </c>
      <c r="AF18">
        <v>2.35</v>
      </c>
      <c r="AG18">
        <v>2.2400000000000002</v>
      </c>
      <c r="AH18">
        <v>51.22</v>
      </c>
      <c r="AI18">
        <v>13.73</v>
      </c>
      <c r="AJ18">
        <v>81.13</v>
      </c>
      <c r="AK18">
        <v>11.63</v>
      </c>
      <c r="AL18">
        <v>9.61</v>
      </c>
      <c r="AM18">
        <v>54.74</v>
      </c>
      <c r="AN18">
        <v>8.0500000000000007</v>
      </c>
      <c r="AO18">
        <v>6.15</v>
      </c>
      <c r="AP18">
        <v>56.69</v>
      </c>
      <c r="AQ18">
        <v>1.57</v>
      </c>
      <c r="AR18">
        <v>1.45</v>
      </c>
      <c r="AS18">
        <v>51.85</v>
      </c>
      <c r="AT18">
        <v>19.440000000000001</v>
      </c>
      <c r="AU18">
        <v>76.36</v>
      </c>
      <c r="AV18">
        <v>19</v>
      </c>
      <c r="AW18">
        <v>11.96</v>
      </c>
      <c r="AX18">
        <v>61.37</v>
      </c>
      <c r="AY18">
        <v>9.06</v>
      </c>
      <c r="AZ18">
        <v>5.7</v>
      </c>
      <c r="BA18">
        <v>61.36</v>
      </c>
      <c r="BB18">
        <v>0.78</v>
      </c>
      <c r="BC18">
        <v>0.78</v>
      </c>
      <c r="BD18">
        <v>50</v>
      </c>
      <c r="BE18">
        <v>8.64</v>
      </c>
      <c r="BF18">
        <v>86.27</v>
      </c>
      <c r="BG18">
        <v>28.06</v>
      </c>
      <c r="BH18">
        <v>20.68</v>
      </c>
      <c r="BI18">
        <v>57.57</v>
      </c>
      <c r="BJ18">
        <v>14.98</v>
      </c>
      <c r="BK18">
        <v>11.96</v>
      </c>
      <c r="BL18">
        <v>55.6</v>
      </c>
      <c r="BM18">
        <v>0.22</v>
      </c>
      <c r="BN18">
        <v>0.34</v>
      </c>
      <c r="BO18">
        <v>40</v>
      </c>
      <c r="BP18">
        <v>1.49</v>
      </c>
      <c r="BQ18">
        <v>97.2</v>
      </c>
      <c r="BR18">
        <v>8.14</v>
      </c>
      <c r="BS18">
        <v>90</v>
      </c>
      <c r="BT18">
        <v>0.98099999999999998</v>
      </c>
    </row>
    <row r="19" spans="1:72" x14ac:dyDescent="0.35">
      <c r="A19">
        <v>17</v>
      </c>
      <c r="B19" t="s">
        <v>54</v>
      </c>
      <c r="C19">
        <v>10</v>
      </c>
      <c r="D19">
        <v>50.54</v>
      </c>
      <c r="E19">
        <v>2</v>
      </c>
      <c r="F19">
        <v>7</v>
      </c>
      <c r="G19">
        <v>1</v>
      </c>
      <c r="H19">
        <v>2</v>
      </c>
      <c r="I19">
        <v>5</v>
      </c>
      <c r="J19">
        <v>0.25</v>
      </c>
      <c r="K19">
        <v>56.51</v>
      </c>
      <c r="L19">
        <v>46.89</v>
      </c>
      <c r="M19">
        <v>54.65</v>
      </c>
      <c r="N19">
        <v>43.77</v>
      </c>
      <c r="O19">
        <v>39.92</v>
      </c>
      <c r="P19">
        <v>52.3</v>
      </c>
      <c r="Q19">
        <v>29.7</v>
      </c>
      <c r="R19">
        <v>29.94</v>
      </c>
      <c r="S19">
        <v>49.8</v>
      </c>
      <c r="T19">
        <v>1.92</v>
      </c>
      <c r="U19">
        <v>3.61</v>
      </c>
      <c r="V19">
        <v>34.78</v>
      </c>
      <c r="W19">
        <v>2.27</v>
      </c>
      <c r="X19">
        <v>2.56</v>
      </c>
      <c r="Y19">
        <v>47.06</v>
      </c>
      <c r="Z19">
        <v>24.77</v>
      </c>
      <c r="AA19">
        <v>22</v>
      </c>
      <c r="AB19">
        <v>52.96</v>
      </c>
      <c r="AC19">
        <v>14.55</v>
      </c>
      <c r="AD19">
        <v>16.47</v>
      </c>
      <c r="AE19">
        <v>46.9</v>
      </c>
      <c r="AF19">
        <v>1.44</v>
      </c>
      <c r="AG19">
        <v>3.01</v>
      </c>
      <c r="AH19">
        <v>32.43</v>
      </c>
      <c r="AI19">
        <v>9.92</v>
      </c>
      <c r="AJ19">
        <v>81.75</v>
      </c>
      <c r="AK19">
        <v>7.82</v>
      </c>
      <c r="AL19">
        <v>9.26</v>
      </c>
      <c r="AM19">
        <v>45.77</v>
      </c>
      <c r="AN19">
        <v>5.65</v>
      </c>
      <c r="AO19">
        <v>8.18</v>
      </c>
      <c r="AP19">
        <v>40.869999999999997</v>
      </c>
      <c r="AQ19">
        <v>0.48</v>
      </c>
      <c r="AR19">
        <v>2.16</v>
      </c>
      <c r="AS19">
        <v>18.18</v>
      </c>
      <c r="AT19">
        <v>8.51</v>
      </c>
      <c r="AU19">
        <v>73.53</v>
      </c>
      <c r="AV19">
        <v>16.95</v>
      </c>
      <c r="AW19">
        <v>12.75</v>
      </c>
      <c r="AX19">
        <v>57.09</v>
      </c>
      <c r="AY19">
        <v>8.9</v>
      </c>
      <c r="AZ19">
        <v>8.3000000000000007</v>
      </c>
      <c r="BA19">
        <v>51.75</v>
      </c>
      <c r="BB19">
        <v>0.96</v>
      </c>
      <c r="BC19">
        <v>0.84</v>
      </c>
      <c r="BD19">
        <v>53.33</v>
      </c>
      <c r="BE19">
        <v>10.81</v>
      </c>
      <c r="BF19">
        <v>89.86</v>
      </c>
      <c r="BG19">
        <v>29.7</v>
      </c>
      <c r="BH19">
        <v>22.6</v>
      </c>
      <c r="BI19">
        <v>56.78</v>
      </c>
      <c r="BJ19">
        <v>14.91</v>
      </c>
      <c r="BK19">
        <v>12.99</v>
      </c>
      <c r="BL19">
        <v>53.45</v>
      </c>
      <c r="BM19">
        <v>0.48</v>
      </c>
      <c r="BN19">
        <v>0.48</v>
      </c>
      <c r="BO19">
        <v>50</v>
      </c>
      <c r="BP19">
        <v>3.23</v>
      </c>
      <c r="BQ19">
        <v>96.3</v>
      </c>
      <c r="BR19">
        <v>6.48</v>
      </c>
      <c r="BS19">
        <v>87.95</v>
      </c>
      <c r="BT19">
        <v>0.94399999999999995</v>
      </c>
    </row>
    <row r="20" spans="1:72" x14ac:dyDescent="0.35">
      <c r="A20">
        <v>18</v>
      </c>
      <c r="B20" t="s">
        <v>55</v>
      </c>
      <c r="C20">
        <v>10</v>
      </c>
      <c r="D20">
        <v>49.56</v>
      </c>
      <c r="E20">
        <v>4</v>
      </c>
      <c r="F20">
        <v>6</v>
      </c>
      <c r="G20">
        <v>0</v>
      </c>
      <c r="H20">
        <v>4</v>
      </c>
      <c r="I20">
        <v>8</v>
      </c>
      <c r="J20">
        <v>0.4</v>
      </c>
      <c r="K20">
        <v>61.56</v>
      </c>
      <c r="L20">
        <v>52.49</v>
      </c>
      <c r="M20">
        <v>53.98</v>
      </c>
      <c r="N20">
        <v>47.95</v>
      </c>
      <c r="O20">
        <v>40.1</v>
      </c>
      <c r="P20">
        <v>54.46</v>
      </c>
      <c r="Q20">
        <v>32.25</v>
      </c>
      <c r="R20">
        <v>30.41</v>
      </c>
      <c r="S20">
        <v>51.47</v>
      </c>
      <c r="T20">
        <v>1.84</v>
      </c>
      <c r="U20">
        <v>2.94</v>
      </c>
      <c r="V20">
        <v>38.46</v>
      </c>
      <c r="W20">
        <v>2.2599999999999998</v>
      </c>
      <c r="X20">
        <v>2.13</v>
      </c>
      <c r="Y20">
        <v>51.54</v>
      </c>
      <c r="Z20">
        <v>25.63</v>
      </c>
      <c r="AA20">
        <v>22.07</v>
      </c>
      <c r="AB20">
        <v>53.73</v>
      </c>
      <c r="AC20">
        <v>15.21</v>
      </c>
      <c r="AD20">
        <v>14.72</v>
      </c>
      <c r="AE20">
        <v>50.82</v>
      </c>
      <c r="AF20">
        <v>1.23</v>
      </c>
      <c r="AG20">
        <v>2.33</v>
      </c>
      <c r="AH20">
        <v>34.479999999999997</v>
      </c>
      <c r="AI20">
        <v>8.06</v>
      </c>
      <c r="AJ20">
        <v>84.17</v>
      </c>
      <c r="AK20">
        <v>9.44</v>
      </c>
      <c r="AL20">
        <v>8.09</v>
      </c>
      <c r="AM20">
        <v>53.85</v>
      </c>
      <c r="AN20">
        <v>7.11</v>
      </c>
      <c r="AO20">
        <v>7.48</v>
      </c>
      <c r="AP20">
        <v>48.74</v>
      </c>
      <c r="AQ20">
        <v>0.86</v>
      </c>
      <c r="AR20">
        <v>1.72</v>
      </c>
      <c r="AS20">
        <v>33.33</v>
      </c>
      <c r="AT20">
        <v>12.07</v>
      </c>
      <c r="AU20">
        <v>77.05</v>
      </c>
      <c r="AV20">
        <v>16.190000000000001</v>
      </c>
      <c r="AW20">
        <v>13.98</v>
      </c>
      <c r="AX20">
        <v>53.66</v>
      </c>
      <c r="AY20">
        <v>8.09</v>
      </c>
      <c r="AZ20">
        <v>7.24</v>
      </c>
      <c r="BA20">
        <v>52.8</v>
      </c>
      <c r="BB20">
        <v>0.37</v>
      </c>
      <c r="BC20">
        <v>0.61</v>
      </c>
      <c r="BD20">
        <v>37.5</v>
      </c>
      <c r="BE20">
        <v>4.55</v>
      </c>
      <c r="BF20">
        <v>91.53</v>
      </c>
      <c r="BG20">
        <v>31.88</v>
      </c>
      <c r="BH20">
        <v>26.86</v>
      </c>
      <c r="BI20">
        <v>54.28</v>
      </c>
      <c r="BJ20">
        <v>16.059999999999999</v>
      </c>
      <c r="BK20">
        <v>13.98</v>
      </c>
      <c r="BL20">
        <v>53.47</v>
      </c>
      <c r="BM20">
        <v>0.61</v>
      </c>
      <c r="BN20">
        <v>0.61</v>
      </c>
      <c r="BO20">
        <v>50</v>
      </c>
      <c r="BP20">
        <v>3.82</v>
      </c>
      <c r="BQ20">
        <v>95.61</v>
      </c>
      <c r="BR20">
        <v>5.7</v>
      </c>
      <c r="BS20">
        <v>90.32</v>
      </c>
      <c r="BT20">
        <v>0.96</v>
      </c>
    </row>
    <row r="21" spans="1:72" x14ac:dyDescent="0.35">
      <c r="A21">
        <v>19</v>
      </c>
      <c r="B21" t="s">
        <v>56</v>
      </c>
      <c r="C21">
        <v>10</v>
      </c>
      <c r="D21">
        <v>53.47</v>
      </c>
      <c r="E21">
        <v>8</v>
      </c>
      <c r="F21">
        <v>1</v>
      </c>
      <c r="G21">
        <v>1</v>
      </c>
      <c r="H21">
        <v>7</v>
      </c>
      <c r="I21">
        <v>17</v>
      </c>
      <c r="J21">
        <v>0.85</v>
      </c>
      <c r="K21">
        <v>52.18</v>
      </c>
      <c r="L21">
        <v>49.91</v>
      </c>
      <c r="M21">
        <v>51.11</v>
      </c>
      <c r="N21">
        <v>39.450000000000003</v>
      </c>
      <c r="O21">
        <v>37.520000000000003</v>
      </c>
      <c r="P21">
        <v>51.26</v>
      </c>
      <c r="Q21">
        <v>30.01</v>
      </c>
      <c r="R21">
        <v>26.03</v>
      </c>
      <c r="S21">
        <v>53.55</v>
      </c>
      <c r="T21">
        <v>4.09</v>
      </c>
      <c r="U21">
        <v>2.16</v>
      </c>
      <c r="V21">
        <v>65.45</v>
      </c>
      <c r="W21">
        <v>2.75</v>
      </c>
      <c r="X21">
        <v>2.13</v>
      </c>
      <c r="Y21">
        <v>56.36</v>
      </c>
      <c r="Z21">
        <v>29.78</v>
      </c>
      <c r="AA21">
        <v>24.56</v>
      </c>
      <c r="AB21">
        <v>54.81</v>
      </c>
      <c r="AC21">
        <v>19.55</v>
      </c>
      <c r="AD21">
        <v>14.78</v>
      </c>
      <c r="AE21">
        <v>56.95</v>
      </c>
      <c r="AF21">
        <v>3.64</v>
      </c>
      <c r="AG21">
        <v>1.71</v>
      </c>
      <c r="AH21">
        <v>68.09</v>
      </c>
      <c r="AI21">
        <v>18.600000000000001</v>
      </c>
      <c r="AJ21">
        <v>88.46</v>
      </c>
      <c r="AK21">
        <v>14.67</v>
      </c>
      <c r="AL21">
        <v>9.44</v>
      </c>
      <c r="AM21">
        <v>60.85</v>
      </c>
      <c r="AN21">
        <v>11.48</v>
      </c>
      <c r="AO21">
        <v>6.82</v>
      </c>
      <c r="AP21">
        <v>62.73</v>
      </c>
      <c r="AQ21">
        <v>3.18</v>
      </c>
      <c r="AR21">
        <v>1.36</v>
      </c>
      <c r="AS21">
        <v>70</v>
      </c>
      <c r="AT21">
        <v>27.72</v>
      </c>
      <c r="AU21">
        <v>80</v>
      </c>
      <c r="AV21">
        <v>15.12</v>
      </c>
      <c r="AW21">
        <v>15.12</v>
      </c>
      <c r="AX21">
        <v>50</v>
      </c>
      <c r="AY21">
        <v>8.07</v>
      </c>
      <c r="AZ21">
        <v>7.96</v>
      </c>
      <c r="BA21">
        <v>50.35</v>
      </c>
      <c r="BB21">
        <v>0.45</v>
      </c>
      <c r="BC21">
        <v>0.34</v>
      </c>
      <c r="BD21">
        <v>57.14</v>
      </c>
      <c r="BE21">
        <v>5.63</v>
      </c>
      <c r="BF21">
        <v>95.71</v>
      </c>
      <c r="BG21">
        <v>18.420000000000002</v>
      </c>
      <c r="BH21">
        <v>22.05</v>
      </c>
      <c r="BI21">
        <v>45.51</v>
      </c>
      <c r="BJ21">
        <v>9.09</v>
      </c>
      <c r="BK21">
        <v>10.119999999999999</v>
      </c>
      <c r="BL21">
        <v>47.34</v>
      </c>
      <c r="BM21">
        <v>0.34</v>
      </c>
      <c r="BN21">
        <v>0.45</v>
      </c>
      <c r="BO21">
        <v>42.86</v>
      </c>
      <c r="BP21">
        <v>3.75</v>
      </c>
      <c r="BQ21">
        <v>95.51</v>
      </c>
      <c r="BR21">
        <v>13.64</v>
      </c>
      <c r="BS21">
        <v>91.7</v>
      </c>
      <c r="BT21">
        <v>1.0529999999999999</v>
      </c>
    </row>
    <row r="22" spans="1:72" x14ac:dyDescent="0.35">
      <c r="A22">
        <v>20</v>
      </c>
      <c r="B22" t="s">
        <v>57</v>
      </c>
      <c r="C22">
        <v>10</v>
      </c>
      <c r="D22">
        <v>52.44</v>
      </c>
      <c r="E22">
        <v>4</v>
      </c>
      <c r="F22">
        <v>4</v>
      </c>
      <c r="G22">
        <v>2</v>
      </c>
      <c r="H22">
        <v>4</v>
      </c>
      <c r="I22">
        <v>10</v>
      </c>
      <c r="J22">
        <v>0.5</v>
      </c>
      <c r="K22">
        <v>52.18</v>
      </c>
      <c r="L22">
        <v>57.29</v>
      </c>
      <c r="M22">
        <v>47.67</v>
      </c>
      <c r="N22">
        <v>38.619999999999997</v>
      </c>
      <c r="O22">
        <v>42.91</v>
      </c>
      <c r="P22">
        <v>47.37</v>
      </c>
      <c r="Q22">
        <v>28.41</v>
      </c>
      <c r="R22">
        <v>29.57</v>
      </c>
      <c r="S22">
        <v>49</v>
      </c>
      <c r="T22">
        <v>3.13</v>
      </c>
      <c r="U22">
        <v>2.5499999999999998</v>
      </c>
      <c r="V22">
        <v>55.1</v>
      </c>
      <c r="W22">
        <v>2.36</v>
      </c>
      <c r="X22">
        <v>2.1800000000000002</v>
      </c>
      <c r="Y22">
        <v>51.97</v>
      </c>
      <c r="Z22">
        <v>26.32</v>
      </c>
      <c r="AA22">
        <v>25.63</v>
      </c>
      <c r="AB22">
        <v>50.67</v>
      </c>
      <c r="AC22">
        <v>15.54</v>
      </c>
      <c r="AD22">
        <v>14.26</v>
      </c>
      <c r="AE22">
        <v>52.14</v>
      </c>
      <c r="AF22">
        <v>2.5499999999999998</v>
      </c>
      <c r="AG22">
        <v>1.97</v>
      </c>
      <c r="AH22">
        <v>56.41</v>
      </c>
      <c r="AI22">
        <v>16.420000000000002</v>
      </c>
      <c r="AJ22">
        <v>86.18</v>
      </c>
      <c r="AK22">
        <v>10.78</v>
      </c>
      <c r="AL22">
        <v>11.02</v>
      </c>
      <c r="AM22">
        <v>49.47</v>
      </c>
      <c r="AN22">
        <v>8.1199999999999992</v>
      </c>
      <c r="AO22">
        <v>7.65</v>
      </c>
      <c r="AP22">
        <v>51.47</v>
      </c>
      <c r="AQ22">
        <v>1.51</v>
      </c>
      <c r="AR22">
        <v>1.51</v>
      </c>
      <c r="AS22">
        <v>50</v>
      </c>
      <c r="AT22">
        <v>18.57</v>
      </c>
      <c r="AU22">
        <v>80.3</v>
      </c>
      <c r="AV22">
        <v>15.54</v>
      </c>
      <c r="AW22">
        <v>14.61</v>
      </c>
      <c r="AX22">
        <v>51.54</v>
      </c>
      <c r="AY22">
        <v>7.42</v>
      </c>
      <c r="AZ22">
        <v>6.61</v>
      </c>
      <c r="BA22">
        <v>52.89</v>
      </c>
      <c r="BB22">
        <v>1.04</v>
      </c>
      <c r="BC22">
        <v>0.46</v>
      </c>
      <c r="BD22">
        <v>69.23</v>
      </c>
      <c r="BE22">
        <v>14.06</v>
      </c>
      <c r="BF22">
        <v>92.98</v>
      </c>
      <c r="BG22">
        <v>21.34</v>
      </c>
      <c r="BH22">
        <v>27.14</v>
      </c>
      <c r="BI22">
        <v>44.02</v>
      </c>
      <c r="BJ22">
        <v>11.25</v>
      </c>
      <c r="BK22">
        <v>13.34</v>
      </c>
      <c r="BL22">
        <v>45.75</v>
      </c>
      <c r="BM22">
        <v>0.57999999999999996</v>
      </c>
      <c r="BN22">
        <v>0.46</v>
      </c>
      <c r="BO22">
        <v>55.56</v>
      </c>
      <c r="BP22">
        <v>5.15</v>
      </c>
      <c r="BQ22">
        <v>96.52</v>
      </c>
      <c r="BR22">
        <v>11.02</v>
      </c>
      <c r="BS22">
        <v>91.37</v>
      </c>
      <c r="BT22">
        <v>1.024</v>
      </c>
    </row>
    <row r="23" spans="1:72" x14ac:dyDescent="0.35">
      <c r="A23">
        <v>21</v>
      </c>
      <c r="B23" t="s">
        <v>58</v>
      </c>
      <c r="C23">
        <v>10</v>
      </c>
      <c r="D23">
        <v>52.14</v>
      </c>
      <c r="E23">
        <v>7</v>
      </c>
      <c r="F23">
        <v>1</v>
      </c>
      <c r="G23">
        <v>2</v>
      </c>
      <c r="H23">
        <v>6</v>
      </c>
      <c r="I23">
        <v>16</v>
      </c>
      <c r="J23">
        <v>0.8</v>
      </c>
      <c r="K23">
        <v>60.53</v>
      </c>
      <c r="L23">
        <v>63.98</v>
      </c>
      <c r="M23">
        <v>48.62</v>
      </c>
      <c r="N23">
        <v>47.21</v>
      </c>
      <c r="O23">
        <v>46.87</v>
      </c>
      <c r="P23">
        <v>50.18</v>
      </c>
      <c r="Q23">
        <v>32.39</v>
      </c>
      <c r="R23">
        <v>33.770000000000003</v>
      </c>
      <c r="S23">
        <v>48.96</v>
      </c>
      <c r="T23">
        <v>3.22</v>
      </c>
      <c r="U23">
        <v>2.41</v>
      </c>
      <c r="V23">
        <v>57.14</v>
      </c>
      <c r="W23">
        <v>2.42</v>
      </c>
      <c r="X23">
        <v>2.14</v>
      </c>
      <c r="Y23">
        <v>53.02</v>
      </c>
      <c r="Z23">
        <v>26.76</v>
      </c>
      <c r="AA23">
        <v>24.81</v>
      </c>
      <c r="AB23">
        <v>51.89</v>
      </c>
      <c r="AC23">
        <v>15.16</v>
      </c>
      <c r="AD23">
        <v>14.13</v>
      </c>
      <c r="AE23">
        <v>51.76</v>
      </c>
      <c r="AF23">
        <v>2.76</v>
      </c>
      <c r="AG23">
        <v>1.95</v>
      </c>
      <c r="AH23">
        <v>58.54</v>
      </c>
      <c r="AI23">
        <v>18.18</v>
      </c>
      <c r="AJ23">
        <v>86.18</v>
      </c>
      <c r="AK23">
        <v>10.91</v>
      </c>
      <c r="AL23">
        <v>8.16</v>
      </c>
      <c r="AM23">
        <v>57.23</v>
      </c>
      <c r="AN23">
        <v>7.7</v>
      </c>
      <c r="AO23">
        <v>6.2</v>
      </c>
      <c r="AP23">
        <v>55.37</v>
      </c>
      <c r="AQ23">
        <v>1.95</v>
      </c>
      <c r="AR23">
        <v>1.03</v>
      </c>
      <c r="AS23">
        <v>65.38</v>
      </c>
      <c r="AT23">
        <v>25.37</v>
      </c>
      <c r="AU23">
        <v>83.33</v>
      </c>
      <c r="AV23">
        <v>15.85</v>
      </c>
      <c r="AW23">
        <v>16.66</v>
      </c>
      <c r="AX23">
        <v>48.76</v>
      </c>
      <c r="AY23">
        <v>7.47</v>
      </c>
      <c r="AZ23">
        <v>7.93</v>
      </c>
      <c r="BA23">
        <v>48.51</v>
      </c>
      <c r="BB23">
        <v>0.8</v>
      </c>
      <c r="BC23">
        <v>0.92</v>
      </c>
      <c r="BD23">
        <v>46.67</v>
      </c>
      <c r="BE23">
        <v>10.77</v>
      </c>
      <c r="BF23">
        <v>88.41</v>
      </c>
      <c r="BG23">
        <v>29.18</v>
      </c>
      <c r="BH23">
        <v>34.46</v>
      </c>
      <c r="BI23">
        <v>45.85</v>
      </c>
      <c r="BJ23">
        <v>15.28</v>
      </c>
      <c r="BK23">
        <v>18.84</v>
      </c>
      <c r="BL23">
        <v>44.78</v>
      </c>
      <c r="BM23">
        <v>0.11</v>
      </c>
      <c r="BN23">
        <v>0.46</v>
      </c>
      <c r="BO23">
        <v>20</v>
      </c>
      <c r="BP23">
        <v>0.75</v>
      </c>
      <c r="BQ23">
        <v>97.56</v>
      </c>
      <c r="BR23">
        <v>9.93</v>
      </c>
      <c r="BS23">
        <v>92.86</v>
      </c>
      <c r="BT23">
        <v>1.028</v>
      </c>
    </row>
    <row r="24" spans="1:72" x14ac:dyDescent="0.35">
      <c r="A24">
        <v>22</v>
      </c>
      <c r="B24" t="s">
        <v>59</v>
      </c>
      <c r="C24">
        <v>10</v>
      </c>
      <c r="D24">
        <v>50.27</v>
      </c>
      <c r="E24">
        <v>2</v>
      </c>
      <c r="F24">
        <v>5</v>
      </c>
      <c r="G24">
        <v>3</v>
      </c>
      <c r="H24">
        <v>1</v>
      </c>
      <c r="I24">
        <v>7</v>
      </c>
      <c r="J24">
        <v>0.35</v>
      </c>
      <c r="K24">
        <v>58.15</v>
      </c>
      <c r="L24">
        <v>47.56</v>
      </c>
      <c r="M24">
        <v>55.01</v>
      </c>
      <c r="N24">
        <v>41.86</v>
      </c>
      <c r="O24">
        <v>34.6</v>
      </c>
      <c r="P24">
        <v>54.74</v>
      </c>
      <c r="Q24">
        <v>30.56</v>
      </c>
      <c r="R24">
        <v>24.5</v>
      </c>
      <c r="S24">
        <v>55.51</v>
      </c>
      <c r="T24">
        <v>2.2599999999999998</v>
      </c>
      <c r="U24">
        <v>3.09</v>
      </c>
      <c r="V24">
        <v>42.22</v>
      </c>
      <c r="W24">
        <v>2.17</v>
      </c>
      <c r="X24">
        <v>2.14</v>
      </c>
      <c r="Y24">
        <v>50.35</v>
      </c>
      <c r="Z24">
        <v>25.8</v>
      </c>
      <c r="AA24">
        <v>20.93</v>
      </c>
      <c r="AB24">
        <v>55.22</v>
      </c>
      <c r="AC24">
        <v>14.51</v>
      </c>
      <c r="AD24">
        <v>12.96</v>
      </c>
      <c r="AE24">
        <v>52.81</v>
      </c>
      <c r="AF24">
        <v>1.9</v>
      </c>
      <c r="AG24">
        <v>2.5</v>
      </c>
      <c r="AH24">
        <v>43.24</v>
      </c>
      <c r="AI24">
        <v>13.11</v>
      </c>
      <c r="AJ24">
        <v>80.73</v>
      </c>
      <c r="AK24">
        <v>8.8000000000000007</v>
      </c>
      <c r="AL24">
        <v>8.68</v>
      </c>
      <c r="AM24">
        <v>50.34</v>
      </c>
      <c r="AN24">
        <v>6.66</v>
      </c>
      <c r="AO24">
        <v>7.13</v>
      </c>
      <c r="AP24">
        <v>48.28</v>
      </c>
      <c r="AQ24">
        <v>0.95</v>
      </c>
      <c r="AR24">
        <v>1.66</v>
      </c>
      <c r="AS24">
        <v>36.36</v>
      </c>
      <c r="AT24">
        <v>14.29</v>
      </c>
      <c r="AU24">
        <v>76.67</v>
      </c>
      <c r="AV24">
        <v>17</v>
      </c>
      <c r="AW24">
        <v>12.25</v>
      </c>
      <c r="AX24">
        <v>58.13</v>
      </c>
      <c r="AY24">
        <v>7.85</v>
      </c>
      <c r="AZ24">
        <v>5.83</v>
      </c>
      <c r="BA24">
        <v>57.39</v>
      </c>
      <c r="BB24">
        <v>0.95</v>
      </c>
      <c r="BC24">
        <v>0.83</v>
      </c>
      <c r="BD24">
        <v>53.33</v>
      </c>
      <c r="BE24">
        <v>12.12</v>
      </c>
      <c r="BF24">
        <v>85.71</v>
      </c>
      <c r="BG24">
        <v>26.99</v>
      </c>
      <c r="BH24">
        <v>23.07</v>
      </c>
      <c r="BI24">
        <v>53.92</v>
      </c>
      <c r="BJ24">
        <v>14.03</v>
      </c>
      <c r="BK24">
        <v>10.7</v>
      </c>
      <c r="BL24">
        <v>56.73</v>
      </c>
      <c r="BM24">
        <v>0.36</v>
      </c>
      <c r="BN24">
        <v>0.48</v>
      </c>
      <c r="BO24">
        <v>42.86</v>
      </c>
      <c r="BP24">
        <v>2.54</v>
      </c>
      <c r="BQ24">
        <v>95.56</v>
      </c>
      <c r="BR24">
        <v>7.39</v>
      </c>
      <c r="BS24">
        <v>87.38</v>
      </c>
      <c r="BT24">
        <v>0.94799999999999995</v>
      </c>
    </row>
    <row r="25" spans="1:72" x14ac:dyDescent="0.35">
      <c r="A25">
        <v>23</v>
      </c>
      <c r="B25" t="s">
        <v>60</v>
      </c>
      <c r="C25">
        <v>10</v>
      </c>
      <c r="D25">
        <v>50.24</v>
      </c>
      <c r="E25">
        <v>7</v>
      </c>
      <c r="F25">
        <v>2</v>
      </c>
      <c r="G25">
        <v>1</v>
      </c>
      <c r="H25">
        <v>7</v>
      </c>
      <c r="I25">
        <v>15</v>
      </c>
      <c r="J25">
        <v>0.75</v>
      </c>
      <c r="K25">
        <v>46.78</v>
      </c>
      <c r="L25">
        <v>54.52</v>
      </c>
      <c r="M25">
        <v>46.18</v>
      </c>
      <c r="N25">
        <v>34.520000000000003</v>
      </c>
      <c r="O25">
        <v>40.950000000000003</v>
      </c>
      <c r="P25">
        <v>45.74</v>
      </c>
      <c r="Q25">
        <v>27.86</v>
      </c>
      <c r="R25">
        <v>32.619999999999997</v>
      </c>
      <c r="S25">
        <v>46.06</v>
      </c>
      <c r="T25">
        <v>3.33</v>
      </c>
      <c r="U25">
        <v>1.79</v>
      </c>
      <c r="V25">
        <v>65.12</v>
      </c>
      <c r="W25">
        <v>2.11</v>
      </c>
      <c r="X25">
        <v>2.11</v>
      </c>
      <c r="Y25">
        <v>49.97</v>
      </c>
      <c r="Z25">
        <v>23.33</v>
      </c>
      <c r="AA25">
        <v>22.97</v>
      </c>
      <c r="AB25">
        <v>50.39</v>
      </c>
      <c r="AC25">
        <v>15</v>
      </c>
      <c r="AD25">
        <v>15.83</v>
      </c>
      <c r="AE25">
        <v>48.65</v>
      </c>
      <c r="AF25">
        <v>2.14</v>
      </c>
      <c r="AG25">
        <v>1.07</v>
      </c>
      <c r="AH25">
        <v>66.67</v>
      </c>
      <c r="AI25">
        <v>14.29</v>
      </c>
      <c r="AJ25">
        <v>93.23</v>
      </c>
      <c r="AK25">
        <v>10</v>
      </c>
      <c r="AL25">
        <v>9.2899999999999991</v>
      </c>
      <c r="AM25">
        <v>51.85</v>
      </c>
      <c r="AN25">
        <v>8.81</v>
      </c>
      <c r="AO25">
        <v>8.4499999999999993</v>
      </c>
      <c r="AP25">
        <v>51.03</v>
      </c>
      <c r="AQ25">
        <v>1.9</v>
      </c>
      <c r="AR25">
        <v>0.95</v>
      </c>
      <c r="AS25">
        <v>66.67</v>
      </c>
      <c r="AT25">
        <v>21.62</v>
      </c>
      <c r="AU25">
        <v>88.73</v>
      </c>
      <c r="AV25">
        <v>13.33</v>
      </c>
      <c r="AW25">
        <v>13.69</v>
      </c>
      <c r="AX25">
        <v>49.34</v>
      </c>
      <c r="AY25">
        <v>6.19</v>
      </c>
      <c r="AZ25">
        <v>7.38</v>
      </c>
      <c r="BA25">
        <v>45.61</v>
      </c>
      <c r="BB25">
        <v>0.24</v>
      </c>
      <c r="BC25">
        <v>0.12</v>
      </c>
      <c r="BD25">
        <v>66.67</v>
      </c>
      <c r="BE25">
        <v>3.85</v>
      </c>
      <c r="BF25">
        <v>98.39</v>
      </c>
      <c r="BG25">
        <v>20.83</v>
      </c>
      <c r="BH25">
        <v>27.38</v>
      </c>
      <c r="BI25">
        <v>43.21</v>
      </c>
      <c r="BJ25">
        <v>11.55</v>
      </c>
      <c r="BK25">
        <v>14.88</v>
      </c>
      <c r="BL25">
        <v>43.69</v>
      </c>
      <c r="BM25">
        <v>0.95</v>
      </c>
      <c r="BN25">
        <v>0.71</v>
      </c>
      <c r="BO25">
        <v>57.14</v>
      </c>
      <c r="BP25">
        <v>8.25</v>
      </c>
      <c r="BQ25">
        <v>95.2</v>
      </c>
      <c r="BR25">
        <v>11.97</v>
      </c>
      <c r="BS25">
        <v>94.53</v>
      </c>
      <c r="BT25">
        <v>1.0649999999999999</v>
      </c>
    </row>
    <row r="26" spans="1:72" x14ac:dyDescent="0.35">
      <c r="A26">
        <v>24</v>
      </c>
      <c r="B26" t="s">
        <v>61</v>
      </c>
      <c r="C26">
        <v>10</v>
      </c>
      <c r="D26">
        <v>50.2</v>
      </c>
      <c r="E26">
        <v>4</v>
      </c>
      <c r="F26">
        <v>4</v>
      </c>
      <c r="G26">
        <v>2</v>
      </c>
      <c r="H26">
        <v>4</v>
      </c>
      <c r="I26">
        <v>10</v>
      </c>
      <c r="J26">
        <v>0.5</v>
      </c>
      <c r="K26">
        <v>53.16</v>
      </c>
      <c r="L26">
        <v>59.72</v>
      </c>
      <c r="M26">
        <v>47.1</v>
      </c>
      <c r="N26">
        <v>39.81</v>
      </c>
      <c r="O26">
        <v>43.51</v>
      </c>
      <c r="P26">
        <v>47.78</v>
      </c>
      <c r="Q26">
        <v>27.41</v>
      </c>
      <c r="R26">
        <v>31.71</v>
      </c>
      <c r="S26">
        <v>46.37</v>
      </c>
      <c r="T26">
        <v>2.62</v>
      </c>
      <c r="U26">
        <v>3.22</v>
      </c>
      <c r="V26">
        <v>44.9</v>
      </c>
      <c r="W26">
        <v>2.44</v>
      </c>
      <c r="X26">
        <v>2.34</v>
      </c>
      <c r="Y26">
        <v>51.06</v>
      </c>
      <c r="Z26">
        <v>29.08</v>
      </c>
      <c r="AA26">
        <v>28.61</v>
      </c>
      <c r="AB26">
        <v>50.41</v>
      </c>
      <c r="AC26">
        <v>16.329999999999998</v>
      </c>
      <c r="AD26">
        <v>16.690000000000001</v>
      </c>
      <c r="AE26">
        <v>49.46</v>
      </c>
      <c r="AF26">
        <v>2.2599999999999998</v>
      </c>
      <c r="AG26">
        <v>2.2599999999999998</v>
      </c>
      <c r="AH26">
        <v>50</v>
      </c>
      <c r="AI26">
        <v>13.87</v>
      </c>
      <c r="AJ26">
        <v>86.43</v>
      </c>
      <c r="AK26">
        <v>12.16</v>
      </c>
      <c r="AL26">
        <v>10.85</v>
      </c>
      <c r="AM26">
        <v>52.85</v>
      </c>
      <c r="AN26">
        <v>8.2200000000000006</v>
      </c>
      <c r="AO26">
        <v>7.39</v>
      </c>
      <c r="AP26">
        <v>52.67</v>
      </c>
      <c r="AQ26">
        <v>1.19</v>
      </c>
      <c r="AR26">
        <v>1.43</v>
      </c>
      <c r="AS26">
        <v>45.45</v>
      </c>
      <c r="AT26">
        <v>14.49</v>
      </c>
      <c r="AU26">
        <v>80.650000000000006</v>
      </c>
      <c r="AV26">
        <v>16.93</v>
      </c>
      <c r="AW26">
        <v>17.760000000000002</v>
      </c>
      <c r="AX26">
        <v>48.8</v>
      </c>
      <c r="AY26">
        <v>8.11</v>
      </c>
      <c r="AZ26">
        <v>9.3000000000000007</v>
      </c>
      <c r="BA26">
        <v>46.58</v>
      </c>
      <c r="BB26">
        <v>1.07</v>
      </c>
      <c r="BC26">
        <v>0.83</v>
      </c>
      <c r="BD26">
        <v>56.25</v>
      </c>
      <c r="BE26">
        <v>13.24</v>
      </c>
      <c r="BF26">
        <v>91.03</v>
      </c>
      <c r="BG26">
        <v>20.98</v>
      </c>
      <c r="BH26">
        <v>27.53</v>
      </c>
      <c r="BI26">
        <v>43.24</v>
      </c>
      <c r="BJ26">
        <v>10.130000000000001</v>
      </c>
      <c r="BK26">
        <v>13.71</v>
      </c>
      <c r="BL26">
        <v>42.5</v>
      </c>
      <c r="BM26">
        <v>0.36</v>
      </c>
      <c r="BN26">
        <v>0.83</v>
      </c>
      <c r="BO26">
        <v>30</v>
      </c>
      <c r="BP26">
        <v>3.53</v>
      </c>
      <c r="BQ26">
        <v>93.91</v>
      </c>
      <c r="BR26">
        <v>9.57</v>
      </c>
      <c r="BS26">
        <v>89.85</v>
      </c>
      <c r="BT26">
        <v>0.99399999999999999</v>
      </c>
    </row>
    <row r="27" spans="1:72" x14ac:dyDescent="0.35">
      <c r="A27">
        <v>25</v>
      </c>
      <c r="B27" t="s">
        <v>62</v>
      </c>
      <c r="C27">
        <v>10</v>
      </c>
      <c r="D27">
        <v>52.32</v>
      </c>
      <c r="E27">
        <v>2</v>
      </c>
      <c r="F27">
        <v>6</v>
      </c>
      <c r="G27">
        <v>2</v>
      </c>
      <c r="H27">
        <v>2</v>
      </c>
      <c r="I27">
        <v>6</v>
      </c>
      <c r="J27">
        <v>0.3</v>
      </c>
      <c r="K27">
        <v>52.74</v>
      </c>
      <c r="L27">
        <v>53.9</v>
      </c>
      <c r="M27">
        <v>49.45</v>
      </c>
      <c r="N27">
        <v>38.880000000000003</v>
      </c>
      <c r="O27">
        <v>40.4</v>
      </c>
      <c r="P27">
        <v>49.05</v>
      </c>
      <c r="Q27">
        <v>31.43</v>
      </c>
      <c r="R27">
        <v>28.75</v>
      </c>
      <c r="S27">
        <v>52.22</v>
      </c>
      <c r="T27">
        <v>2.21</v>
      </c>
      <c r="U27">
        <v>3.26</v>
      </c>
      <c r="V27">
        <v>40.43</v>
      </c>
      <c r="W27">
        <v>2.0499999999999998</v>
      </c>
      <c r="X27">
        <v>2.75</v>
      </c>
      <c r="Y27">
        <v>42.69</v>
      </c>
      <c r="Z27">
        <v>24.21</v>
      </c>
      <c r="AA27">
        <v>25.61</v>
      </c>
      <c r="AB27">
        <v>48.6</v>
      </c>
      <c r="AC27">
        <v>15.6</v>
      </c>
      <c r="AD27">
        <v>16.53</v>
      </c>
      <c r="AE27">
        <v>48.55</v>
      </c>
      <c r="AF27">
        <v>1.86</v>
      </c>
      <c r="AG27">
        <v>3.14</v>
      </c>
      <c r="AH27">
        <v>37.21</v>
      </c>
      <c r="AI27">
        <v>11.94</v>
      </c>
      <c r="AJ27">
        <v>80.989999999999995</v>
      </c>
      <c r="AK27">
        <v>7.57</v>
      </c>
      <c r="AL27">
        <v>10.71</v>
      </c>
      <c r="AM27">
        <v>41.4</v>
      </c>
      <c r="AN27">
        <v>5.82</v>
      </c>
      <c r="AO27">
        <v>8.15</v>
      </c>
      <c r="AP27">
        <v>41.67</v>
      </c>
      <c r="AQ27">
        <v>1.1599999999999999</v>
      </c>
      <c r="AR27">
        <v>2.1</v>
      </c>
      <c r="AS27">
        <v>35.71</v>
      </c>
      <c r="AT27">
        <v>20</v>
      </c>
      <c r="AU27">
        <v>74.290000000000006</v>
      </c>
      <c r="AV27">
        <v>16.649999999999999</v>
      </c>
      <c r="AW27">
        <v>14.9</v>
      </c>
      <c r="AX27">
        <v>52.77</v>
      </c>
      <c r="AY27">
        <v>9.7799999999999994</v>
      </c>
      <c r="AZ27">
        <v>8.3800000000000008</v>
      </c>
      <c r="BA27">
        <v>53.85</v>
      </c>
      <c r="BB27">
        <v>0.7</v>
      </c>
      <c r="BC27">
        <v>1.05</v>
      </c>
      <c r="BD27">
        <v>40</v>
      </c>
      <c r="BE27">
        <v>7.14</v>
      </c>
      <c r="BF27">
        <v>87.5</v>
      </c>
      <c r="BG27">
        <v>23.05</v>
      </c>
      <c r="BH27">
        <v>23.86</v>
      </c>
      <c r="BI27">
        <v>49.13</v>
      </c>
      <c r="BJ27">
        <v>13.27</v>
      </c>
      <c r="BK27">
        <v>11.06</v>
      </c>
      <c r="BL27">
        <v>54.55</v>
      </c>
      <c r="BM27">
        <v>0.35</v>
      </c>
      <c r="BN27">
        <v>0</v>
      </c>
      <c r="BO27">
        <v>100</v>
      </c>
      <c r="BP27">
        <v>2.63</v>
      </c>
      <c r="BQ27">
        <v>100</v>
      </c>
      <c r="BR27">
        <v>7.04</v>
      </c>
      <c r="BS27">
        <v>88.66</v>
      </c>
      <c r="BT27">
        <v>0.95699999999999996</v>
      </c>
    </row>
    <row r="28" spans="1:72" x14ac:dyDescent="0.35">
      <c r="A28">
        <v>26</v>
      </c>
      <c r="B28" t="s">
        <v>63</v>
      </c>
      <c r="C28">
        <v>10</v>
      </c>
      <c r="D28">
        <v>48.28</v>
      </c>
      <c r="E28">
        <v>8</v>
      </c>
      <c r="F28">
        <v>2</v>
      </c>
      <c r="G28">
        <v>0</v>
      </c>
      <c r="H28">
        <v>8</v>
      </c>
      <c r="I28">
        <v>16</v>
      </c>
      <c r="J28">
        <v>0.8</v>
      </c>
      <c r="K28">
        <v>46.05</v>
      </c>
      <c r="L28">
        <v>43.45</v>
      </c>
      <c r="M28">
        <v>51.45</v>
      </c>
      <c r="N28">
        <v>36.89</v>
      </c>
      <c r="O28">
        <v>33.67</v>
      </c>
      <c r="P28">
        <v>52.28</v>
      </c>
      <c r="Q28">
        <v>28.59</v>
      </c>
      <c r="R28">
        <v>26.24</v>
      </c>
      <c r="S28">
        <v>52.14</v>
      </c>
      <c r="T28">
        <v>3.71</v>
      </c>
      <c r="U28">
        <v>1.61</v>
      </c>
      <c r="V28">
        <v>69.77</v>
      </c>
      <c r="W28">
        <v>2.38</v>
      </c>
      <c r="X28">
        <v>1.81</v>
      </c>
      <c r="Y28">
        <v>56.78</v>
      </c>
      <c r="Z28">
        <v>27.36</v>
      </c>
      <c r="AA28">
        <v>26.49</v>
      </c>
      <c r="AB28">
        <v>50.8</v>
      </c>
      <c r="AC28">
        <v>18.2</v>
      </c>
      <c r="AD28">
        <v>17.45</v>
      </c>
      <c r="AE28">
        <v>51.04</v>
      </c>
      <c r="AF28">
        <v>2.6</v>
      </c>
      <c r="AG28">
        <v>1.24</v>
      </c>
      <c r="AH28">
        <v>67.739999999999995</v>
      </c>
      <c r="AI28">
        <v>14.29</v>
      </c>
      <c r="AJ28">
        <v>92.91</v>
      </c>
      <c r="AK28">
        <v>9.5299999999999994</v>
      </c>
      <c r="AL28">
        <v>9.16</v>
      </c>
      <c r="AM28">
        <v>50.99</v>
      </c>
      <c r="AN28">
        <v>8.42</v>
      </c>
      <c r="AO28">
        <v>7.8</v>
      </c>
      <c r="AP28">
        <v>51.91</v>
      </c>
      <c r="AQ28">
        <v>1.98</v>
      </c>
      <c r="AR28">
        <v>0.5</v>
      </c>
      <c r="AS28">
        <v>80</v>
      </c>
      <c r="AT28">
        <v>23.53</v>
      </c>
      <c r="AU28">
        <v>93.65</v>
      </c>
      <c r="AV28">
        <v>17.82</v>
      </c>
      <c r="AW28">
        <v>17.329999999999998</v>
      </c>
      <c r="AX28">
        <v>50.7</v>
      </c>
      <c r="AY28">
        <v>9.7799999999999994</v>
      </c>
      <c r="AZ28">
        <v>9.66</v>
      </c>
      <c r="BA28">
        <v>50.32</v>
      </c>
      <c r="BB28">
        <v>0.62</v>
      </c>
      <c r="BC28">
        <v>0.74</v>
      </c>
      <c r="BD28">
        <v>45.45</v>
      </c>
      <c r="BE28">
        <v>6.33</v>
      </c>
      <c r="BF28">
        <v>92.31</v>
      </c>
      <c r="BG28">
        <v>16.46</v>
      </c>
      <c r="BH28">
        <v>14.98</v>
      </c>
      <c r="BI28">
        <v>52.36</v>
      </c>
      <c r="BJ28">
        <v>9.41</v>
      </c>
      <c r="BK28">
        <v>8.17</v>
      </c>
      <c r="BL28">
        <v>53.52</v>
      </c>
      <c r="BM28">
        <v>0.62</v>
      </c>
      <c r="BN28">
        <v>0.25</v>
      </c>
      <c r="BO28">
        <v>71.430000000000007</v>
      </c>
      <c r="BP28">
        <v>6.58</v>
      </c>
      <c r="BQ28">
        <v>96.97</v>
      </c>
      <c r="BR28">
        <v>12.99</v>
      </c>
      <c r="BS28">
        <v>93.87</v>
      </c>
      <c r="BT28">
        <v>1.069</v>
      </c>
    </row>
    <row r="29" spans="1:72" x14ac:dyDescent="0.35">
      <c r="A29">
        <v>27</v>
      </c>
      <c r="B29" t="s">
        <v>64</v>
      </c>
      <c r="C29">
        <v>10</v>
      </c>
      <c r="D29">
        <v>50.05</v>
      </c>
      <c r="E29">
        <v>5</v>
      </c>
      <c r="F29">
        <v>4</v>
      </c>
      <c r="G29">
        <v>1</v>
      </c>
      <c r="H29">
        <v>5</v>
      </c>
      <c r="I29">
        <v>11</v>
      </c>
      <c r="J29">
        <v>0.55000000000000004</v>
      </c>
      <c r="K29">
        <v>59.79</v>
      </c>
      <c r="L29">
        <v>52</v>
      </c>
      <c r="M29">
        <v>53.48</v>
      </c>
      <c r="N29">
        <v>46.49</v>
      </c>
      <c r="O29">
        <v>40.619999999999997</v>
      </c>
      <c r="P29">
        <v>53.37</v>
      </c>
      <c r="Q29">
        <v>32.47</v>
      </c>
      <c r="R29">
        <v>28.04</v>
      </c>
      <c r="S29">
        <v>53.66</v>
      </c>
      <c r="T29">
        <v>3</v>
      </c>
      <c r="U29">
        <v>2.76</v>
      </c>
      <c r="V29">
        <v>52.08</v>
      </c>
      <c r="W29">
        <v>2.77</v>
      </c>
      <c r="X29">
        <v>2.02</v>
      </c>
      <c r="Y29">
        <v>57.75</v>
      </c>
      <c r="Z29">
        <v>35.700000000000003</v>
      </c>
      <c r="AA29">
        <v>25.52</v>
      </c>
      <c r="AB29">
        <v>58.32</v>
      </c>
      <c r="AC29">
        <v>21.33</v>
      </c>
      <c r="AD29">
        <v>14.5</v>
      </c>
      <c r="AE29">
        <v>59.53</v>
      </c>
      <c r="AF29">
        <v>2.64</v>
      </c>
      <c r="AG29">
        <v>1.92</v>
      </c>
      <c r="AH29">
        <v>57.89</v>
      </c>
      <c r="AI29">
        <v>12.36</v>
      </c>
      <c r="AJ29">
        <v>86.78</v>
      </c>
      <c r="AK29">
        <v>14.62</v>
      </c>
      <c r="AL29">
        <v>8.27</v>
      </c>
      <c r="AM29">
        <v>63.87</v>
      </c>
      <c r="AN29">
        <v>11.14</v>
      </c>
      <c r="AO29">
        <v>5.75</v>
      </c>
      <c r="AP29">
        <v>65.959999999999994</v>
      </c>
      <c r="AQ29">
        <v>1.32</v>
      </c>
      <c r="AR29">
        <v>1.32</v>
      </c>
      <c r="AS29">
        <v>50</v>
      </c>
      <c r="AT29">
        <v>11.83</v>
      </c>
      <c r="AU29">
        <v>77.08</v>
      </c>
      <c r="AV29">
        <v>21.09</v>
      </c>
      <c r="AW29">
        <v>17.25</v>
      </c>
      <c r="AX29">
        <v>55</v>
      </c>
      <c r="AY29">
        <v>10.18</v>
      </c>
      <c r="AZ29">
        <v>8.75</v>
      </c>
      <c r="BA29">
        <v>53.8</v>
      </c>
      <c r="BB29">
        <v>1.32</v>
      </c>
      <c r="BC29">
        <v>0.6</v>
      </c>
      <c r="BD29">
        <v>68.75</v>
      </c>
      <c r="BE29">
        <v>12.94</v>
      </c>
      <c r="BF29">
        <v>93.15</v>
      </c>
      <c r="BG29">
        <v>21.81</v>
      </c>
      <c r="BH29">
        <v>23.12</v>
      </c>
      <c r="BI29">
        <v>48.53</v>
      </c>
      <c r="BJ29">
        <v>10.54</v>
      </c>
      <c r="BK29">
        <v>12.1</v>
      </c>
      <c r="BL29">
        <v>46.56</v>
      </c>
      <c r="BM29">
        <v>0.36</v>
      </c>
      <c r="BN29">
        <v>0.84</v>
      </c>
      <c r="BO29">
        <v>30</v>
      </c>
      <c r="BP29">
        <v>3.41</v>
      </c>
      <c r="BQ29">
        <v>93.07</v>
      </c>
      <c r="BR29">
        <v>9.23</v>
      </c>
      <c r="BS29">
        <v>90.17</v>
      </c>
      <c r="BT29">
        <v>0.99399999999999999</v>
      </c>
    </row>
    <row r="30" spans="1:72" x14ac:dyDescent="0.35">
      <c r="A30">
        <v>28</v>
      </c>
      <c r="B30" t="s">
        <v>65</v>
      </c>
      <c r="C30">
        <v>10</v>
      </c>
      <c r="D30">
        <v>51.12</v>
      </c>
      <c r="E30">
        <v>4</v>
      </c>
      <c r="F30">
        <v>5</v>
      </c>
      <c r="G30">
        <v>1</v>
      </c>
      <c r="H30">
        <v>3</v>
      </c>
      <c r="I30">
        <v>9</v>
      </c>
      <c r="J30">
        <v>0.45</v>
      </c>
      <c r="K30">
        <v>56.61</v>
      </c>
      <c r="L30">
        <v>61.3</v>
      </c>
      <c r="M30">
        <v>48.01</v>
      </c>
      <c r="N30">
        <v>41.49</v>
      </c>
      <c r="O30">
        <v>43.25</v>
      </c>
      <c r="P30">
        <v>48.96</v>
      </c>
      <c r="Q30">
        <v>29.3</v>
      </c>
      <c r="R30">
        <v>32.35</v>
      </c>
      <c r="S30">
        <v>47.53</v>
      </c>
      <c r="T30">
        <v>1.41</v>
      </c>
      <c r="U30">
        <v>2.46</v>
      </c>
      <c r="V30">
        <v>36.36</v>
      </c>
      <c r="W30">
        <v>2.36</v>
      </c>
      <c r="X30">
        <v>2.62</v>
      </c>
      <c r="Y30">
        <v>47.38</v>
      </c>
      <c r="Z30">
        <v>25.79</v>
      </c>
      <c r="AA30">
        <v>32</v>
      </c>
      <c r="AB30">
        <v>44.62</v>
      </c>
      <c r="AC30">
        <v>13.95</v>
      </c>
      <c r="AD30">
        <v>18.399999999999999</v>
      </c>
      <c r="AE30">
        <v>43.12</v>
      </c>
      <c r="AF30">
        <v>1.29</v>
      </c>
      <c r="AG30">
        <v>2.34</v>
      </c>
      <c r="AH30">
        <v>35.479999999999997</v>
      </c>
      <c r="AI30">
        <v>9.24</v>
      </c>
      <c r="AJ30">
        <v>87.26</v>
      </c>
      <c r="AK30">
        <v>10.08</v>
      </c>
      <c r="AL30">
        <v>10.43</v>
      </c>
      <c r="AM30">
        <v>49.14</v>
      </c>
      <c r="AN30">
        <v>6.8</v>
      </c>
      <c r="AO30">
        <v>7.85</v>
      </c>
      <c r="AP30">
        <v>46.4</v>
      </c>
      <c r="AQ30">
        <v>0.7</v>
      </c>
      <c r="AR30">
        <v>1.29</v>
      </c>
      <c r="AS30">
        <v>35.29</v>
      </c>
      <c r="AT30">
        <v>10.34</v>
      </c>
      <c r="AU30">
        <v>83.58</v>
      </c>
      <c r="AV30">
        <v>15.71</v>
      </c>
      <c r="AW30">
        <v>21.57</v>
      </c>
      <c r="AX30">
        <v>42.14</v>
      </c>
      <c r="AY30">
        <v>7.15</v>
      </c>
      <c r="AZ30">
        <v>10.55</v>
      </c>
      <c r="BA30">
        <v>40.4</v>
      </c>
      <c r="BB30">
        <v>0.59</v>
      </c>
      <c r="BC30">
        <v>1.05</v>
      </c>
      <c r="BD30">
        <v>35.71</v>
      </c>
      <c r="BE30">
        <v>8.1999999999999993</v>
      </c>
      <c r="BF30">
        <v>90</v>
      </c>
      <c r="BG30">
        <v>27.31</v>
      </c>
      <c r="BH30">
        <v>24.14</v>
      </c>
      <c r="BI30">
        <v>53.08</v>
      </c>
      <c r="BJ30">
        <v>14.42</v>
      </c>
      <c r="BK30">
        <v>12.42</v>
      </c>
      <c r="BL30">
        <v>53.71</v>
      </c>
      <c r="BM30">
        <v>0.12</v>
      </c>
      <c r="BN30">
        <v>0</v>
      </c>
      <c r="BO30">
        <v>100</v>
      </c>
      <c r="BP30">
        <v>0.81</v>
      </c>
      <c r="BQ30">
        <v>100</v>
      </c>
      <c r="BR30">
        <v>4.8</v>
      </c>
      <c r="BS30">
        <v>92.39</v>
      </c>
      <c r="BT30">
        <v>0.97199999999999998</v>
      </c>
    </row>
    <row r="31" spans="1:72" x14ac:dyDescent="0.35">
      <c r="A31">
        <v>29</v>
      </c>
      <c r="B31" t="s">
        <v>68</v>
      </c>
      <c r="C31">
        <v>10</v>
      </c>
      <c r="D31">
        <v>52.08</v>
      </c>
      <c r="E31">
        <v>8</v>
      </c>
      <c r="F31">
        <v>2</v>
      </c>
      <c r="G31">
        <v>0</v>
      </c>
      <c r="H31">
        <v>8</v>
      </c>
      <c r="I31">
        <v>16</v>
      </c>
      <c r="J31">
        <v>0.8</v>
      </c>
      <c r="K31">
        <v>59.16</v>
      </c>
      <c r="L31">
        <v>52.37</v>
      </c>
      <c r="M31">
        <v>53.04</v>
      </c>
      <c r="N31">
        <v>40.74</v>
      </c>
      <c r="O31">
        <v>37.4</v>
      </c>
      <c r="P31">
        <v>52.14</v>
      </c>
      <c r="Q31">
        <v>28.31</v>
      </c>
      <c r="R31">
        <v>28.2</v>
      </c>
      <c r="S31">
        <v>50.1</v>
      </c>
      <c r="T31">
        <v>2.88</v>
      </c>
      <c r="U31">
        <v>2.2999999999999998</v>
      </c>
      <c r="V31">
        <v>55.56</v>
      </c>
      <c r="W31">
        <v>2.59</v>
      </c>
      <c r="X31">
        <v>2.41</v>
      </c>
      <c r="Y31">
        <v>51.73</v>
      </c>
      <c r="Z31">
        <v>27.74</v>
      </c>
      <c r="AA31">
        <v>26.13</v>
      </c>
      <c r="AB31">
        <v>51.5</v>
      </c>
      <c r="AC31">
        <v>14.73</v>
      </c>
      <c r="AD31">
        <v>15.08</v>
      </c>
      <c r="AE31">
        <v>49.42</v>
      </c>
      <c r="AF31">
        <v>2.19</v>
      </c>
      <c r="AG31">
        <v>2.0699999999999998</v>
      </c>
      <c r="AH31">
        <v>51.35</v>
      </c>
      <c r="AI31">
        <v>14.84</v>
      </c>
      <c r="AJ31">
        <v>86.26</v>
      </c>
      <c r="AK31">
        <v>11.51</v>
      </c>
      <c r="AL31">
        <v>9.9</v>
      </c>
      <c r="AM31">
        <v>53.76</v>
      </c>
      <c r="AN31">
        <v>7.25</v>
      </c>
      <c r="AO31">
        <v>7.6</v>
      </c>
      <c r="AP31">
        <v>48.84</v>
      </c>
      <c r="AQ31">
        <v>1.5</v>
      </c>
      <c r="AR31">
        <v>1.38</v>
      </c>
      <c r="AS31">
        <v>52</v>
      </c>
      <c r="AT31">
        <v>20.63</v>
      </c>
      <c r="AU31">
        <v>81.819999999999993</v>
      </c>
      <c r="AV31">
        <v>16.23</v>
      </c>
      <c r="AW31">
        <v>16.23</v>
      </c>
      <c r="AX31">
        <v>50</v>
      </c>
      <c r="AY31">
        <v>7.48</v>
      </c>
      <c r="AZ31">
        <v>7.48</v>
      </c>
      <c r="BA31">
        <v>50</v>
      </c>
      <c r="BB31">
        <v>0.69</v>
      </c>
      <c r="BC31">
        <v>0.69</v>
      </c>
      <c r="BD31">
        <v>50</v>
      </c>
      <c r="BE31">
        <v>9.23</v>
      </c>
      <c r="BF31">
        <v>90.77</v>
      </c>
      <c r="BG31">
        <v>25.78</v>
      </c>
      <c r="BH31">
        <v>21.98</v>
      </c>
      <c r="BI31">
        <v>53.98</v>
      </c>
      <c r="BJ31">
        <v>11.97</v>
      </c>
      <c r="BK31">
        <v>11.39</v>
      </c>
      <c r="BL31">
        <v>51.23</v>
      </c>
      <c r="BM31">
        <v>0.69</v>
      </c>
      <c r="BN31">
        <v>0.23</v>
      </c>
      <c r="BO31">
        <v>75</v>
      </c>
      <c r="BP31">
        <v>5.77</v>
      </c>
      <c r="BQ31">
        <v>97.98</v>
      </c>
      <c r="BR31">
        <v>10.16</v>
      </c>
      <c r="BS31">
        <v>91.84</v>
      </c>
      <c r="BT31">
        <v>1.02</v>
      </c>
    </row>
    <row r="32" spans="1:72" x14ac:dyDescent="0.35">
      <c r="A32">
        <v>30</v>
      </c>
      <c r="B32" t="s">
        <v>66</v>
      </c>
      <c r="C32">
        <v>10</v>
      </c>
      <c r="D32">
        <v>52.42</v>
      </c>
      <c r="E32">
        <v>7</v>
      </c>
      <c r="F32">
        <v>3</v>
      </c>
      <c r="G32">
        <v>0</v>
      </c>
      <c r="H32">
        <v>7</v>
      </c>
      <c r="I32">
        <v>14</v>
      </c>
      <c r="J32">
        <v>0.7</v>
      </c>
      <c r="K32">
        <v>54.78</v>
      </c>
      <c r="L32">
        <v>60.35</v>
      </c>
      <c r="M32">
        <v>47.58</v>
      </c>
      <c r="N32">
        <v>41.9</v>
      </c>
      <c r="O32">
        <v>45.73</v>
      </c>
      <c r="P32">
        <v>47.81</v>
      </c>
      <c r="Q32">
        <v>29.71</v>
      </c>
      <c r="R32">
        <v>31.68</v>
      </c>
      <c r="S32">
        <v>48.39</v>
      </c>
      <c r="T32">
        <v>2.9</v>
      </c>
      <c r="U32">
        <v>2.21</v>
      </c>
      <c r="V32">
        <v>56.82</v>
      </c>
      <c r="W32">
        <v>2.65</v>
      </c>
      <c r="X32">
        <v>2.94</v>
      </c>
      <c r="Y32">
        <v>47.48</v>
      </c>
      <c r="Z32">
        <v>27.04</v>
      </c>
      <c r="AA32">
        <v>28.9</v>
      </c>
      <c r="AB32">
        <v>48.34</v>
      </c>
      <c r="AC32">
        <v>16.25</v>
      </c>
      <c r="AD32">
        <v>17.64</v>
      </c>
      <c r="AE32">
        <v>47.95</v>
      </c>
      <c r="AF32">
        <v>2.67</v>
      </c>
      <c r="AG32">
        <v>1.97</v>
      </c>
      <c r="AH32">
        <v>57.5</v>
      </c>
      <c r="AI32">
        <v>16.43</v>
      </c>
      <c r="AJ32">
        <v>88.82</v>
      </c>
      <c r="AK32">
        <v>10.91</v>
      </c>
      <c r="AL32">
        <v>13.11</v>
      </c>
      <c r="AM32">
        <v>45.41</v>
      </c>
      <c r="AN32">
        <v>7.89</v>
      </c>
      <c r="AO32">
        <v>8.94</v>
      </c>
      <c r="AP32">
        <v>46.9</v>
      </c>
      <c r="AQ32">
        <v>2.09</v>
      </c>
      <c r="AR32">
        <v>1.51</v>
      </c>
      <c r="AS32">
        <v>58.06</v>
      </c>
      <c r="AT32">
        <v>26.47</v>
      </c>
      <c r="AU32">
        <v>83.12</v>
      </c>
      <c r="AV32">
        <v>16.13</v>
      </c>
      <c r="AW32">
        <v>15.78</v>
      </c>
      <c r="AX32">
        <v>50.55</v>
      </c>
      <c r="AY32">
        <v>8.36</v>
      </c>
      <c r="AZ32">
        <v>8.6999999999999993</v>
      </c>
      <c r="BA32">
        <v>48.98</v>
      </c>
      <c r="BB32">
        <v>0.57999999999999996</v>
      </c>
      <c r="BC32">
        <v>0.46</v>
      </c>
      <c r="BD32">
        <v>55.56</v>
      </c>
      <c r="BE32">
        <v>6.94</v>
      </c>
      <c r="BF32">
        <v>94.67</v>
      </c>
      <c r="BG32">
        <v>24.95</v>
      </c>
      <c r="BH32">
        <v>28.2</v>
      </c>
      <c r="BI32">
        <v>46.94</v>
      </c>
      <c r="BJ32">
        <v>12.3</v>
      </c>
      <c r="BK32">
        <v>13</v>
      </c>
      <c r="BL32">
        <v>48.62</v>
      </c>
      <c r="BM32">
        <v>0.12</v>
      </c>
      <c r="BN32">
        <v>0.23</v>
      </c>
      <c r="BO32">
        <v>33.33</v>
      </c>
      <c r="BP32">
        <v>0.94</v>
      </c>
      <c r="BQ32">
        <v>98.21</v>
      </c>
      <c r="BR32">
        <v>9.77</v>
      </c>
      <c r="BS32">
        <v>93.04</v>
      </c>
      <c r="BT32">
        <v>1.028</v>
      </c>
    </row>
    <row r="33" spans="1:72" x14ac:dyDescent="0.35">
      <c r="A33">
        <v>31</v>
      </c>
      <c r="B33" t="s">
        <v>67</v>
      </c>
      <c r="C33">
        <v>10</v>
      </c>
      <c r="D33">
        <v>52.41</v>
      </c>
      <c r="E33">
        <v>6</v>
      </c>
      <c r="F33">
        <v>3</v>
      </c>
      <c r="G33">
        <v>1</v>
      </c>
      <c r="H33">
        <v>6</v>
      </c>
      <c r="I33">
        <v>13</v>
      </c>
      <c r="J33">
        <v>0.65</v>
      </c>
      <c r="K33">
        <v>57.82</v>
      </c>
      <c r="L33">
        <v>51.78</v>
      </c>
      <c r="M33">
        <v>52.75</v>
      </c>
      <c r="N33">
        <v>43.08</v>
      </c>
      <c r="O33">
        <v>40.29</v>
      </c>
      <c r="P33">
        <v>51.67</v>
      </c>
      <c r="Q33">
        <v>28.68</v>
      </c>
      <c r="R33">
        <v>26.94</v>
      </c>
      <c r="S33">
        <v>51.57</v>
      </c>
      <c r="T33">
        <v>2.3199999999999998</v>
      </c>
      <c r="U33">
        <v>2.44</v>
      </c>
      <c r="V33">
        <v>48.78</v>
      </c>
      <c r="W33">
        <v>2.62</v>
      </c>
      <c r="X33">
        <v>2.19</v>
      </c>
      <c r="Y33">
        <v>54.45</v>
      </c>
      <c r="Z33">
        <v>26.59</v>
      </c>
      <c r="AA33">
        <v>23.69</v>
      </c>
      <c r="AB33">
        <v>52.89</v>
      </c>
      <c r="AC33">
        <v>13.82</v>
      </c>
      <c r="AD33">
        <v>13.7</v>
      </c>
      <c r="AE33">
        <v>50.21</v>
      </c>
      <c r="AF33">
        <v>1.97</v>
      </c>
      <c r="AG33">
        <v>1.97</v>
      </c>
      <c r="AH33">
        <v>50</v>
      </c>
      <c r="AI33">
        <v>14.29</v>
      </c>
      <c r="AJ33">
        <v>85.59</v>
      </c>
      <c r="AK33">
        <v>9.75</v>
      </c>
      <c r="AL33">
        <v>9.64</v>
      </c>
      <c r="AM33">
        <v>50.3</v>
      </c>
      <c r="AN33">
        <v>6.73</v>
      </c>
      <c r="AO33">
        <v>6.73</v>
      </c>
      <c r="AP33">
        <v>50</v>
      </c>
      <c r="AQ33">
        <v>1.39</v>
      </c>
      <c r="AR33">
        <v>1.04</v>
      </c>
      <c r="AS33">
        <v>57.14</v>
      </c>
      <c r="AT33">
        <v>20.69</v>
      </c>
      <c r="AU33">
        <v>84.48</v>
      </c>
      <c r="AV33">
        <v>16.84</v>
      </c>
      <c r="AW33">
        <v>14.05</v>
      </c>
      <c r="AX33">
        <v>54.51</v>
      </c>
      <c r="AY33">
        <v>7.08</v>
      </c>
      <c r="AZ33">
        <v>6.97</v>
      </c>
      <c r="BA33">
        <v>50.41</v>
      </c>
      <c r="BB33">
        <v>0.57999999999999996</v>
      </c>
      <c r="BC33">
        <v>0.93</v>
      </c>
      <c r="BD33">
        <v>38.46</v>
      </c>
      <c r="BE33">
        <v>8.1999999999999993</v>
      </c>
      <c r="BF33">
        <v>86.67</v>
      </c>
      <c r="BG33">
        <v>26.24</v>
      </c>
      <c r="BH33">
        <v>23.45</v>
      </c>
      <c r="BI33">
        <v>52.8</v>
      </c>
      <c r="BJ33">
        <v>13</v>
      </c>
      <c r="BK33">
        <v>10.91</v>
      </c>
      <c r="BL33">
        <v>54.37</v>
      </c>
      <c r="BM33">
        <v>0.23</v>
      </c>
      <c r="BN33">
        <v>0.35</v>
      </c>
      <c r="BO33">
        <v>40</v>
      </c>
      <c r="BP33">
        <v>1.79</v>
      </c>
      <c r="BQ33">
        <v>96.81</v>
      </c>
      <c r="BR33">
        <v>8.1</v>
      </c>
      <c r="BS33">
        <v>90.95</v>
      </c>
      <c r="BT33">
        <v>0.99</v>
      </c>
    </row>
    <row r="36" spans="1:72" ht="36" x14ac:dyDescent="0.8">
      <c r="A36" s="10" t="s">
        <v>88</v>
      </c>
    </row>
    <row r="37" spans="1:72" x14ac:dyDescent="0.35">
      <c r="A37" t="s">
        <v>79</v>
      </c>
      <c r="B37" t="s">
        <v>0</v>
      </c>
      <c r="C37" t="s">
        <v>1</v>
      </c>
      <c r="D37" t="s">
        <v>90</v>
      </c>
      <c r="E37" t="s">
        <v>2</v>
      </c>
      <c r="F37" t="s">
        <v>3</v>
      </c>
      <c r="G37" t="s">
        <v>4</v>
      </c>
      <c r="H37" t="s">
        <v>5</v>
      </c>
      <c r="I37" t="s">
        <v>6</v>
      </c>
      <c r="J37" t="s">
        <v>7</v>
      </c>
      <c r="K37" t="s">
        <v>91</v>
      </c>
      <c r="L37" t="s">
        <v>92</v>
      </c>
      <c r="M37" t="s">
        <v>8</v>
      </c>
      <c r="N37" t="s">
        <v>93</v>
      </c>
      <c r="O37" t="s">
        <v>94</v>
      </c>
      <c r="P37" t="s">
        <v>9</v>
      </c>
      <c r="Q37" t="s">
        <v>95</v>
      </c>
      <c r="R37" t="s">
        <v>71</v>
      </c>
      <c r="S37" t="s">
        <v>10</v>
      </c>
      <c r="T37" t="s">
        <v>96</v>
      </c>
      <c r="U37" t="s">
        <v>97</v>
      </c>
      <c r="V37" t="s">
        <v>11</v>
      </c>
      <c r="W37" t="s">
        <v>98</v>
      </c>
      <c r="X37" t="s">
        <v>99</v>
      </c>
      <c r="Y37" t="s">
        <v>14</v>
      </c>
      <c r="Z37" t="s">
        <v>100</v>
      </c>
      <c r="AA37" t="s">
        <v>101</v>
      </c>
      <c r="AB37" t="s">
        <v>15</v>
      </c>
      <c r="AC37" t="s">
        <v>102</v>
      </c>
      <c r="AD37" t="s">
        <v>103</v>
      </c>
      <c r="AE37" t="s">
        <v>16</v>
      </c>
      <c r="AF37" t="s">
        <v>104</v>
      </c>
      <c r="AG37" t="s">
        <v>105</v>
      </c>
      <c r="AH37" t="s">
        <v>17</v>
      </c>
      <c r="AI37" t="s">
        <v>18</v>
      </c>
      <c r="AJ37" t="s">
        <v>19</v>
      </c>
      <c r="AK37" t="s">
        <v>106</v>
      </c>
      <c r="AL37" t="s">
        <v>107</v>
      </c>
      <c r="AM37" t="s">
        <v>20</v>
      </c>
      <c r="AN37" t="s">
        <v>108</v>
      </c>
      <c r="AO37" t="s">
        <v>72</v>
      </c>
      <c r="AP37" t="s">
        <v>21</v>
      </c>
      <c r="AQ37" t="s">
        <v>109</v>
      </c>
      <c r="AR37" t="s">
        <v>73</v>
      </c>
      <c r="AS37" t="s">
        <v>22</v>
      </c>
      <c r="AT37" t="s">
        <v>23</v>
      </c>
      <c r="AU37" t="s">
        <v>24</v>
      </c>
      <c r="AV37" t="s">
        <v>110</v>
      </c>
      <c r="AW37" t="s">
        <v>111</v>
      </c>
      <c r="AX37" t="s">
        <v>25</v>
      </c>
      <c r="AY37" t="s">
        <v>112</v>
      </c>
      <c r="AZ37" t="s">
        <v>77</v>
      </c>
      <c r="BA37" t="s">
        <v>26</v>
      </c>
      <c r="BB37" t="s">
        <v>113</v>
      </c>
      <c r="BC37" t="s">
        <v>74</v>
      </c>
      <c r="BD37" t="s">
        <v>27</v>
      </c>
      <c r="BE37" t="s">
        <v>28</v>
      </c>
      <c r="BF37" t="s">
        <v>29</v>
      </c>
      <c r="BG37" t="s">
        <v>114</v>
      </c>
      <c r="BH37" t="s">
        <v>115</v>
      </c>
      <c r="BI37" t="s">
        <v>30</v>
      </c>
      <c r="BJ37" t="s">
        <v>116</v>
      </c>
      <c r="BK37" t="s">
        <v>75</v>
      </c>
      <c r="BL37" t="s">
        <v>31</v>
      </c>
      <c r="BM37" t="s">
        <v>117</v>
      </c>
      <c r="BN37" t="s">
        <v>76</v>
      </c>
      <c r="BO37" t="s">
        <v>32</v>
      </c>
      <c r="BP37" t="s">
        <v>33</v>
      </c>
      <c r="BQ37" t="s">
        <v>34</v>
      </c>
      <c r="BR37" t="s">
        <v>35</v>
      </c>
      <c r="BS37" t="s">
        <v>36</v>
      </c>
      <c r="BT37" t="s">
        <v>37</v>
      </c>
    </row>
    <row r="38" spans="1:72" x14ac:dyDescent="0.35">
      <c r="A38">
        <v>1</v>
      </c>
      <c r="B38" t="s">
        <v>38</v>
      </c>
      <c r="C38">
        <v>10</v>
      </c>
      <c r="D38">
        <v>53.43</v>
      </c>
      <c r="E38">
        <v>2</v>
      </c>
      <c r="F38">
        <v>6</v>
      </c>
      <c r="G38">
        <v>2</v>
      </c>
      <c r="H38">
        <v>2</v>
      </c>
      <c r="I38">
        <v>6</v>
      </c>
      <c r="J38">
        <v>0.3</v>
      </c>
      <c r="K38">
        <v>51.91</v>
      </c>
      <c r="L38">
        <v>53.84</v>
      </c>
      <c r="M38">
        <v>49.09</v>
      </c>
      <c r="N38">
        <v>36.65</v>
      </c>
      <c r="O38">
        <v>38.47</v>
      </c>
      <c r="P38">
        <v>48.79</v>
      </c>
      <c r="Q38">
        <v>26.29</v>
      </c>
      <c r="R38">
        <v>27.43</v>
      </c>
      <c r="S38">
        <v>48.94</v>
      </c>
      <c r="T38">
        <v>2.39</v>
      </c>
      <c r="U38">
        <v>3.07</v>
      </c>
      <c r="V38">
        <v>43.75</v>
      </c>
      <c r="W38">
        <v>1.8</v>
      </c>
      <c r="X38">
        <v>2.17</v>
      </c>
      <c r="Y38">
        <v>45.38</v>
      </c>
      <c r="Z38">
        <v>21.97</v>
      </c>
      <c r="AA38">
        <v>24.47</v>
      </c>
      <c r="AB38">
        <v>47.3</v>
      </c>
      <c r="AC38">
        <v>12.41</v>
      </c>
      <c r="AD38">
        <v>12.86</v>
      </c>
      <c r="AE38">
        <v>49.1</v>
      </c>
      <c r="AF38">
        <v>2.0499999999999998</v>
      </c>
      <c r="AG38">
        <v>2.5</v>
      </c>
      <c r="AH38">
        <v>45</v>
      </c>
      <c r="AI38">
        <v>16.510000000000002</v>
      </c>
      <c r="AJ38">
        <v>80.53</v>
      </c>
      <c r="AK38">
        <v>8.1999999999999993</v>
      </c>
      <c r="AL38">
        <v>9.56</v>
      </c>
      <c r="AM38">
        <v>46.15</v>
      </c>
      <c r="AN38">
        <v>5.69</v>
      </c>
      <c r="AO38">
        <v>6.03</v>
      </c>
      <c r="AP38">
        <v>48.54</v>
      </c>
      <c r="AQ38">
        <v>0.8</v>
      </c>
      <c r="AR38">
        <v>1.59</v>
      </c>
      <c r="AS38">
        <v>33.33</v>
      </c>
      <c r="AT38">
        <v>14</v>
      </c>
      <c r="AU38">
        <v>73.58</v>
      </c>
      <c r="AV38">
        <v>13.77</v>
      </c>
      <c r="AW38">
        <v>14.91</v>
      </c>
      <c r="AX38">
        <v>48.02</v>
      </c>
      <c r="AY38">
        <v>6.72</v>
      </c>
      <c r="AZ38">
        <v>6.83</v>
      </c>
      <c r="BA38">
        <v>49.58</v>
      </c>
      <c r="BB38">
        <v>1.25</v>
      </c>
      <c r="BC38">
        <v>0.91</v>
      </c>
      <c r="BD38">
        <v>57.89</v>
      </c>
      <c r="BE38">
        <v>18.64</v>
      </c>
      <c r="BF38">
        <v>86.67</v>
      </c>
      <c r="BG38">
        <v>24.7</v>
      </c>
      <c r="BH38">
        <v>24.7</v>
      </c>
      <c r="BI38">
        <v>50</v>
      </c>
      <c r="BJ38">
        <v>11.38</v>
      </c>
      <c r="BK38">
        <v>13.55</v>
      </c>
      <c r="BL38">
        <v>45.66</v>
      </c>
      <c r="BM38">
        <v>0.34</v>
      </c>
      <c r="BN38">
        <v>0.46</v>
      </c>
      <c r="BO38">
        <v>42.86</v>
      </c>
      <c r="BP38">
        <v>3</v>
      </c>
      <c r="BQ38">
        <v>96.64</v>
      </c>
      <c r="BR38">
        <v>9.09</v>
      </c>
      <c r="BS38">
        <v>88.8</v>
      </c>
      <c r="BT38">
        <v>0.97899999999999998</v>
      </c>
    </row>
    <row r="39" spans="1:72" x14ac:dyDescent="0.35">
      <c r="A39">
        <v>2</v>
      </c>
      <c r="B39" t="s">
        <v>39</v>
      </c>
      <c r="C39">
        <v>10</v>
      </c>
      <c r="D39">
        <v>49.17</v>
      </c>
      <c r="E39">
        <v>5</v>
      </c>
      <c r="F39">
        <v>3</v>
      </c>
      <c r="G39">
        <v>2</v>
      </c>
      <c r="H39">
        <v>4</v>
      </c>
      <c r="I39">
        <v>12</v>
      </c>
      <c r="J39">
        <v>0.6</v>
      </c>
      <c r="K39">
        <v>46.99</v>
      </c>
      <c r="L39">
        <v>60.02</v>
      </c>
      <c r="M39">
        <v>43.91</v>
      </c>
      <c r="N39">
        <v>34.33</v>
      </c>
      <c r="O39">
        <v>45.04</v>
      </c>
      <c r="P39">
        <v>43.25</v>
      </c>
      <c r="Q39">
        <v>22.64</v>
      </c>
      <c r="R39">
        <v>33.96</v>
      </c>
      <c r="S39">
        <v>40</v>
      </c>
      <c r="T39">
        <v>1.58</v>
      </c>
      <c r="U39">
        <v>2.4300000000000002</v>
      </c>
      <c r="V39">
        <v>39.39</v>
      </c>
      <c r="W39">
        <v>1.84</v>
      </c>
      <c r="X39">
        <v>2.57</v>
      </c>
      <c r="Y39">
        <v>41.75</v>
      </c>
      <c r="Z39">
        <v>20.57</v>
      </c>
      <c r="AA39">
        <v>28.85</v>
      </c>
      <c r="AB39">
        <v>41.63</v>
      </c>
      <c r="AC39">
        <v>12.78</v>
      </c>
      <c r="AD39">
        <v>19.11</v>
      </c>
      <c r="AE39">
        <v>40.08</v>
      </c>
      <c r="AF39">
        <v>1.22</v>
      </c>
      <c r="AG39">
        <v>1.95</v>
      </c>
      <c r="AH39">
        <v>38.46</v>
      </c>
      <c r="AI39">
        <v>9.52</v>
      </c>
      <c r="AJ39">
        <v>89.81</v>
      </c>
      <c r="AK39">
        <v>8.0299999999999994</v>
      </c>
      <c r="AL39">
        <v>11.08</v>
      </c>
      <c r="AM39">
        <v>42.04</v>
      </c>
      <c r="AN39">
        <v>6.09</v>
      </c>
      <c r="AO39">
        <v>8.2799999999999994</v>
      </c>
      <c r="AP39">
        <v>42.37</v>
      </c>
      <c r="AQ39">
        <v>0.73</v>
      </c>
      <c r="AR39">
        <v>1.22</v>
      </c>
      <c r="AS39">
        <v>37.5</v>
      </c>
      <c r="AT39">
        <v>12</v>
      </c>
      <c r="AU39">
        <v>85.29</v>
      </c>
      <c r="AV39">
        <v>12.54</v>
      </c>
      <c r="AW39">
        <v>17.77</v>
      </c>
      <c r="AX39">
        <v>41.37</v>
      </c>
      <c r="AY39">
        <v>6.7</v>
      </c>
      <c r="AZ39">
        <v>10.83</v>
      </c>
      <c r="BA39">
        <v>38.19</v>
      </c>
      <c r="BB39">
        <v>0.49</v>
      </c>
      <c r="BC39">
        <v>0.73</v>
      </c>
      <c r="BD39">
        <v>40</v>
      </c>
      <c r="BE39">
        <v>7.27</v>
      </c>
      <c r="BF39">
        <v>93.26</v>
      </c>
      <c r="BG39">
        <v>22.52</v>
      </c>
      <c r="BH39">
        <v>27.39</v>
      </c>
      <c r="BI39">
        <v>45.12</v>
      </c>
      <c r="BJ39">
        <v>9.25</v>
      </c>
      <c r="BK39">
        <v>14.24</v>
      </c>
      <c r="BL39">
        <v>39.380000000000003</v>
      </c>
      <c r="BM39">
        <v>0.37</v>
      </c>
      <c r="BN39">
        <v>0.37</v>
      </c>
      <c r="BO39">
        <v>50</v>
      </c>
      <c r="BP39">
        <v>3.95</v>
      </c>
      <c r="BQ39">
        <v>97.44</v>
      </c>
      <c r="BR39">
        <v>6.99</v>
      </c>
      <c r="BS39">
        <v>92.83</v>
      </c>
      <c r="BT39">
        <v>0.998</v>
      </c>
    </row>
    <row r="40" spans="1:72" x14ac:dyDescent="0.35">
      <c r="A40">
        <v>3</v>
      </c>
      <c r="B40" t="s">
        <v>40</v>
      </c>
      <c r="C40">
        <v>10</v>
      </c>
      <c r="D40">
        <v>50.21</v>
      </c>
      <c r="E40">
        <v>5</v>
      </c>
      <c r="F40">
        <v>4</v>
      </c>
      <c r="G40">
        <v>1</v>
      </c>
      <c r="H40">
        <v>5</v>
      </c>
      <c r="I40">
        <v>11</v>
      </c>
      <c r="J40">
        <v>0.55000000000000004</v>
      </c>
      <c r="K40">
        <v>59.94</v>
      </c>
      <c r="L40">
        <v>52.91</v>
      </c>
      <c r="M40">
        <v>53.12</v>
      </c>
      <c r="N40">
        <v>47.42</v>
      </c>
      <c r="O40">
        <v>39.92</v>
      </c>
      <c r="P40">
        <v>54.3</v>
      </c>
      <c r="Q40">
        <v>34.200000000000003</v>
      </c>
      <c r="R40">
        <v>29.19</v>
      </c>
      <c r="S40">
        <v>53.95</v>
      </c>
      <c r="T40">
        <v>1.79</v>
      </c>
      <c r="U40">
        <v>2.38</v>
      </c>
      <c r="V40">
        <v>42.86</v>
      </c>
      <c r="W40">
        <v>2.19</v>
      </c>
      <c r="X40">
        <v>2.4700000000000002</v>
      </c>
      <c r="Y40">
        <v>47.03</v>
      </c>
      <c r="Z40">
        <v>25.74</v>
      </c>
      <c r="AA40">
        <v>26.69</v>
      </c>
      <c r="AB40">
        <v>49.09</v>
      </c>
      <c r="AC40">
        <v>16.8</v>
      </c>
      <c r="AD40">
        <v>15.85</v>
      </c>
      <c r="AE40">
        <v>51.46</v>
      </c>
      <c r="AF40">
        <v>1.43</v>
      </c>
      <c r="AG40">
        <v>1.91</v>
      </c>
      <c r="AH40">
        <v>42.86</v>
      </c>
      <c r="AI40">
        <v>8.51</v>
      </c>
      <c r="AJ40">
        <v>87.97</v>
      </c>
      <c r="AK40">
        <v>9.06</v>
      </c>
      <c r="AL40">
        <v>12.39</v>
      </c>
      <c r="AM40">
        <v>42.22</v>
      </c>
      <c r="AN40">
        <v>7.27</v>
      </c>
      <c r="AO40">
        <v>9.65</v>
      </c>
      <c r="AP40">
        <v>42.96</v>
      </c>
      <c r="AQ40">
        <v>1.07</v>
      </c>
      <c r="AR40">
        <v>1.67</v>
      </c>
      <c r="AS40">
        <v>39.130000000000003</v>
      </c>
      <c r="AT40">
        <v>14.75</v>
      </c>
      <c r="AU40">
        <v>82.72</v>
      </c>
      <c r="AV40">
        <v>16.68</v>
      </c>
      <c r="AW40">
        <v>14.3</v>
      </c>
      <c r="AX40">
        <v>53.85</v>
      </c>
      <c r="AY40">
        <v>9.5299999999999994</v>
      </c>
      <c r="AZ40">
        <v>6.2</v>
      </c>
      <c r="BA40">
        <v>60.61</v>
      </c>
      <c r="BB40">
        <v>0.36</v>
      </c>
      <c r="BC40">
        <v>0.24</v>
      </c>
      <c r="BD40">
        <v>60</v>
      </c>
      <c r="BE40">
        <v>3.75</v>
      </c>
      <c r="BF40">
        <v>96.15</v>
      </c>
      <c r="BG40">
        <v>30.74</v>
      </c>
      <c r="BH40">
        <v>21.57</v>
      </c>
      <c r="BI40">
        <v>58.77</v>
      </c>
      <c r="BJ40">
        <v>15.85</v>
      </c>
      <c r="BK40">
        <v>11.32</v>
      </c>
      <c r="BL40">
        <v>58.33</v>
      </c>
      <c r="BM40">
        <v>0.36</v>
      </c>
      <c r="BN40">
        <v>0.48</v>
      </c>
      <c r="BO40">
        <v>42.86</v>
      </c>
      <c r="BP40">
        <v>2.2599999999999998</v>
      </c>
      <c r="BQ40">
        <v>95.79</v>
      </c>
      <c r="BR40">
        <v>5.23</v>
      </c>
      <c r="BS40">
        <v>91.84</v>
      </c>
      <c r="BT40">
        <v>0.97099999999999997</v>
      </c>
    </row>
    <row r="41" spans="1:72" x14ac:dyDescent="0.35">
      <c r="A41">
        <v>4</v>
      </c>
      <c r="B41" t="s">
        <v>41</v>
      </c>
      <c r="C41">
        <v>10</v>
      </c>
      <c r="D41">
        <v>53.39</v>
      </c>
      <c r="E41">
        <v>1</v>
      </c>
      <c r="F41">
        <v>8</v>
      </c>
      <c r="G41">
        <v>1</v>
      </c>
      <c r="H41">
        <v>1</v>
      </c>
      <c r="I41">
        <v>3</v>
      </c>
      <c r="J41">
        <v>0.15</v>
      </c>
      <c r="K41">
        <v>49.35</v>
      </c>
      <c r="L41">
        <v>55.74</v>
      </c>
      <c r="M41">
        <v>46.96</v>
      </c>
      <c r="N41">
        <v>38.75</v>
      </c>
      <c r="O41">
        <v>43.77</v>
      </c>
      <c r="P41">
        <v>46.96</v>
      </c>
      <c r="Q41">
        <v>27.24</v>
      </c>
      <c r="R41">
        <v>32.83</v>
      </c>
      <c r="S41">
        <v>45.35</v>
      </c>
      <c r="T41">
        <v>2.5099999999999998</v>
      </c>
      <c r="U41">
        <v>3.76</v>
      </c>
      <c r="V41">
        <v>40</v>
      </c>
      <c r="W41">
        <v>2.29</v>
      </c>
      <c r="X41">
        <v>2.77</v>
      </c>
      <c r="Y41">
        <v>45.27</v>
      </c>
      <c r="Z41">
        <v>24.62</v>
      </c>
      <c r="AA41">
        <v>31</v>
      </c>
      <c r="AB41">
        <v>44.26</v>
      </c>
      <c r="AC41">
        <v>14.36</v>
      </c>
      <c r="AD41">
        <v>20.399999999999999</v>
      </c>
      <c r="AE41">
        <v>41.31</v>
      </c>
      <c r="AF41">
        <v>1.82</v>
      </c>
      <c r="AG41">
        <v>3.19</v>
      </c>
      <c r="AH41">
        <v>36.36</v>
      </c>
      <c r="AI41">
        <v>12.7</v>
      </c>
      <c r="AJ41">
        <v>84.36</v>
      </c>
      <c r="AK41">
        <v>9.8000000000000007</v>
      </c>
      <c r="AL41">
        <v>13.34</v>
      </c>
      <c r="AM41">
        <v>42.36</v>
      </c>
      <c r="AN41">
        <v>6.84</v>
      </c>
      <c r="AO41">
        <v>10.94</v>
      </c>
      <c r="AP41">
        <v>38.46</v>
      </c>
      <c r="AQ41">
        <v>1.37</v>
      </c>
      <c r="AR41">
        <v>2.5099999999999998</v>
      </c>
      <c r="AS41">
        <v>35.29</v>
      </c>
      <c r="AT41">
        <v>20</v>
      </c>
      <c r="AU41">
        <v>77.08</v>
      </c>
      <c r="AV41">
        <v>14.82</v>
      </c>
      <c r="AW41">
        <v>17.670000000000002</v>
      </c>
      <c r="AX41">
        <v>45.61</v>
      </c>
      <c r="AY41">
        <v>7.52</v>
      </c>
      <c r="AZ41">
        <v>9.4600000000000009</v>
      </c>
      <c r="BA41">
        <v>44.3</v>
      </c>
      <c r="BB41">
        <v>0.46</v>
      </c>
      <c r="BC41">
        <v>0.68</v>
      </c>
      <c r="BD41">
        <v>40</v>
      </c>
      <c r="BE41">
        <v>6.06</v>
      </c>
      <c r="BF41">
        <v>92.77</v>
      </c>
      <c r="BG41">
        <v>21.09</v>
      </c>
      <c r="BH41">
        <v>21.88</v>
      </c>
      <c r="BI41">
        <v>49.07</v>
      </c>
      <c r="BJ41">
        <v>11.74</v>
      </c>
      <c r="BK41">
        <v>10.94</v>
      </c>
      <c r="BL41">
        <v>51.76</v>
      </c>
      <c r="BM41">
        <v>0.68</v>
      </c>
      <c r="BN41">
        <v>0.46</v>
      </c>
      <c r="BO41">
        <v>60</v>
      </c>
      <c r="BP41">
        <v>5.83</v>
      </c>
      <c r="BQ41">
        <v>95.83</v>
      </c>
      <c r="BR41">
        <v>9.2100000000000009</v>
      </c>
      <c r="BS41">
        <v>88.54</v>
      </c>
      <c r="BT41">
        <v>0.97699999999999998</v>
      </c>
    </row>
    <row r="42" spans="1:72" x14ac:dyDescent="0.35">
      <c r="A42">
        <v>5</v>
      </c>
      <c r="B42" t="s">
        <v>42</v>
      </c>
      <c r="C42">
        <v>10</v>
      </c>
      <c r="D42">
        <v>51.52</v>
      </c>
      <c r="E42">
        <v>7</v>
      </c>
      <c r="F42">
        <v>3</v>
      </c>
      <c r="G42">
        <v>0</v>
      </c>
      <c r="H42">
        <v>5</v>
      </c>
      <c r="I42">
        <v>14</v>
      </c>
      <c r="J42">
        <v>0.7</v>
      </c>
      <c r="K42">
        <v>49.65</v>
      </c>
      <c r="L42">
        <v>48.36</v>
      </c>
      <c r="M42">
        <v>50.66</v>
      </c>
      <c r="N42">
        <v>38.33</v>
      </c>
      <c r="O42">
        <v>37.86</v>
      </c>
      <c r="P42">
        <v>50.31</v>
      </c>
      <c r="Q42">
        <v>27.6</v>
      </c>
      <c r="R42">
        <v>28.78</v>
      </c>
      <c r="S42">
        <v>48.95</v>
      </c>
      <c r="T42">
        <v>2.0099999999999998</v>
      </c>
      <c r="U42">
        <v>2.0099999999999998</v>
      </c>
      <c r="V42">
        <v>50</v>
      </c>
      <c r="W42">
        <v>1.97</v>
      </c>
      <c r="X42">
        <v>2.2000000000000002</v>
      </c>
      <c r="Y42">
        <v>47.26</v>
      </c>
      <c r="Z42">
        <v>23</v>
      </c>
      <c r="AA42">
        <v>23.82</v>
      </c>
      <c r="AB42">
        <v>49.12</v>
      </c>
      <c r="AC42">
        <v>14.86</v>
      </c>
      <c r="AD42">
        <v>15.69</v>
      </c>
      <c r="AE42">
        <v>48.65</v>
      </c>
      <c r="AF42">
        <v>1.89</v>
      </c>
      <c r="AG42">
        <v>1.53</v>
      </c>
      <c r="AH42">
        <v>55.17</v>
      </c>
      <c r="AI42">
        <v>12.7</v>
      </c>
      <c r="AJ42">
        <v>90.23</v>
      </c>
      <c r="AK42">
        <v>8.85</v>
      </c>
      <c r="AL42">
        <v>8.73</v>
      </c>
      <c r="AM42">
        <v>50.34</v>
      </c>
      <c r="AN42">
        <v>7.19</v>
      </c>
      <c r="AO42">
        <v>7.43</v>
      </c>
      <c r="AP42">
        <v>49.19</v>
      </c>
      <c r="AQ42">
        <v>1.3</v>
      </c>
      <c r="AR42">
        <v>1.18</v>
      </c>
      <c r="AS42">
        <v>52.38</v>
      </c>
      <c r="AT42">
        <v>18.03</v>
      </c>
      <c r="AU42">
        <v>84.13</v>
      </c>
      <c r="AV42">
        <v>14.15</v>
      </c>
      <c r="AW42">
        <v>15.1</v>
      </c>
      <c r="AX42">
        <v>48.39</v>
      </c>
      <c r="AY42">
        <v>7.67</v>
      </c>
      <c r="AZ42">
        <v>8.26</v>
      </c>
      <c r="BA42">
        <v>48.15</v>
      </c>
      <c r="BB42">
        <v>0.59</v>
      </c>
      <c r="BC42">
        <v>0.35</v>
      </c>
      <c r="BD42">
        <v>62.5</v>
      </c>
      <c r="BE42">
        <v>7.69</v>
      </c>
      <c r="BF42">
        <v>95.71</v>
      </c>
      <c r="BG42">
        <v>23.12</v>
      </c>
      <c r="BH42">
        <v>20.88</v>
      </c>
      <c r="BI42">
        <v>52.55</v>
      </c>
      <c r="BJ42">
        <v>11.56</v>
      </c>
      <c r="BK42">
        <v>11.44</v>
      </c>
      <c r="BL42">
        <v>50.26</v>
      </c>
      <c r="BM42">
        <v>0.12</v>
      </c>
      <c r="BN42">
        <v>0.24</v>
      </c>
      <c r="BO42">
        <v>33.33</v>
      </c>
      <c r="BP42">
        <v>1.02</v>
      </c>
      <c r="BQ42">
        <v>97.94</v>
      </c>
      <c r="BR42">
        <v>7.26</v>
      </c>
      <c r="BS42">
        <v>93.03</v>
      </c>
      <c r="BT42">
        <v>1.0029999999999999</v>
      </c>
    </row>
    <row r="43" spans="1:72" x14ac:dyDescent="0.35">
      <c r="A43">
        <v>6</v>
      </c>
      <c r="B43" t="s">
        <v>43</v>
      </c>
      <c r="C43">
        <v>10</v>
      </c>
      <c r="D43">
        <v>52</v>
      </c>
      <c r="E43">
        <v>4</v>
      </c>
      <c r="F43">
        <v>5</v>
      </c>
      <c r="G43">
        <v>1</v>
      </c>
      <c r="H43">
        <v>3</v>
      </c>
      <c r="I43">
        <v>9</v>
      </c>
      <c r="J43">
        <v>0.45</v>
      </c>
      <c r="K43">
        <v>51.11</v>
      </c>
      <c r="L43">
        <v>55.15</v>
      </c>
      <c r="M43">
        <v>48.1</v>
      </c>
      <c r="N43">
        <v>39.57</v>
      </c>
      <c r="O43">
        <v>39.46</v>
      </c>
      <c r="P43">
        <v>50.07</v>
      </c>
      <c r="Q43">
        <v>31.26</v>
      </c>
      <c r="R43">
        <v>29.42</v>
      </c>
      <c r="S43">
        <v>51.52</v>
      </c>
      <c r="T43">
        <v>2.19</v>
      </c>
      <c r="U43">
        <v>3</v>
      </c>
      <c r="V43">
        <v>42.22</v>
      </c>
      <c r="W43">
        <v>2.14</v>
      </c>
      <c r="X43">
        <v>2.12</v>
      </c>
      <c r="Y43">
        <v>50.19</v>
      </c>
      <c r="Z43">
        <v>22.96</v>
      </c>
      <c r="AA43">
        <v>24.57</v>
      </c>
      <c r="AB43">
        <v>48.3</v>
      </c>
      <c r="AC43">
        <v>15.69</v>
      </c>
      <c r="AD43">
        <v>15.34</v>
      </c>
      <c r="AE43">
        <v>50.56</v>
      </c>
      <c r="AF43">
        <v>1.96</v>
      </c>
      <c r="AG43">
        <v>2.54</v>
      </c>
      <c r="AH43">
        <v>43.59</v>
      </c>
      <c r="AI43">
        <v>12.5</v>
      </c>
      <c r="AJ43">
        <v>83.46</v>
      </c>
      <c r="AK43">
        <v>8.8800000000000008</v>
      </c>
      <c r="AL43">
        <v>10.38</v>
      </c>
      <c r="AM43">
        <v>46.11</v>
      </c>
      <c r="AN43">
        <v>7.04</v>
      </c>
      <c r="AO43">
        <v>7.96</v>
      </c>
      <c r="AP43">
        <v>46.92</v>
      </c>
      <c r="AQ43">
        <v>1.73</v>
      </c>
      <c r="AR43">
        <v>1.96</v>
      </c>
      <c r="AS43">
        <v>46.88</v>
      </c>
      <c r="AT43">
        <v>24.59</v>
      </c>
      <c r="AU43">
        <v>75.36</v>
      </c>
      <c r="AV43">
        <v>14.07</v>
      </c>
      <c r="AW43">
        <v>14.19</v>
      </c>
      <c r="AX43">
        <v>49.8</v>
      </c>
      <c r="AY43">
        <v>8.65</v>
      </c>
      <c r="AZ43">
        <v>7.38</v>
      </c>
      <c r="BA43">
        <v>53.96</v>
      </c>
      <c r="BB43">
        <v>0.23</v>
      </c>
      <c r="BC43">
        <v>0.57999999999999996</v>
      </c>
      <c r="BD43">
        <v>28.57</v>
      </c>
      <c r="BE43">
        <v>2.67</v>
      </c>
      <c r="BF43">
        <v>92.19</v>
      </c>
      <c r="BG43">
        <v>24.92</v>
      </c>
      <c r="BH43">
        <v>26.76</v>
      </c>
      <c r="BI43">
        <v>48.21</v>
      </c>
      <c r="BJ43">
        <v>14.88</v>
      </c>
      <c r="BK43">
        <v>12.69</v>
      </c>
      <c r="BL43">
        <v>53.97</v>
      </c>
      <c r="BM43">
        <v>0.23</v>
      </c>
      <c r="BN43">
        <v>0.46</v>
      </c>
      <c r="BO43">
        <v>33.33</v>
      </c>
      <c r="BP43">
        <v>1.55</v>
      </c>
      <c r="BQ43">
        <v>96.36</v>
      </c>
      <c r="BR43">
        <v>7.01</v>
      </c>
      <c r="BS43">
        <v>89.8</v>
      </c>
      <c r="BT43">
        <v>0.96799999999999997</v>
      </c>
    </row>
    <row r="44" spans="1:72" x14ac:dyDescent="0.35">
      <c r="A44">
        <v>7</v>
      </c>
      <c r="B44" t="s">
        <v>44</v>
      </c>
      <c r="C44">
        <v>10</v>
      </c>
      <c r="D44">
        <v>50.05</v>
      </c>
      <c r="E44">
        <v>3</v>
      </c>
      <c r="F44">
        <v>6</v>
      </c>
      <c r="G44">
        <v>1</v>
      </c>
      <c r="H44">
        <v>3</v>
      </c>
      <c r="I44">
        <v>7</v>
      </c>
      <c r="J44">
        <v>0.35</v>
      </c>
      <c r="K44">
        <v>56.31</v>
      </c>
      <c r="L44">
        <v>60.38</v>
      </c>
      <c r="M44">
        <v>48.25</v>
      </c>
      <c r="N44">
        <v>40.85</v>
      </c>
      <c r="O44">
        <v>45.89</v>
      </c>
      <c r="P44">
        <v>47.1</v>
      </c>
      <c r="Q44">
        <v>30.07</v>
      </c>
      <c r="R44">
        <v>31.99</v>
      </c>
      <c r="S44">
        <v>48.46</v>
      </c>
      <c r="T44">
        <v>1.56</v>
      </c>
      <c r="U44">
        <v>3.12</v>
      </c>
      <c r="V44">
        <v>33.33</v>
      </c>
      <c r="W44">
        <v>1.88</v>
      </c>
      <c r="X44">
        <v>2.4</v>
      </c>
      <c r="Y44">
        <v>43.88</v>
      </c>
      <c r="Z44">
        <v>21.21</v>
      </c>
      <c r="AA44">
        <v>26.96</v>
      </c>
      <c r="AB44">
        <v>44.03</v>
      </c>
      <c r="AC44">
        <v>12.46</v>
      </c>
      <c r="AD44">
        <v>15.58</v>
      </c>
      <c r="AE44">
        <v>44.44</v>
      </c>
      <c r="AF44">
        <v>0.96</v>
      </c>
      <c r="AG44">
        <v>2.52</v>
      </c>
      <c r="AH44">
        <v>27.59</v>
      </c>
      <c r="AI44">
        <v>7.69</v>
      </c>
      <c r="AJ44">
        <v>83.85</v>
      </c>
      <c r="AK44">
        <v>6.47</v>
      </c>
      <c r="AL44">
        <v>10.78</v>
      </c>
      <c r="AM44">
        <v>37.5</v>
      </c>
      <c r="AN44">
        <v>4.79</v>
      </c>
      <c r="AO44">
        <v>7.79</v>
      </c>
      <c r="AP44">
        <v>38.1</v>
      </c>
      <c r="AQ44">
        <v>0.24</v>
      </c>
      <c r="AR44">
        <v>1.32</v>
      </c>
      <c r="AS44">
        <v>15.38</v>
      </c>
      <c r="AT44">
        <v>5</v>
      </c>
      <c r="AU44">
        <v>83.08</v>
      </c>
      <c r="AV44">
        <v>14.74</v>
      </c>
      <c r="AW44">
        <v>16.170000000000002</v>
      </c>
      <c r="AX44">
        <v>47.67</v>
      </c>
      <c r="AY44">
        <v>7.67</v>
      </c>
      <c r="AZ44">
        <v>7.79</v>
      </c>
      <c r="BA44">
        <v>49.61</v>
      </c>
      <c r="BB44">
        <v>0.72</v>
      </c>
      <c r="BC44">
        <v>1.2</v>
      </c>
      <c r="BD44">
        <v>37.5</v>
      </c>
      <c r="BE44">
        <v>9.3800000000000008</v>
      </c>
      <c r="BF44">
        <v>84.62</v>
      </c>
      <c r="BG44">
        <v>29.95</v>
      </c>
      <c r="BH44">
        <v>29.23</v>
      </c>
      <c r="BI44">
        <v>50.61</v>
      </c>
      <c r="BJ44">
        <v>16.41</v>
      </c>
      <c r="BK44">
        <v>14.38</v>
      </c>
      <c r="BL44">
        <v>53.31</v>
      </c>
      <c r="BM44">
        <v>0.6</v>
      </c>
      <c r="BN44">
        <v>0.24</v>
      </c>
      <c r="BO44">
        <v>71.430000000000007</v>
      </c>
      <c r="BP44">
        <v>3.65</v>
      </c>
      <c r="BQ44">
        <v>98.33</v>
      </c>
      <c r="BR44">
        <v>5.18</v>
      </c>
      <c r="BS44">
        <v>90.26</v>
      </c>
      <c r="BT44">
        <v>0.95399999999999996</v>
      </c>
    </row>
    <row r="45" spans="1:72" x14ac:dyDescent="0.35">
      <c r="A45">
        <v>8</v>
      </c>
      <c r="B45" t="s">
        <v>45</v>
      </c>
      <c r="C45">
        <v>10</v>
      </c>
      <c r="D45">
        <v>49.54</v>
      </c>
      <c r="E45">
        <v>4</v>
      </c>
      <c r="F45">
        <v>6</v>
      </c>
      <c r="G45">
        <v>0</v>
      </c>
      <c r="H45">
        <v>3</v>
      </c>
      <c r="I45">
        <v>8</v>
      </c>
      <c r="J45">
        <v>0.4</v>
      </c>
      <c r="K45">
        <v>45.03</v>
      </c>
      <c r="L45">
        <v>52.76</v>
      </c>
      <c r="M45">
        <v>46.05</v>
      </c>
      <c r="N45">
        <v>34.35</v>
      </c>
      <c r="O45">
        <v>41.47</v>
      </c>
      <c r="P45">
        <v>45.31</v>
      </c>
      <c r="Q45">
        <v>26.13</v>
      </c>
      <c r="R45">
        <v>30.55</v>
      </c>
      <c r="S45">
        <v>46.1</v>
      </c>
      <c r="T45">
        <v>2.09</v>
      </c>
      <c r="U45">
        <v>3.07</v>
      </c>
      <c r="V45">
        <v>40.479999999999997</v>
      </c>
      <c r="W45">
        <v>2.1</v>
      </c>
      <c r="X45">
        <v>2.89</v>
      </c>
      <c r="Y45">
        <v>42.13</v>
      </c>
      <c r="Z45">
        <v>21.72</v>
      </c>
      <c r="AA45">
        <v>27.85</v>
      </c>
      <c r="AB45">
        <v>43.81</v>
      </c>
      <c r="AC45">
        <v>14.72</v>
      </c>
      <c r="AD45">
        <v>18.03</v>
      </c>
      <c r="AE45">
        <v>44.94</v>
      </c>
      <c r="AF45">
        <v>1.47</v>
      </c>
      <c r="AG45">
        <v>2.58</v>
      </c>
      <c r="AH45">
        <v>36.36</v>
      </c>
      <c r="AI45">
        <v>10</v>
      </c>
      <c r="AJ45">
        <v>85.71</v>
      </c>
      <c r="AK45">
        <v>7.48</v>
      </c>
      <c r="AL45">
        <v>11.53</v>
      </c>
      <c r="AM45">
        <v>39.35</v>
      </c>
      <c r="AN45">
        <v>6.26</v>
      </c>
      <c r="AO45">
        <v>9.32</v>
      </c>
      <c r="AP45">
        <v>40.159999999999997</v>
      </c>
      <c r="AQ45">
        <v>0.49</v>
      </c>
      <c r="AR45">
        <v>1.96</v>
      </c>
      <c r="AS45">
        <v>20</v>
      </c>
      <c r="AT45">
        <v>7.84</v>
      </c>
      <c r="AU45">
        <v>78.95</v>
      </c>
      <c r="AV45">
        <v>14.23</v>
      </c>
      <c r="AW45">
        <v>16.32</v>
      </c>
      <c r="AX45">
        <v>46.59</v>
      </c>
      <c r="AY45">
        <v>8.4700000000000006</v>
      </c>
      <c r="AZ45">
        <v>8.7100000000000009</v>
      </c>
      <c r="BA45">
        <v>49.29</v>
      </c>
      <c r="BB45">
        <v>0.98</v>
      </c>
      <c r="BC45">
        <v>0.61</v>
      </c>
      <c r="BD45">
        <v>61.54</v>
      </c>
      <c r="BE45">
        <v>11.59</v>
      </c>
      <c r="BF45">
        <v>92.96</v>
      </c>
      <c r="BG45">
        <v>19.75</v>
      </c>
      <c r="BH45">
        <v>20.49</v>
      </c>
      <c r="BI45">
        <v>49.09</v>
      </c>
      <c r="BJ45">
        <v>9.94</v>
      </c>
      <c r="BK45">
        <v>10.18</v>
      </c>
      <c r="BL45">
        <v>49.39</v>
      </c>
      <c r="BM45">
        <v>0.37</v>
      </c>
      <c r="BN45">
        <v>0.12</v>
      </c>
      <c r="BO45">
        <v>75</v>
      </c>
      <c r="BP45">
        <v>3.7</v>
      </c>
      <c r="BQ45">
        <v>98.8</v>
      </c>
      <c r="BR45">
        <v>7.98</v>
      </c>
      <c r="BS45">
        <v>89.96</v>
      </c>
      <c r="BT45">
        <v>0.97899999999999998</v>
      </c>
    </row>
    <row r="46" spans="1:72" x14ac:dyDescent="0.35">
      <c r="A46">
        <v>9</v>
      </c>
      <c r="B46" t="s">
        <v>46</v>
      </c>
      <c r="C46">
        <v>10</v>
      </c>
      <c r="D46">
        <v>49.12</v>
      </c>
      <c r="E46">
        <v>6</v>
      </c>
      <c r="F46">
        <v>2</v>
      </c>
      <c r="G46">
        <v>2</v>
      </c>
      <c r="H46">
        <v>6</v>
      </c>
      <c r="I46">
        <v>14</v>
      </c>
      <c r="J46">
        <v>0.7</v>
      </c>
      <c r="K46">
        <v>64.63</v>
      </c>
      <c r="L46">
        <v>48.65</v>
      </c>
      <c r="M46">
        <v>57.05</v>
      </c>
      <c r="N46">
        <v>47.43</v>
      </c>
      <c r="O46">
        <v>37.31</v>
      </c>
      <c r="P46">
        <v>55.97</v>
      </c>
      <c r="Q46">
        <v>32.43</v>
      </c>
      <c r="R46">
        <v>27.07</v>
      </c>
      <c r="S46">
        <v>54.51</v>
      </c>
      <c r="T46">
        <v>3.41</v>
      </c>
      <c r="U46">
        <v>2.44</v>
      </c>
      <c r="V46">
        <v>58.33</v>
      </c>
      <c r="W46">
        <v>2.78</v>
      </c>
      <c r="X46">
        <v>2.2999999999999998</v>
      </c>
      <c r="Y46">
        <v>54.73</v>
      </c>
      <c r="Z46">
        <v>32.07</v>
      </c>
      <c r="AA46">
        <v>24.14</v>
      </c>
      <c r="AB46">
        <v>57.05</v>
      </c>
      <c r="AC46">
        <v>17.559999999999999</v>
      </c>
      <c r="AD46">
        <v>14.75</v>
      </c>
      <c r="AE46">
        <v>54.34</v>
      </c>
      <c r="AF46">
        <v>2.68</v>
      </c>
      <c r="AG46">
        <v>2.19</v>
      </c>
      <c r="AH46">
        <v>55</v>
      </c>
      <c r="AI46">
        <v>15.28</v>
      </c>
      <c r="AJ46">
        <v>85.12</v>
      </c>
      <c r="AK46">
        <v>11.1</v>
      </c>
      <c r="AL46">
        <v>10.49</v>
      </c>
      <c r="AM46">
        <v>51.41</v>
      </c>
      <c r="AN46">
        <v>7.56</v>
      </c>
      <c r="AO46">
        <v>7.32</v>
      </c>
      <c r="AP46">
        <v>50.82</v>
      </c>
      <c r="AQ46">
        <v>1.34</v>
      </c>
      <c r="AR46">
        <v>0.85</v>
      </c>
      <c r="AS46">
        <v>61.11</v>
      </c>
      <c r="AT46">
        <v>17.739999999999998</v>
      </c>
      <c r="AU46">
        <v>88.33</v>
      </c>
      <c r="AV46">
        <v>20.97</v>
      </c>
      <c r="AW46">
        <v>13.66</v>
      </c>
      <c r="AX46">
        <v>60.56</v>
      </c>
      <c r="AY46">
        <v>10</v>
      </c>
      <c r="AZ46">
        <v>7.44</v>
      </c>
      <c r="BA46">
        <v>57.34</v>
      </c>
      <c r="BB46">
        <v>1.34</v>
      </c>
      <c r="BC46">
        <v>1.34</v>
      </c>
      <c r="BD46">
        <v>50</v>
      </c>
      <c r="BE46">
        <v>13.41</v>
      </c>
      <c r="BF46">
        <v>81.97</v>
      </c>
      <c r="BG46">
        <v>28.65</v>
      </c>
      <c r="BH46">
        <v>20.85</v>
      </c>
      <c r="BI46">
        <v>57.88</v>
      </c>
      <c r="BJ46">
        <v>13.53</v>
      </c>
      <c r="BK46">
        <v>10.97</v>
      </c>
      <c r="BL46">
        <v>55.22</v>
      </c>
      <c r="BM46">
        <v>0.61</v>
      </c>
      <c r="BN46">
        <v>0.24</v>
      </c>
      <c r="BO46">
        <v>71.430000000000007</v>
      </c>
      <c r="BP46">
        <v>4.5</v>
      </c>
      <c r="BQ46">
        <v>97.78</v>
      </c>
      <c r="BR46">
        <v>10.53</v>
      </c>
      <c r="BS46">
        <v>90.99</v>
      </c>
      <c r="BT46">
        <v>1.0149999999999999</v>
      </c>
    </row>
    <row r="47" spans="1:72" x14ac:dyDescent="0.35">
      <c r="A47">
        <v>10</v>
      </c>
      <c r="B47" t="s">
        <v>47</v>
      </c>
      <c r="C47">
        <v>10</v>
      </c>
      <c r="D47">
        <v>52.1</v>
      </c>
      <c r="E47">
        <v>4</v>
      </c>
      <c r="F47">
        <v>5</v>
      </c>
      <c r="G47">
        <v>1</v>
      </c>
      <c r="H47">
        <v>3</v>
      </c>
      <c r="I47">
        <v>9</v>
      </c>
      <c r="J47">
        <v>0.45</v>
      </c>
      <c r="K47">
        <v>52.22</v>
      </c>
      <c r="L47">
        <v>50.38</v>
      </c>
      <c r="M47">
        <v>50.9</v>
      </c>
      <c r="N47">
        <v>39.69</v>
      </c>
      <c r="O47">
        <v>39.229999999999997</v>
      </c>
      <c r="P47">
        <v>50.29</v>
      </c>
      <c r="Q47">
        <v>30.14</v>
      </c>
      <c r="R47">
        <v>28.87</v>
      </c>
      <c r="S47">
        <v>51.07</v>
      </c>
      <c r="T47">
        <v>2.19</v>
      </c>
      <c r="U47">
        <v>2.5299999999999998</v>
      </c>
      <c r="V47">
        <v>46.34</v>
      </c>
      <c r="W47">
        <v>2.2000000000000002</v>
      </c>
      <c r="X47">
        <v>2.0499999999999998</v>
      </c>
      <c r="Y47">
        <v>51.67</v>
      </c>
      <c r="Z47">
        <v>24.5</v>
      </c>
      <c r="AA47">
        <v>20.82</v>
      </c>
      <c r="AB47">
        <v>54.06</v>
      </c>
      <c r="AC47">
        <v>15.41</v>
      </c>
      <c r="AD47">
        <v>13.8</v>
      </c>
      <c r="AE47">
        <v>52.76</v>
      </c>
      <c r="AF47">
        <v>1.84</v>
      </c>
      <c r="AG47">
        <v>1.27</v>
      </c>
      <c r="AH47">
        <v>59.26</v>
      </c>
      <c r="AI47">
        <v>11.94</v>
      </c>
      <c r="AJ47">
        <v>90.83</v>
      </c>
      <c r="AK47">
        <v>8.6300000000000008</v>
      </c>
      <c r="AL47">
        <v>7.82</v>
      </c>
      <c r="AM47">
        <v>52.45</v>
      </c>
      <c r="AN47">
        <v>6.56</v>
      </c>
      <c r="AO47">
        <v>5.98</v>
      </c>
      <c r="AP47">
        <v>52.29</v>
      </c>
      <c r="AQ47">
        <v>1.38</v>
      </c>
      <c r="AR47">
        <v>0.81</v>
      </c>
      <c r="AS47">
        <v>63.16</v>
      </c>
      <c r="AT47">
        <v>21.05</v>
      </c>
      <c r="AU47">
        <v>86.54</v>
      </c>
      <c r="AV47">
        <v>15.87</v>
      </c>
      <c r="AW47">
        <v>13</v>
      </c>
      <c r="AX47">
        <v>54.98</v>
      </c>
      <c r="AY47">
        <v>8.86</v>
      </c>
      <c r="AZ47">
        <v>7.82</v>
      </c>
      <c r="BA47">
        <v>53.1</v>
      </c>
      <c r="BB47">
        <v>0.46</v>
      </c>
      <c r="BC47">
        <v>0.46</v>
      </c>
      <c r="BD47">
        <v>50</v>
      </c>
      <c r="BE47">
        <v>5.19</v>
      </c>
      <c r="BF47">
        <v>94.12</v>
      </c>
      <c r="BG47">
        <v>24.27</v>
      </c>
      <c r="BH47">
        <v>24.73</v>
      </c>
      <c r="BI47">
        <v>49.53</v>
      </c>
      <c r="BJ47">
        <v>13.46</v>
      </c>
      <c r="BK47">
        <v>13.11</v>
      </c>
      <c r="BL47">
        <v>50.65</v>
      </c>
      <c r="BM47">
        <v>0.35</v>
      </c>
      <c r="BN47">
        <v>1.1499999999999999</v>
      </c>
      <c r="BO47">
        <v>23.08</v>
      </c>
      <c r="BP47">
        <v>2.56</v>
      </c>
      <c r="BQ47">
        <v>91.23</v>
      </c>
      <c r="BR47">
        <v>7.25</v>
      </c>
      <c r="BS47">
        <v>91.24</v>
      </c>
      <c r="BT47">
        <v>0.98499999999999999</v>
      </c>
    </row>
    <row r="48" spans="1:72" x14ac:dyDescent="0.35">
      <c r="A48">
        <v>11</v>
      </c>
      <c r="B48" t="s">
        <v>48</v>
      </c>
      <c r="C48">
        <v>10</v>
      </c>
      <c r="D48">
        <v>52.57</v>
      </c>
      <c r="E48">
        <v>3</v>
      </c>
      <c r="F48">
        <v>7</v>
      </c>
      <c r="G48">
        <v>0</v>
      </c>
      <c r="H48">
        <v>3</v>
      </c>
      <c r="I48">
        <v>6</v>
      </c>
      <c r="J48">
        <v>0.3</v>
      </c>
      <c r="K48">
        <v>50.47</v>
      </c>
      <c r="L48">
        <v>55.89</v>
      </c>
      <c r="M48">
        <v>47.45</v>
      </c>
      <c r="N48">
        <v>39.840000000000003</v>
      </c>
      <c r="O48">
        <v>43.42</v>
      </c>
      <c r="P48">
        <v>47.85</v>
      </c>
      <c r="Q48">
        <v>31.41</v>
      </c>
      <c r="R48">
        <v>30.95</v>
      </c>
      <c r="S48">
        <v>50.37</v>
      </c>
      <c r="T48">
        <v>2.08</v>
      </c>
      <c r="U48">
        <v>2.89</v>
      </c>
      <c r="V48">
        <v>41.86</v>
      </c>
      <c r="W48">
        <v>1.98</v>
      </c>
      <c r="X48">
        <v>2.44</v>
      </c>
      <c r="Y48">
        <v>44.74</v>
      </c>
      <c r="Z48">
        <v>22.52</v>
      </c>
      <c r="AA48">
        <v>25.98</v>
      </c>
      <c r="AB48">
        <v>46.43</v>
      </c>
      <c r="AC48">
        <v>14.9</v>
      </c>
      <c r="AD48">
        <v>15.01</v>
      </c>
      <c r="AE48">
        <v>49.81</v>
      </c>
      <c r="AF48">
        <v>1.96</v>
      </c>
      <c r="AG48">
        <v>2.08</v>
      </c>
      <c r="AH48">
        <v>48.57</v>
      </c>
      <c r="AI48">
        <v>13.18</v>
      </c>
      <c r="AJ48">
        <v>86.15</v>
      </c>
      <c r="AK48">
        <v>8.5500000000000007</v>
      </c>
      <c r="AL48">
        <v>8.7799999999999994</v>
      </c>
      <c r="AM48">
        <v>49.33</v>
      </c>
      <c r="AN48">
        <v>7.39</v>
      </c>
      <c r="AO48">
        <v>5.66</v>
      </c>
      <c r="AP48">
        <v>56.64</v>
      </c>
      <c r="AQ48">
        <v>1.39</v>
      </c>
      <c r="AR48">
        <v>1.04</v>
      </c>
      <c r="AS48">
        <v>57.14</v>
      </c>
      <c r="AT48">
        <v>18.75</v>
      </c>
      <c r="AU48">
        <v>81.63</v>
      </c>
      <c r="AV48">
        <v>13.97</v>
      </c>
      <c r="AW48">
        <v>17.21</v>
      </c>
      <c r="AX48">
        <v>44.81</v>
      </c>
      <c r="AY48">
        <v>7.51</v>
      </c>
      <c r="AZ48">
        <v>9.35</v>
      </c>
      <c r="BA48">
        <v>44.52</v>
      </c>
      <c r="BB48">
        <v>0.57999999999999996</v>
      </c>
      <c r="BC48">
        <v>1.04</v>
      </c>
      <c r="BD48">
        <v>35.71</v>
      </c>
      <c r="BE48">
        <v>7.69</v>
      </c>
      <c r="BF48">
        <v>88.89</v>
      </c>
      <c r="BG48">
        <v>22.75</v>
      </c>
      <c r="BH48">
        <v>25.06</v>
      </c>
      <c r="BI48">
        <v>47.58</v>
      </c>
      <c r="BJ48">
        <v>14.09</v>
      </c>
      <c r="BK48">
        <v>14.67</v>
      </c>
      <c r="BL48">
        <v>49</v>
      </c>
      <c r="BM48">
        <v>0.12</v>
      </c>
      <c r="BN48">
        <v>0.57999999999999996</v>
      </c>
      <c r="BO48">
        <v>16.670000000000002</v>
      </c>
      <c r="BP48">
        <v>0.82</v>
      </c>
      <c r="BQ48">
        <v>96.06</v>
      </c>
      <c r="BR48">
        <v>6.62</v>
      </c>
      <c r="BS48">
        <v>90.67</v>
      </c>
      <c r="BT48">
        <v>0.97299999999999998</v>
      </c>
    </row>
    <row r="49" spans="1:72" x14ac:dyDescent="0.35">
      <c r="A49">
        <v>12</v>
      </c>
      <c r="B49" t="s">
        <v>49</v>
      </c>
      <c r="C49">
        <v>10</v>
      </c>
      <c r="D49">
        <v>50.29</v>
      </c>
      <c r="E49">
        <v>7</v>
      </c>
      <c r="F49">
        <v>3</v>
      </c>
      <c r="G49">
        <v>0</v>
      </c>
      <c r="H49">
        <v>7</v>
      </c>
      <c r="I49">
        <v>14</v>
      </c>
      <c r="J49">
        <v>0.7</v>
      </c>
      <c r="K49">
        <v>53.36</v>
      </c>
      <c r="L49">
        <v>57.17</v>
      </c>
      <c r="M49">
        <v>48.28</v>
      </c>
      <c r="N49">
        <v>41</v>
      </c>
      <c r="O49">
        <v>43.14</v>
      </c>
      <c r="P49">
        <v>48.73</v>
      </c>
      <c r="Q49">
        <v>28.64</v>
      </c>
      <c r="R49">
        <v>31.26</v>
      </c>
      <c r="S49">
        <v>47.82</v>
      </c>
      <c r="T49">
        <v>2.85</v>
      </c>
      <c r="U49">
        <v>2.2599999999999998</v>
      </c>
      <c r="V49">
        <v>55.81</v>
      </c>
      <c r="W49">
        <v>2.56</v>
      </c>
      <c r="X49">
        <v>2.2400000000000002</v>
      </c>
      <c r="Y49">
        <v>53.32</v>
      </c>
      <c r="Z49">
        <v>25.91</v>
      </c>
      <c r="AA49">
        <v>26.98</v>
      </c>
      <c r="AB49">
        <v>48.99</v>
      </c>
      <c r="AC49">
        <v>15.93</v>
      </c>
      <c r="AD49">
        <v>16.28</v>
      </c>
      <c r="AE49">
        <v>49.45</v>
      </c>
      <c r="AF49">
        <v>2.38</v>
      </c>
      <c r="AG49">
        <v>2.14</v>
      </c>
      <c r="AH49">
        <v>52.63</v>
      </c>
      <c r="AI49">
        <v>14.93</v>
      </c>
      <c r="AJ49">
        <v>86.86</v>
      </c>
      <c r="AK49">
        <v>10.82</v>
      </c>
      <c r="AL49">
        <v>10.34</v>
      </c>
      <c r="AM49">
        <v>51.12</v>
      </c>
      <c r="AN49">
        <v>8.32</v>
      </c>
      <c r="AO49">
        <v>7.61</v>
      </c>
      <c r="AP49">
        <v>52.24</v>
      </c>
      <c r="AQ49">
        <v>1.43</v>
      </c>
      <c r="AR49">
        <v>1.31</v>
      </c>
      <c r="AS49">
        <v>52.17</v>
      </c>
      <c r="AT49">
        <v>17.14</v>
      </c>
      <c r="AU49">
        <v>82.81</v>
      </c>
      <c r="AV49">
        <v>15.09</v>
      </c>
      <c r="AW49">
        <v>16.64</v>
      </c>
      <c r="AX49">
        <v>47.57</v>
      </c>
      <c r="AY49">
        <v>7.61</v>
      </c>
      <c r="AZ49">
        <v>8.68</v>
      </c>
      <c r="BA49">
        <v>46.72</v>
      </c>
      <c r="BB49">
        <v>0.95</v>
      </c>
      <c r="BC49">
        <v>0.83</v>
      </c>
      <c r="BD49">
        <v>53.33</v>
      </c>
      <c r="BE49">
        <v>12.5</v>
      </c>
      <c r="BF49">
        <v>90.41</v>
      </c>
      <c r="BG49">
        <v>22.7</v>
      </c>
      <c r="BH49">
        <v>25.55</v>
      </c>
      <c r="BI49">
        <v>47.04</v>
      </c>
      <c r="BJ49">
        <v>11.29</v>
      </c>
      <c r="BK49">
        <v>13.07</v>
      </c>
      <c r="BL49">
        <v>46.34</v>
      </c>
      <c r="BM49">
        <v>0.12</v>
      </c>
      <c r="BN49">
        <v>0.12</v>
      </c>
      <c r="BO49">
        <v>50</v>
      </c>
      <c r="BP49">
        <v>1.05</v>
      </c>
      <c r="BQ49">
        <v>99.09</v>
      </c>
      <c r="BR49">
        <v>9.9600000000000009</v>
      </c>
      <c r="BS49">
        <v>92.78</v>
      </c>
      <c r="BT49">
        <v>1.0269999999999999</v>
      </c>
    </row>
    <row r="50" spans="1:72" x14ac:dyDescent="0.35">
      <c r="A50">
        <v>13</v>
      </c>
      <c r="B50" t="s">
        <v>50</v>
      </c>
      <c r="C50">
        <v>10</v>
      </c>
      <c r="D50">
        <v>49.2</v>
      </c>
      <c r="E50">
        <v>6</v>
      </c>
      <c r="F50">
        <v>4</v>
      </c>
      <c r="G50">
        <v>0</v>
      </c>
      <c r="H50">
        <v>6</v>
      </c>
      <c r="I50">
        <v>12</v>
      </c>
      <c r="J50">
        <v>0.6</v>
      </c>
      <c r="K50">
        <v>54.61</v>
      </c>
      <c r="L50">
        <v>56.8</v>
      </c>
      <c r="M50">
        <v>49.02</v>
      </c>
      <c r="N50">
        <v>41.6</v>
      </c>
      <c r="O50">
        <v>44.15</v>
      </c>
      <c r="P50">
        <v>48.51</v>
      </c>
      <c r="Q50">
        <v>32.6</v>
      </c>
      <c r="R50">
        <v>30.77</v>
      </c>
      <c r="S50">
        <v>51.44</v>
      </c>
      <c r="T50">
        <v>3.28</v>
      </c>
      <c r="U50">
        <v>2.92</v>
      </c>
      <c r="V50">
        <v>52.94</v>
      </c>
      <c r="W50">
        <v>2.4500000000000002</v>
      </c>
      <c r="X50">
        <v>2.52</v>
      </c>
      <c r="Y50">
        <v>49.37</v>
      </c>
      <c r="Z50">
        <v>25.91</v>
      </c>
      <c r="AA50">
        <v>28.34</v>
      </c>
      <c r="AB50">
        <v>47.76</v>
      </c>
      <c r="AC50">
        <v>17.88</v>
      </c>
      <c r="AD50">
        <v>15.69</v>
      </c>
      <c r="AE50">
        <v>53.26</v>
      </c>
      <c r="AF50">
        <v>2.8</v>
      </c>
      <c r="AG50">
        <v>2.4300000000000002</v>
      </c>
      <c r="AH50">
        <v>53.49</v>
      </c>
      <c r="AI50">
        <v>15.65</v>
      </c>
      <c r="AJ50">
        <v>84.5</v>
      </c>
      <c r="AK50">
        <v>10.58</v>
      </c>
      <c r="AL50">
        <v>10.220000000000001</v>
      </c>
      <c r="AM50">
        <v>50.88</v>
      </c>
      <c r="AN50">
        <v>9.1199999999999992</v>
      </c>
      <c r="AO50">
        <v>7.42</v>
      </c>
      <c r="AP50">
        <v>55.15</v>
      </c>
      <c r="AQ50">
        <v>2.0699999999999998</v>
      </c>
      <c r="AR50">
        <v>1.95</v>
      </c>
      <c r="AS50">
        <v>51.52</v>
      </c>
      <c r="AT50">
        <v>22.67</v>
      </c>
      <c r="AU50">
        <v>73.77</v>
      </c>
      <c r="AV50">
        <v>15.32</v>
      </c>
      <c r="AW50">
        <v>18.12</v>
      </c>
      <c r="AX50">
        <v>45.82</v>
      </c>
      <c r="AY50">
        <v>8.76</v>
      </c>
      <c r="AZ50">
        <v>8.27</v>
      </c>
      <c r="BA50">
        <v>51.43</v>
      </c>
      <c r="BB50">
        <v>0.73</v>
      </c>
      <c r="BC50">
        <v>0.49</v>
      </c>
      <c r="BD50">
        <v>60</v>
      </c>
      <c r="BE50">
        <v>8.33</v>
      </c>
      <c r="BF50">
        <v>94.12</v>
      </c>
      <c r="BG50">
        <v>24.69</v>
      </c>
      <c r="BH50">
        <v>25.3</v>
      </c>
      <c r="BI50">
        <v>49.39</v>
      </c>
      <c r="BJ50">
        <v>12.89</v>
      </c>
      <c r="BK50">
        <v>14.11</v>
      </c>
      <c r="BL50">
        <v>47.75</v>
      </c>
      <c r="BM50">
        <v>0.49</v>
      </c>
      <c r="BN50">
        <v>0.49</v>
      </c>
      <c r="BO50">
        <v>50</v>
      </c>
      <c r="BP50">
        <v>3.77</v>
      </c>
      <c r="BQ50">
        <v>96.55</v>
      </c>
      <c r="BR50">
        <v>10.07</v>
      </c>
      <c r="BS50">
        <v>90.51</v>
      </c>
      <c r="BT50">
        <v>1.006</v>
      </c>
    </row>
    <row r="51" spans="1:72" x14ac:dyDescent="0.35">
      <c r="A51">
        <v>14</v>
      </c>
      <c r="B51" t="s">
        <v>51</v>
      </c>
      <c r="C51">
        <v>10</v>
      </c>
      <c r="D51">
        <v>51.38</v>
      </c>
      <c r="E51">
        <v>3</v>
      </c>
      <c r="F51">
        <v>5</v>
      </c>
      <c r="G51">
        <v>2</v>
      </c>
      <c r="H51">
        <v>3</v>
      </c>
      <c r="I51">
        <v>8</v>
      </c>
      <c r="J51">
        <v>0.4</v>
      </c>
      <c r="K51">
        <v>54.4</v>
      </c>
      <c r="L51">
        <v>54.87</v>
      </c>
      <c r="M51">
        <v>49.78</v>
      </c>
      <c r="N51">
        <v>41.01</v>
      </c>
      <c r="O51">
        <v>41.72</v>
      </c>
      <c r="P51">
        <v>49.57</v>
      </c>
      <c r="Q51">
        <v>29.98</v>
      </c>
      <c r="R51">
        <v>31.17</v>
      </c>
      <c r="S51">
        <v>49.03</v>
      </c>
      <c r="T51">
        <v>1.9</v>
      </c>
      <c r="U51">
        <v>3.08</v>
      </c>
      <c r="V51">
        <v>38.1</v>
      </c>
      <c r="W51">
        <v>2.16</v>
      </c>
      <c r="X51">
        <v>2.7</v>
      </c>
      <c r="Y51">
        <v>44.46</v>
      </c>
      <c r="Z51">
        <v>24.41</v>
      </c>
      <c r="AA51">
        <v>28.92</v>
      </c>
      <c r="AB51">
        <v>45.78</v>
      </c>
      <c r="AC51">
        <v>14.93</v>
      </c>
      <c r="AD51">
        <v>18.37</v>
      </c>
      <c r="AE51">
        <v>44.84</v>
      </c>
      <c r="AF51">
        <v>1.54</v>
      </c>
      <c r="AG51">
        <v>2.73</v>
      </c>
      <c r="AH51">
        <v>36.11</v>
      </c>
      <c r="AI51">
        <v>10.32</v>
      </c>
      <c r="AJ51">
        <v>85.16</v>
      </c>
      <c r="AK51">
        <v>9.7200000000000006</v>
      </c>
      <c r="AL51">
        <v>11.85</v>
      </c>
      <c r="AM51">
        <v>45.05</v>
      </c>
      <c r="AN51">
        <v>7.23</v>
      </c>
      <c r="AO51">
        <v>8.77</v>
      </c>
      <c r="AP51">
        <v>45.19</v>
      </c>
      <c r="AQ51">
        <v>1.3</v>
      </c>
      <c r="AR51">
        <v>2.13</v>
      </c>
      <c r="AS51">
        <v>37.93</v>
      </c>
      <c r="AT51">
        <v>18.03</v>
      </c>
      <c r="AU51">
        <v>75.680000000000007</v>
      </c>
      <c r="AV51">
        <v>14.7</v>
      </c>
      <c r="AW51">
        <v>17.07</v>
      </c>
      <c r="AX51">
        <v>46.27</v>
      </c>
      <c r="AY51">
        <v>7.7</v>
      </c>
      <c r="AZ51">
        <v>9.6</v>
      </c>
      <c r="BA51">
        <v>44.52</v>
      </c>
      <c r="BB51">
        <v>0.24</v>
      </c>
      <c r="BC51">
        <v>0.59</v>
      </c>
      <c r="BD51">
        <v>28.57</v>
      </c>
      <c r="BE51">
        <v>3.08</v>
      </c>
      <c r="BF51">
        <v>93.83</v>
      </c>
      <c r="BG51">
        <v>26.55</v>
      </c>
      <c r="BH51">
        <v>21.45</v>
      </c>
      <c r="BI51">
        <v>55.31</v>
      </c>
      <c r="BJ51">
        <v>13.39</v>
      </c>
      <c r="BK51">
        <v>11.38</v>
      </c>
      <c r="BL51">
        <v>54.07</v>
      </c>
      <c r="BM51">
        <v>0.24</v>
      </c>
      <c r="BN51">
        <v>0.24</v>
      </c>
      <c r="BO51">
        <v>50</v>
      </c>
      <c r="BP51">
        <v>1.77</v>
      </c>
      <c r="BQ51">
        <v>97.92</v>
      </c>
      <c r="BR51">
        <v>6.32</v>
      </c>
      <c r="BS51">
        <v>90.11</v>
      </c>
      <c r="BT51">
        <v>0.96399999999999997</v>
      </c>
    </row>
    <row r="52" spans="1:72" x14ac:dyDescent="0.35">
      <c r="A52">
        <v>15</v>
      </c>
      <c r="B52" t="s">
        <v>52</v>
      </c>
      <c r="C52">
        <v>10</v>
      </c>
      <c r="D52">
        <v>50.08</v>
      </c>
      <c r="E52">
        <v>5</v>
      </c>
      <c r="F52">
        <v>4</v>
      </c>
      <c r="G52">
        <v>1</v>
      </c>
      <c r="H52">
        <v>5</v>
      </c>
      <c r="I52">
        <v>11</v>
      </c>
      <c r="J52">
        <v>0.55000000000000004</v>
      </c>
      <c r="K52">
        <v>49.19</v>
      </c>
      <c r="L52">
        <v>62.35</v>
      </c>
      <c r="M52">
        <v>44.1</v>
      </c>
      <c r="N52">
        <v>39.369999999999997</v>
      </c>
      <c r="O52">
        <v>45.96</v>
      </c>
      <c r="P52">
        <v>46.14</v>
      </c>
      <c r="Q52">
        <v>28.84</v>
      </c>
      <c r="R52">
        <v>31.95</v>
      </c>
      <c r="S52">
        <v>47.44</v>
      </c>
      <c r="T52">
        <v>3.47</v>
      </c>
      <c r="U52">
        <v>3.23</v>
      </c>
      <c r="V52">
        <v>51.79</v>
      </c>
      <c r="W52">
        <v>2.61</v>
      </c>
      <c r="X52">
        <v>2.88</v>
      </c>
      <c r="Y52">
        <v>47.58</v>
      </c>
      <c r="Z52">
        <v>24.77</v>
      </c>
      <c r="AA52">
        <v>30.28</v>
      </c>
      <c r="AB52">
        <v>45</v>
      </c>
      <c r="AC52">
        <v>16.52</v>
      </c>
      <c r="AD52">
        <v>18.190000000000001</v>
      </c>
      <c r="AE52">
        <v>47.59</v>
      </c>
      <c r="AF52">
        <v>3.11</v>
      </c>
      <c r="AG52">
        <v>2.99</v>
      </c>
      <c r="AH52">
        <v>50.98</v>
      </c>
      <c r="AI52">
        <v>18.84</v>
      </c>
      <c r="AJ52">
        <v>83.55</v>
      </c>
      <c r="AK52">
        <v>11.61</v>
      </c>
      <c r="AL52">
        <v>11.85</v>
      </c>
      <c r="AM52">
        <v>49.49</v>
      </c>
      <c r="AN52">
        <v>9.33</v>
      </c>
      <c r="AO52">
        <v>8.6199999999999992</v>
      </c>
      <c r="AP52">
        <v>52</v>
      </c>
      <c r="AQ52">
        <v>2.0299999999999998</v>
      </c>
      <c r="AR52">
        <v>1.8</v>
      </c>
      <c r="AS52">
        <v>53.13</v>
      </c>
      <c r="AT52">
        <v>21.79</v>
      </c>
      <c r="AU52">
        <v>79.17</v>
      </c>
      <c r="AV52">
        <v>13.16</v>
      </c>
      <c r="AW52">
        <v>18.43</v>
      </c>
      <c r="AX52">
        <v>41.67</v>
      </c>
      <c r="AY52">
        <v>7.18</v>
      </c>
      <c r="AZ52">
        <v>9.57</v>
      </c>
      <c r="BA52">
        <v>42.86</v>
      </c>
      <c r="BB52">
        <v>1.08</v>
      </c>
      <c r="BC52">
        <v>1.2</v>
      </c>
      <c r="BD52">
        <v>47.37</v>
      </c>
      <c r="BE52">
        <v>15</v>
      </c>
      <c r="BF52">
        <v>87.5</v>
      </c>
      <c r="BG52">
        <v>21.06</v>
      </c>
      <c r="BH52">
        <v>28.96</v>
      </c>
      <c r="BI52">
        <v>42.11</v>
      </c>
      <c r="BJ52">
        <v>10.89</v>
      </c>
      <c r="BK52">
        <v>13.16</v>
      </c>
      <c r="BL52">
        <v>45.27</v>
      </c>
      <c r="BM52">
        <v>0.24</v>
      </c>
      <c r="BN52">
        <v>0.24</v>
      </c>
      <c r="BO52">
        <v>50</v>
      </c>
      <c r="BP52">
        <v>2.2000000000000002</v>
      </c>
      <c r="BQ52">
        <v>98.18</v>
      </c>
      <c r="BR52">
        <v>12.03</v>
      </c>
      <c r="BS52">
        <v>89.89</v>
      </c>
      <c r="BT52">
        <v>1.0189999999999999</v>
      </c>
    </row>
    <row r="53" spans="1:72" x14ac:dyDescent="0.35">
      <c r="A53">
        <v>16</v>
      </c>
      <c r="B53" t="s">
        <v>53</v>
      </c>
      <c r="C53">
        <v>10</v>
      </c>
      <c r="D53">
        <v>51.23</v>
      </c>
      <c r="E53">
        <v>2</v>
      </c>
      <c r="F53">
        <v>3</v>
      </c>
      <c r="G53">
        <v>5</v>
      </c>
      <c r="H53">
        <v>2</v>
      </c>
      <c r="I53">
        <v>9</v>
      </c>
      <c r="J53">
        <v>0.45</v>
      </c>
      <c r="K53">
        <v>63.06</v>
      </c>
      <c r="L53">
        <v>52.09</v>
      </c>
      <c r="M53">
        <v>54.77</v>
      </c>
      <c r="N53">
        <v>46.95</v>
      </c>
      <c r="O53">
        <v>40.76</v>
      </c>
      <c r="P53">
        <v>53.53</v>
      </c>
      <c r="Q53">
        <v>32.229999999999997</v>
      </c>
      <c r="R53">
        <v>28.38</v>
      </c>
      <c r="S53">
        <v>53.18</v>
      </c>
      <c r="T53">
        <v>2.4500000000000002</v>
      </c>
      <c r="U53">
        <v>2.34</v>
      </c>
      <c r="V53">
        <v>51.22</v>
      </c>
      <c r="W53">
        <v>2.48</v>
      </c>
      <c r="X53">
        <v>2.5</v>
      </c>
      <c r="Y53">
        <v>49.81</v>
      </c>
      <c r="Z53">
        <v>29.66</v>
      </c>
      <c r="AA53">
        <v>25.58</v>
      </c>
      <c r="AB53">
        <v>53.7</v>
      </c>
      <c r="AC53">
        <v>17.05</v>
      </c>
      <c r="AD53">
        <v>15.18</v>
      </c>
      <c r="AE53">
        <v>52.9</v>
      </c>
      <c r="AF53">
        <v>2.1</v>
      </c>
      <c r="AG53">
        <v>2.34</v>
      </c>
      <c r="AH53">
        <v>47.37</v>
      </c>
      <c r="AI53">
        <v>12.33</v>
      </c>
      <c r="AJ53">
        <v>84.62</v>
      </c>
      <c r="AK53">
        <v>10.39</v>
      </c>
      <c r="AL53">
        <v>10.16</v>
      </c>
      <c r="AM53">
        <v>50.57</v>
      </c>
      <c r="AN53">
        <v>7.47</v>
      </c>
      <c r="AO53">
        <v>7.47</v>
      </c>
      <c r="AP53">
        <v>50</v>
      </c>
      <c r="AQ53">
        <v>1.17</v>
      </c>
      <c r="AR53">
        <v>1.52</v>
      </c>
      <c r="AS53">
        <v>43.48</v>
      </c>
      <c r="AT53">
        <v>15.63</v>
      </c>
      <c r="AU53">
        <v>79.69</v>
      </c>
      <c r="AV53">
        <v>19.27</v>
      </c>
      <c r="AW53">
        <v>15.42</v>
      </c>
      <c r="AX53">
        <v>55.56</v>
      </c>
      <c r="AY53">
        <v>9.58</v>
      </c>
      <c r="AZ53">
        <v>7.71</v>
      </c>
      <c r="BA53">
        <v>55.41</v>
      </c>
      <c r="BB53">
        <v>0.93</v>
      </c>
      <c r="BC53">
        <v>0.82</v>
      </c>
      <c r="BD53">
        <v>53.33</v>
      </c>
      <c r="BE53">
        <v>9.76</v>
      </c>
      <c r="BF53">
        <v>89.39</v>
      </c>
      <c r="BG53">
        <v>30.48</v>
      </c>
      <c r="BH53">
        <v>22.89</v>
      </c>
      <c r="BI53">
        <v>57.11</v>
      </c>
      <c r="BJ53">
        <v>14.6</v>
      </c>
      <c r="BK53">
        <v>11.91</v>
      </c>
      <c r="BL53">
        <v>55.07</v>
      </c>
      <c r="BM53">
        <v>0.35</v>
      </c>
      <c r="BN53">
        <v>0</v>
      </c>
      <c r="BO53">
        <v>100</v>
      </c>
      <c r="BP53">
        <v>2.4</v>
      </c>
      <c r="BQ53">
        <v>100</v>
      </c>
      <c r="BR53">
        <v>7.61</v>
      </c>
      <c r="BS53">
        <v>91.77</v>
      </c>
      <c r="BT53">
        <v>0.99399999999999999</v>
      </c>
    </row>
    <row r="54" spans="1:72" x14ac:dyDescent="0.35">
      <c r="A54">
        <v>17</v>
      </c>
      <c r="B54" t="s">
        <v>54</v>
      </c>
      <c r="C54">
        <v>10</v>
      </c>
      <c r="D54">
        <v>51.4</v>
      </c>
      <c r="E54">
        <v>7</v>
      </c>
      <c r="F54">
        <v>2</v>
      </c>
      <c r="G54">
        <v>1</v>
      </c>
      <c r="H54">
        <v>7</v>
      </c>
      <c r="I54">
        <v>15</v>
      </c>
      <c r="J54">
        <v>0.75</v>
      </c>
      <c r="K54">
        <v>57.08</v>
      </c>
      <c r="L54">
        <v>58.26</v>
      </c>
      <c r="M54">
        <v>49.49</v>
      </c>
      <c r="N54">
        <v>43.11</v>
      </c>
      <c r="O54">
        <v>45.47</v>
      </c>
      <c r="P54">
        <v>48.66</v>
      </c>
      <c r="Q54">
        <v>32.57</v>
      </c>
      <c r="R54">
        <v>33.159999999999997</v>
      </c>
      <c r="S54">
        <v>49.55</v>
      </c>
      <c r="T54">
        <v>3.43</v>
      </c>
      <c r="U54">
        <v>2.0099999999999998</v>
      </c>
      <c r="V54">
        <v>63.04</v>
      </c>
      <c r="W54">
        <v>2.83</v>
      </c>
      <c r="X54">
        <v>2.5499999999999998</v>
      </c>
      <c r="Y54">
        <v>52.53</v>
      </c>
      <c r="Z54">
        <v>29.37</v>
      </c>
      <c r="AA54">
        <v>27</v>
      </c>
      <c r="AB54">
        <v>52.1</v>
      </c>
      <c r="AC54">
        <v>18.71</v>
      </c>
      <c r="AD54">
        <v>16.82</v>
      </c>
      <c r="AE54">
        <v>52.67</v>
      </c>
      <c r="AF54">
        <v>2.72</v>
      </c>
      <c r="AG54">
        <v>1.78</v>
      </c>
      <c r="AH54">
        <v>60.53</v>
      </c>
      <c r="AI54">
        <v>14.56</v>
      </c>
      <c r="AJ54">
        <v>89.44</v>
      </c>
      <c r="AK54">
        <v>13.5</v>
      </c>
      <c r="AL54">
        <v>11.37</v>
      </c>
      <c r="AM54">
        <v>54.29</v>
      </c>
      <c r="AN54">
        <v>10.42</v>
      </c>
      <c r="AO54">
        <v>8.5299999999999994</v>
      </c>
      <c r="AP54">
        <v>55</v>
      </c>
      <c r="AQ54">
        <v>1.78</v>
      </c>
      <c r="AR54">
        <v>0.83</v>
      </c>
      <c r="AS54">
        <v>68.180000000000007</v>
      </c>
      <c r="AT54">
        <v>17.05</v>
      </c>
      <c r="AU54">
        <v>90.28</v>
      </c>
      <c r="AV54">
        <v>15.87</v>
      </c>
      <c r="AW54">
        <v>15.63</v>
      </c>
      <c r="AX54">
        <v>50.38</v>
      </c>
      <c r="AY54">
        <v>8.2899999999999991</v>
      </c>
      <c r="AZ54">
        <v>8.2899999999999991</v>
      </c>
      <c r="BA54">
        <v>50</v>
      </c>
      <c r="BB54">
        <v>0.95</v>
      </c>
      <c r="BC54">
        <v>0.95</v>
      </c>
      <c r="BD54">
        <v>50</v>
      </c>
      <c r="BE54">
        <v>11.43</v>
      </c>
      <c r="BF54">
        <v>88.57</v>
      </c>
      <c r="BG54">
        <v>23.92</v>
      </c>
      <c r="BH54">
        <v>27.95</v>
      </c>
      <c r="BI54">
        <v>46.12</v>
      </c>
      <c r="BJ54">
        <v>12.2</v>
      </c>
      <c r="BK54">
        <v>15.39</v>
      </c>
      <c r="BL54">
        <v>44.21</v>
      </c>
      <c r="BM54">
        <v>0.47</v>
      </c>
      <c r="BN54">
        <v>0.24</v>
      </c>
      <c r="BO54">
        <v>66.67</v>
      </c>
      <c r="BP54">
        <v>3.88</v>
      </c>
      <c r="BQ54">
        <v>98.46</v>
      </c>
      <c r="BR54">
        <v>10.55</v>
      </c>
      <c r="BS54">
        <v>93.93</v>
      </c>
      <c r="BT54">
        <v>1.0449999999999999</v>
      </c>
    </row>
    <row r="55" spans="1:72" x14ac:dyDescent="0.35">
      <c r="A55">
        <v>18</v>
      </c>
      <c r="B55" t="s">
        <v>55</v>
      </c>
      <c r="C55">
        <v>10</v>
      </c>
      <c r="D55">
        <v>51.06</v>
      </c>
      <c r="E55">
        <v>5</v>
      </c>
      <c r="F55">
        <v>4</v>
      </c>
      <c r="G55">
        <v>1</v>
      </c>
      <c r="H55">
        <v>3</v>
      </c>
      <c r="I55">
        <v>11</v>
      </c>
      <c r="J55">
        <v>0.55000000000000004</v>
      </c>
      <c r="K55">
        <v>49.78</v>
      </c>
      <c r="L55">
        <v>57.76</v>
      </c>
      <c r="M55">
        <v>46.29</v>
      </c>
      <c r="N55">
        <v>38.86</v>
      </c>
      <c r="O55">
        <v>43.55</v>
      </c>
      <c r="P55">
        <v>47.15</v>
      </c>
      <c r="Q55">
        <v>27.47</v>
      </c>
      <c r="R55">
        <v>33.11</v>
      </c>
      <c r="S55">
        <v>45.35</v>
      </c>
      <c r="T55">
        <v>1.53</v>
      </c>
      <c r="U55">
        <v>2.58</v>
      </c>
      <c r="V55">
        <v>37.14</v>
      </c>
      <c r="W55">
        <v>2.23</v>
      </c>
      <c r="X55">
        <v>2.54</v>
      </c>
      <c r="Y55">
        <v>46.7</v>
      </c>
      <c r="Z55">
        <v>24.77</v>
      </c>
      <c r="AA55">
        <v>27.82</v>
      </c>
      <c r="AB55">
        <v>47.1</v>
      </c>
      <c r="AC55">
        <v>15.38</v>
      </c>
      <c r="AD55">
        <v>16.91</v>
      </c>
      <c r="AE55">
        <v>47.64</v>
      </c>
      <c r="AF55">
        <v>0.94</v>
      </c>
      <c r="AG55">
        <v>1.76</v>
      </c>
      <c r="AH55">
        <v>34.78</v>
      </c>
      <c r="AI55">
        <v>6.11</v>
      </c>
      <c r="AJ55">
        <v>89.58</v>
      </c>
      <c r="AK55">
        <v>9.98</v>
      </c>
      <c r="AL55">
        <v>11.62</v>
      </c>
      <c r="AM55">
        <v>46.2</v>
      </c>
      <c r="AN55">
        <v>7.63</v>
      </c>
      <c r="AO55">
        <v>8.4499999999999993</v>
      </c>
      <c r="AP55">
        <v>47.45</v>
      </c>
      <c r="AQ55">
        <v>0.59</v>
      </c>
      <c r="AR55">
        <v>1.41</v>
      </c>
      <c r="AS55">
        <v>29.41</v>
      </c>
      <c r="AT55">
        <v>7.69</v>
      </c>
      <c r="AU55">
        <v>83.33</v>
      </c>
      <c r="AV55">
        <v>14.79</v>
      </c>
      <c r="AW55">
        <v>16.2</v>
      </c>
      <c r="AX55">
        <v>47.73</v>
      </c>
      <c r="AY55">
        <v>7.75</v>
      </c>
      <c r="AZ55">
        <v>8.4499999999999993</v>
      </c>
      <c r="BA55">
        <v>47.83</v>
      </c>
      <c r="BB55">
        <v>0.35</v>
      </c>
      <c r="BC55">
        <v>0.35</v>
      </c>
      <c r="BD55">
        <v>50</v>
      </c>
      <c r="BE55">
        <v>4.55</v>
      </c>
      <c r="BF55">
        <v>95.83</v>
      </c>
      <c r="BG55">
        <v>21.95</v>
      </c>
      <c r="BH55">
        <v>26.77</v>
      </c>
      <c r="BI55">
        <v>45.06</v>
      </c>
      <c r="BJ55">
        <v>11.39</v>
      </c>
      <c r="BK55">
        <v>15.26</v>
      </c>
      <c r="BL55">
        <v>42.73</v>
      </c>
      <c r="BM55">
        <v>0.47</v>
      </c>
      <c r="BN55">
        <v>0.59</v>
      </c>
      <c r="BO55">
        <v>44.44</v>
      </c>
      <c r="BP55">
        <v>4.12</v>
      </c>
      <c r="BQ55">
        <v>96.15</v>
      </c>
      <c r="BR55">
        <v>5.56</v>
      </c>
      <c r="BS55">
        <v>92.2</v>
      </c>
      <c r="BT55">
        <v>0.97799999999999998</v>
      </c>
    </row>
    <row r="56" spans="1:72" x14ac:dyDescent="0.35">
      <c r="A56">
        <v>19</v>
      </c>
      <c r="B56" t="s">
        <v>56</v>
      </c>
      <c r="C56">
        <v>10</v>
      </c>
      <c r="D56">
        <v>52.08</v>
      </c>
      <c r="E56">
        <v>7</v>
      </c>
      <c r="F56">
        <v>3</v>
      </c>
      <c r="G56">
        <v>0</v>
      </c>
      <c r="H56">
        <v>6</v>
      </c>
      <c r="I56">
        <v>14</v>
      </c>
      <c r="J56">
        <v>0.7</v>
      </c>
      <c r="K56">
        <v>51.33</v>
      </c>
      <c r="L56">
        <v>50.29</v>
      </c>
      <c r="M56">
        <v>50.51</v>
      </c>
      <c r="N56">
        <v>38.090000000000003</v>
      </c>
      <c r="O56">
        <v>36.369999999999997</v>
      </c>
      <c r="P56">
        <v>51.16</v>
      </c>
      <c r="Q56">
        <v>26.93</v>
      </c>
      <c r="R56">
        <v>26.12</v>
      </c>
      <c r="S56">
        <v>50.76</v>
      </c>
      <c r="T56">
        <v>2.0699999999999998</v>
      </c>
      <c r="U56">
        <v>1.38</v>
      </c>
      <c r="V56">
        <v>60</v>
      </c>
      <c r="W56">
        <v>2.2200000000000002</v>
      </c>
      <c r="X56">
        <v>1.98</v>
      </c>
      <c r="Y56">
        <v>52.94</v>
      </c>
      <c r="Z56">
        <v>23.94</v>
      </c>
      <c r="AA56">
        <v>21.75</v>
      </c>
      <c r="AB56">
        <v>52.39</v>
      </c>
      <c r="AC56">
        <v>14.39</v>
      </c>
      <c r="AD56">
        <v>12.54</v>
      </c>
      <c r="AE56">
        <v>53.42</v>
      </c>
      <c r="AF56">
        <v>1.5</v>
      </c>
      <c r="AG56">
        <v>1.27</v>
      </c>
      <c r="AH56">
        <v>54.17</v>
      </c>
      <c r="AI56">
        <v>10.4</v>
      </c>
      <c r="AJ56">
        <v>89.91</v>
      </c>
      <c r="AK56">
        <v>10.130000000000001</v>
      </c>
      <c r="AL56">
        <v>7.25</v>
      </c>
      <c r="AM56">
        <v>58.28</v>
      </c>
      <c r="AN56">
        <v>7.6</v>
      </c>
      <c r="AO56">
        <v>5.64</v>
      </c>
      <c r="AP56">
        <v>57.39</v>
      </c>
      <c r="AQ56">
        <v>1.1499999999999999</v>
      </c>
      <c r="AR56">
        <v>0.92</v>
      </c>
      <c r="AS56">
        <v>55.56</v>
      </c>
      <c r="AT56">
        <v>15.15</v>
      </c>
      <c r="AU56">
        <v>83.67</v>
      </c>
      <c r="AV56">
        <v>13.81</v>
      </c>
      <c r="AW56">
        <v>14.5</v>
      </c>
      <c r="AX56">
        <v>48.78</v>
      </c>
      <c r="AY56">
        <v>6.79</v>
      </c>
      <c r="AZ56">
        <v>6.9</v>
      </c>
      <c r="BA56">
        <v>49.58</v>
      </c>
      <c r="BB56">
        <v>0.35</v>
      </c>
      <c r="BC56">
        <v>0.35</v>
      </c>
      <c r="BD56">
        <v>50</v>
      </c>
      <c r="BE56">
        <v>5.08</v>
      </c>
      <c r="BF56">
        <v>95</v>
      </c>
      <c r="BG56">
        <v>24.17</v>
      </c>
      <c r="BH56">
        <v>24.97</v>
      </c>
      <c r="BI56">
        <v>49.18</v>
      </c>
      <c r="BJ56">
        <v>11.97</v>
      </c>
      <c r="BK56">
        <v>12.77</v>
      </c>
      <c r="BL56">
        <v>48.37</v>
      </c>
      <c r="BM56">
        <v>0.57999999999999996</v>
      </c>
      <c r="BN56">
        <v>0.12</v>
      </c>
      <c r="BO56">
        <v>83.33</v>
      </c>
      <c r="BP56">
        <v>4.8099999999999996</v>
      </c>
      <c r="BQ56">
        <v>99.1</v>
      </c>
      <c r="BR56">
        <v>7.69</v>
      </c>
      <c r="BS56">
        <v>94.71</v>
      </c>
      <c r="BT56">
        <v>1.024</v>
      </c>
    </row>
    <row r="57" spans="1:72" x14ac:dyDescent="0.35">
      <c r="A57">
        <v>20</v>
      </c>
      <c r="B57" t="s">
        <v>57</v>
      </c>
      <c r="C57">
        <v>10</v>
      </c>
      <c r="D57">
        <v>48.41</v>
      </c>
      <c r="E57">
        <v>5</v>
      </c>
      <c r="F57">
        <v>5</v>
      </c>
      <c r="G57">
        <v>0</v>
      </c>
      <c r="H57">
        <v>5</v>
      </c>
      <c r="I57">
        <v>10</v>
      </c>
      <c r="J57">
        <v>0.5</v>
      </c>
      <c r="K57">
        <v>49.58</v>
      </c>
      <c r="L57">
        <v>53.48</v>
      </c>
      <c r="M57">
        <v>48.11</v>
      </c>
      <c r="N57">
        <v>37.5</v>
      </c>
      <c r="O57">
        <v>39.770000000000003</v>
      </c>
      <c r="P57">
        <v>48.53</v>
      </c>
      <c r="Q57">
        <v>27.81</v>
      </c>
      <c r="R57">
        <v>27.31</v>
      </c>
      <c r="S57">
        <v>50.46</v>
      </c>
      <c r="T57">
        <v>2.77</v>
      </c>
      <c r="U57">
        <v>2.52</v>
      </c>
      <c r="V57">
        <v>52.38</v>
      </c>
      <c r="W57">
        <v>2.14</v>
      </c>
      <c r="X57">
        <v>2.13</v>
      </c>
      <c r="Y57">
        <v>50.13</v>
      </c>
      <c r="Z57">
        <v>22.02</v>
      </c>
      <c r="AA57">
        <v>24.04</v>
      </c>
      <c r="AB57">
        <v>47.81</v>
      </c>
      <c r="AC57">
        <v>13.46</v>
      </c>
      <c r="AD57">
        <v>13.09</v>
      </c>
      <c r="AE57">
        <v>50.71</v>
      </c>
      <c r="AF57">
        <v>1.89</v>
      </c>
      <c r="AG57">
        <v>1.64</v>
      </c>
      <c r="AH57">
        <v>53.57</v>
      </c>
      <c r="AI57">
        <v>14.02</v>
      </c>
      <c r="AJ57">
        <v>87.5</v>
      </c>
      <c r="AK57">
        <v>8.43</v>
      </c>
      <c r="AL57">
        <v>7.93</v>
      </c>
      <c r="AM57">
        <v>51.54</v>
      </c>
      <c r="AN57">
        <v>6.42</v>
      </c>
      <c r="AO57">
        <v>5.41</v>
      </c>
      <c r="AP57">
        <v>54.26</v>
      </c>
      <c r="AQ57">
        <v>1.1299999999999999</v>
      </c>
      <c r="AR57">
        <v>1.01</v>
      </c>
      <c r="AS57">
        <v>52.94</v>
      </c>
      <c r="AT57">
        <v>17.649999999999999</v>
      </c>
      <c r="AU57">
        <v>81.400000000000006</v>
      </c>
      <c r="AV57">
        <v>13.59</v>
      </c>
      <c r="AW57">
        <v>16.11</v>
      </c>
      <c r="AX57">
        <v>45.76</v>
      </c>
      <c r="AY57">
        <v>7.05</v>
      </c>
      <c r="AZ57">
        <v>7.68</v>
      </c>
      <c r="BA57">
        <v>47.86</v>
      </c>
      <c r="BB57">
        <v>0.76</v>
      </c>
      <c r="BC57">
        <v>0.63</v>
      </c>
      <c r="BD57">
        <v>54.55</v>
      </c>
      <c r="BE57">
        <v>10.71</v>
      </c>
      <c r="BF57">
        <v>91.8</v>
      </c>
      <c r="BG57">
        <v>23.66</v>
      </c>
      <c r="BH57">
        <v>26.43</v>
      </c>
      <c r="BI57">
        <v>47.24</v>
      </c>
      <c r="BJ57">
        <v>12.33</v>
      </c>
      <c r="BK57">
        <v>12.71</v>
      </c>
      <c r="BL57">
        <v>49.25</v>
      </c>
      <c r="BM57">
        <v>0.76</v>
      </c>
      <c r="BN57">
        <v>0.76</v>
      </c>
      <c r="BO57">
        <v>50</v>
      </c>
      <c r="BP57">
        <v>6.12</v>
      </c>
      <c r="BQ57">
        <v>94.06</v>
      </c>
      <c r="BR57">
        <v>9.9499999999999993</v>
      </c>
      <c r="BS57">
        <v>90.78</v>
      </c>
      <c r="BT57">
        <v>1.0069999999999999</v>
      </c>
    </row>
    <row r="58" spans="1:72" x14ac:dyDescent="0.35">
      <c r="A58">
        <v>21</v>
      </c>
      <c r="B58" t="s">
        <v>58</v>
      </c>
      <c r="C58">
        <v>10</v>
      </c>
      <c r="D58">
        <v>51.01</v>
      </c>
      <c r="E58">
        <v>3</v>
      </c>
      <c r="F58">
        <v>7</v>
      </c>
      <c r="G58">
        <v>0</v>
      </c>
      <c r="H58">
        <v>2</v>
      </c>
      <c r="I58">
        <v>6</v>
      </c>
      <c r="J58">
        <v>0.3</v>
      </c>
      <c r="K58">
        <v>55.98</v>
      </c>
      <c r="L58">
        <v>57.39</v>
      </c>
      <c r="M58">
        <v>49.38</v>
      </c>
      <c r="N58">
        <v>41.52</v>
      </c>
      <c r="O58">
        <v>43.63</v>
      </c>
      <c r="P58">
        <v>48.76</v>
      </c>
      <c r="Q58">
        <v>29.05</v>
      </c>
      <c r="R58">
        <v>31.75</v>
      </c>
      <c r="S58">
        <v>47.78</v>
      </c>
      <c r="T58">
        <v>2.4700000000000002</v>
      </c>
      <c r="U58">
        <v>4</v>
      </c>
      <c r="V58">
        <v>38.18</v>
      </c>
      <c r="W58">
        <v>2.12</v>
      </c>
      <c r="X58">
        <v>2.83</v>
      </c>
      <c r="Y58">
        <v>42.86</v>
      </c>
      <c r="Z58">
        <v>26.93</v>
      </c>
      <c r="AA58">
        <v>31.05</v>
      </c>
      <c r="AB58">
        <v>46.45</v>
      </c>
      <c r="AC58">
        <v>14.82</v>
      </c>
      <c r="AD58">
        <v>19.170000000000002</v>
      </c>
      <c r="AE58">
        <v>43.6</v>
      </c>
      <c r="AF58">
        <v>1.88</v>
      </c>
      <c r="AG58">
        <v>3.65</v>
      </c>
      <c r="AH58">
        <v>34.04</v>
      </c>
      <c r="AI58">
        <v>12.7</v>
      </c>
      <c r="AJ58">
        <v>80.98</v>
      </c>
      <c r="AK58">
        <v>9.17</v>
      </c>
      <c r="AL58">
        <v>13.52</v>
      </c>
      <c r="AM58">
        <v>40.409999999999997</v>
      </c>
      <c r="AN58">
        <v>6.23</v>
      </c>
      <c r="AO58">
        <v>10.47</v>
      </c>
      <c r="AP58">
        <v>37.32</v>
      </c>
      <c r="AQ58">
        <v>1.29</v>
      </c>
      <c r="AR58">
        <v>1.53</v>
      </c>
      <c r="AS58">
        <v>45.83</v>
      </c>
      <c r="AT58">
        <v>20.75</v>
      </c>
      <c r="AU58">
        <v>85.39</v>
      </c>
      <c r="AV58">
        <v>17.760000000000002</v>
      </c>
      <c r="AW58">
        <v>17.52</v>
      </c>
      <c r="AX58">
        <v>50.33</v>
      </c>
      <c r="AY58">
        <v>8.59</v>
      </c>
      <c r="AZ58">
        <v>8.6999999999999993</v>
      </c>
      <c r="BA58">
        <v>49.66</v>
      </c>
      <c r="BB58">
        <v>0.59</v>
      </c>
      <c r="BC58">
        <v>2.12</v>
      </c>
      <c r="BD58">
        <v>21.74</v>
      </c>
      <c r="BE58">
        <v>6.85</v>
      </c>
      <c r="BF58">
        <v>75.680000000000007</v>
      </c>
      <c r="BG58">
        <v>25.05</v>
      </c>
      <c r="BH58">
        <v>23.76</v>
      </c>
      <c r="BI58">
        <v>51.33</v>
      </c>
      <c r="BJ58">
        <v>12.58</v>
      </c>
      <c r="BK58">
        <v>12.23</v>
      </c>
      <c r="BL58">
        <v>50.71</v>
      </c>
      <c r="BM58">
        <v>0.59</v>
      </c>
      <c r="BN58">
        <v>0.35</v>
      </c>
      <c r="BO58">
        <v>62.5</v>
      </c>
      <c r="BP58">
        <v>4.67</v>
      </c>
      <c r="BQ58">
        <v>97.12</v>
      </c>
      <c r="BR58">
        <v>8.5</v>
      </c>
      <c r="BS58">
        <v>87.41</v>
      </c>
      <c r="BT58">
        <v>0.95899999999999996</v>
      </c>
    </row>
    <row r="59" spans="1:72" x14ac:dyDescent="0.35">
      <c r="A59">
        <v>22</v>
      </c>
      <c r="B59" t="s">
        <v>59</v>
      </c>
      <c r="C59">
        <v>10</v>
      </c>
      <c r="D59">
        <v>50.42</v>
      </c>
      <c r="E59">
        <v>5</v>
      </c>
      <c r="F59">
        <v>5</v>
      </c>
      <c r="G59">
        <v>0</v>
      </c>
      <c r="H59">
        <v>5</v>
      </c>
      <c r="I59">
        <v>10</v>
      </c>
      <c r="J59">
        <v>0.5</v>
      </c>
      <c r="K59">
        <v>50.35</v>
      </c>
      <c r="L59">
        <v>48.3</v>
      </c>
      <c r="M59">
        <v>51.04</v>
      </c>
      <c r="N59">
        <v>38.76</v>
      </c>
      <c r="O59">
        <v>37.07</v>
      </c>
      <c r="P59">
        <v>51.11</v>
      </c>
      <c r="Q59">
        <v>28.74</v>
      </c>
      <c r="R59">
        <v>27.29</v>
      </c>
      <c r="S59">
        <v>51.29</v>
      </c>
      <c r="T59">
        <v>2.78</v>
      </c>
      <c r="U59">
        <v>4.1100000000000003</v>
      </c>
      <c r="V59">
        <v>40.35</v>
      </c>
      <c r="W59">
        <v>2.2000000000000002</v>
      </c>
      <c r="X59">
        <v>2.2000000000000002</v>
      </c>
      <c r="Y59">
        <v>50.02</v>
      </c>
      <c r="Z59">
        <v>23.06</v>
      </c>
      <c r="AA59">
        <v>25.72</v>
      </c>
      <c r="AB59">
        <v>47.28</v>
      </c>
      <c r="AC59">
        <v>14.25</v>
      </c>
      <c r="AD59">
        <v>15.45</v>
      </c>
      <c r="AE59">
        <v>47.97</v>
      </c>
      <c r="AF59">
        <v>2.54</v>
      </c>
      <c r="AG59">
        <v>3.38</v>
      </c>
      <c r="AH59">
        <v>42.86</v>
      </c>
      <c r="AI59">
        <v>17.8</v>
      </c>
      <c r="AJ59">
        <v>78.13</v>
      </c>
      <c r="AK59">
        <v>10.02</v>
      </c>
      <c r="AL59">
        <v>10.75</v>
      </c>
      <c r="AM59">
        <v>48.26</v>
      </c>
      <c r="AN59">
        <v>8.69</v>
      </c>
      <c r="AO59">
        <v>8.57</v>
      </c>
      <c r="AP59">
        <v>50.35</v>
      </c>
      <c r="AQ59">
        <v>1.81</v>
      </c>
      <c r="AR59">
        <v>2.0499999999999998</v>
      </c>
      <c r="AS59">
        <v>46.88</v>
      </c>
      <c r="AT59">
        <v>20.83</v>
      </c>
      <c r="AU59">
        <v>76.06</v>
      </c>
      <c r="AV59">
        <v>13.04</v>
      </c>
      <c r="AW59">
        <v>14.97</v>
      </c>
      <c r="AX59">
        <v>46.55</v>
      </c>
      <c r="AY59">
        <v>5.55</v>
      </c>
      <c r="AZ59">
        <v>6.88</v>
      </c>
      <c r="BA59">
        <v>44.66</v>
      </c>
      <c r="BB59">
        <v>0.72</v>
      </c>
      <c r="BC59">
        <v>1.33</v>
      </c>
      <c r="BD59">
        <v>35.29</v>
      </c>
      <c r="BE59">
        <v>13.04</v>
      </c>
      <c r="BF59">
        <v>80.7</v>
      </c>
      <c r="BG59">
        <v>23.3</v>
      </c>
      <c r="BH59">
        <v>19.8</v>
      </c>
      <c r="BI59">
        <v>54.06</v>
      </c>
      <c r="BJ59">
        <v>12.68</v>
      </c>
      <c r="BK59">
        <v>10.63</v>
      </c>
      <c r="BL59">
        <v>54.4</v>
      </c>
      <c r="BM59">
        <v>0.24</v>
      </c>
      <c r="BN59">
        <v>0.6</v>
      </c>
      <c r="BO59">
        <v>28.57</v>
      </c>
      <c r="BP59">
        <v>1.9</v>
      </c>
      <c r="BQ59">
        <v>94.32</v>
      </c>
      <c r="BR59">
        <v>9.66</v>
      </c>
      <c r="BS59">
        <v>84.96</v>
      </c>
      <c r="BT59">
        <v>0.94599999999999995</v>
      </c>
    </row>
    <row r="60" spans="1:72" x14ac:dyDescent="0.35">
      <c r="A60">
        <v>23</v>
      </c>
      <c r="B60" t="s">
        <v>60</v>
      </c>
      <c r="C60">
        <v>10</v>
      </c>
      <c r="D60">
        <v>53.27</v>
      </c>
      <c r="E60">
        <v>6</v>
      </c>
      <c r="F60">
        <v>4</v>
      </c>
      <c r="G60">
        <v>0</v>
      </c>
      <c r="H60">
        <v>5</v>
      </c>
      <c r="I60">
        <v>12</v>
      </c>
      <c r="J60">
        <v>0.6</v>
      </c>
      <c r="K60">
        <v>54.11</v>
      </c>
      <c r="L60">
        <v>53.89</v>
      </c>
      <c r="M60">
        <v>50.1</v>
      </c>
      <c r="N60">
        <v>42.89</v>
      </c>
      <c r="O60">
        <v>39.85</v>
      </c>
      <c r="P60">
        <v>51.83</v>
      </c>
      <c r="Q60">
        <v>30.87</v>
      </c>
      <c r="R60">
        <v>28.18</v>
      </c>
      <c r="S60">
        <v>52.28</v>
      </c>
      <c r="T60">
        <v>2.36</v>
      </c>
      <c r="U60">
        <v>2.02</v>
      </c>
      <c r="V60">
        <v>53.85</v>
      </c>
      <c r="W60">
        <v>2.7</v>
      </c>
      <c r="X60">
        <v>2.61</v>
      </c>
      <c r="Y60">
        <v>50.8</v>
      </c>
      <c r="Z60">
        <v>26.38</v>
      </c>
      <c r="AA60">
        <v>26.83</v>
      </c>
      <c r="AB60">
        <v>49.58</v>
      </c>
      <c r="AC60">
        <v>16.5</v>
      </c>
      <c r="AD60">
        <v>15.72</v>
      </c>
      <c r="AE60">
        <v>51.22</v>
      </c>
      <c r="AF60">
        <v>2.13</v>
      </c>
      <c r="AG60">
        <v>1.68</v>
      </c>
      <c r="AH60">
        <v>55.88</v>
      </c>
      <c r="AI60">
        <v>12.93</v>
      </c>
      <c r="AJ60">
        <v>89.29</v>
      </c>
      <c r="AK60">
        <v>10.44</v>
      </c>
      <c r="AL60">
        <v>11.56</v>
      </c>
      <c r="AM60">
        <v>47.45</v>
      </c>
      <c r="AN60">
        <v>7.97</v>
      </c>
      <c r="AO60">
        <v>8.8699999999999992</v>
      </c>
      <c r="AP60">
        <v>47.33</v>
      </c>
      <c r="AQ60">
        <v>1.1200000000000001</v>
      </c>
      <c r="AR60">
        <v>1.46</v>
      </c>
      <c r="AS60">
        <v>43.48</v>
      </c>
      <c r="AT60">
        <v>14.08</v>
      </c>
      <c r="AU60">
        <v>83.54</v>
      </c>
      <c r="AV60">
        <v>15.94</v>
      </c>
      <c r="AW60">
        <v>15.27</v>
      </c>
      <c r="AX60">
        <v>51.08</v>
      </c>
      <c r="AY60">
        <v>8.5299999999999994</v>
      </c>
      <c r="AZ60">
        <v>6.85</v>
      </c>
      <c r="BA60">
        <v>55.47</v>
      </c>
      <c r="BB60">
        <v>1.01</v>
      </c>
      <c r="BC60">
        <v>0.22</v>
      </c>
      <c r="BD60">
        <v>81.819999999999993</v>
      </c>
      <c r="BE60">
        <v>11.84</v>
      </c>
      <c r="BF60">
        <v>96.72</v>
      </c>
      <c r="BG60">
        <v>23.46</v>
      </c>
      <c r="BH60">
        <v>22.45</v>
      </c>
      <c r="BI60">
        <v>51.1</v>
      </c>
      <c r="BJ60">
        <v>12.01</v>
      </c>
      <c r="BK60">
        <v>10.78</v>
      </c>
      <c r="BL60">
        <v>52.71</v>
      </c>
      <c r="BM60">
        <v>0.11</v>
      </c>
      <c r="BN60">
        <v>0.22</v>
      </c>
      <c r="BO60">
        <v>33.33</v>
      </c>
      <c r="BP60">
        <v>0.93</v>
      </c>
      <c r="BQ60">
        <v>97.92</v>
      </c>
      <c r="BR60">
        <v>7.64</v>
      </c>
      <c r="BS60">
        <v>92.83</v>
      </c>
      <c r="BT60">
        <v>1.0049999999999999</v>
      </c>
    </row>
    <row r="61" spans="1:72" x14ac:dyDescent="0.35">
      <c r="A61">
        <v>24</v>
      </c>
      <c r="B61" t="s">
        <v>61</v>
      </c>
      <c r="C61">
        <v>10</v>
      </c>
      <c r="D61">
        <v>53.52</v>
      </c>
      <c r="E61">
        <v>5</v>
      </c>
      <c r="F61">
        <v>3</v>
      </c>
      <c r="G61">
        <v>2</v>
      </c>
      <c r="H61">
        <v>3</v>
      </c>
      <c r="I61">
        <v>12</v>
      </c>
      <c r="J61">
        <v>0.6</v>
      </c>
      <c r="K61">
        <v>54.7</v>
      </c>
      <c r="L61">
        <v>57.31</v>
      </c>
      <c r="M61">
        <v>48.83</v>
      </c>
      <c r="N61">
        <v>42.67</v>
      </c>
      <c r="O61">
        <v>42.78</v>
      </c>
      <c r="P61">
        <v>49.93</v>
      </c>
      <c r="Q61">
        <v>30.64</v>
      </c>
      <c r="R61">
        <v>31.21</v>
      </c>
      <c r="S61">
        <v>49.54</v>
      </c>
      <c r="T61">
        <v>2.95</v>
      </c>
      <c r="U61">
        <v>2.27</v>
      </c>
      <c r="V61">
        <v>56.52</v>
      </c>
      <c r="W61">
        <v>2.68</v>
      </c>
      <c r="X61">
        <v>2.35</v>
      </c>
      <c r="Y61">
        <v>53.29</v>
      </c>
      <c r="Z61">
        <v>28.48</v>
      </c>
      <c r="AA61">
        <v>27.12</v>
      </c>
      <c r="AB61">
        <v>51.22</v>
      </c>
      <c r="AC61">
        <v>18.61</v>
      </c>
      <c r="AD61">
        <v>15.55</v>
      </c>
      <c r="AE61">
        <v>54.49</v>
      </c>
      <c r="AF61">
        <v>2.84</v>
      </c>
      <c r="AG61">
        <v>1.82</v>
      </c>
      <c r="AH61">
        <v>60.98</v>
      </c>
      <c r="AI61">
        <v>15.24</v>
      </c>
      <c r="AJ61">
        <v>88.32</v>
      </c>
      <c r="AK61">
        <v>12.71</v>
      </c>
      <c r="AL61">
        <v>11.35</v>
      </c>
      <c r="AM61">
        <v>52.83</v>
      </c>
      <c r="AN61">
        <v>10.67</v>
      </c>
      <c r="AO61">
        <v>7.6</v>
      </c>
      <c r="AP61">
        <v>58.39</v>
      </c>
      <c r="AQ61">
        <v>1.93</v>
      </c>
      <c r="AR61">
        <v>1.25</v>
      </c>
      <c r="AS61">
        <v>60.71</v>
      </c>
      <c r="AT61">
        <v>18.09</v>
      </c>
      <c r="AU61">
        <v>83.58</v>
      </c>
      <c r="AV61">
        <v>15.77</v>
      </c>
      <c r="AW61">
        <v>15.77</v>
      </c>
      <c r="AX61">
        <v>50</v>
      </c>
      <c r="AY61">
        <v>7.94</v>
      </c>
      <c r="AZ61">
        <v>7.94</v>
      </c>
      <c r="BA61">
        <v>50</v>
      </c>
      <c r="BB61">
        <v>0.91</v>
      </c>
      <c r="BC61">
        <v>0.56999999999999995</v>
      </c>
      <c r="BD61">
        <v>61.54</v>
      </c>
      <c r="BE61">
        <v>11.43</v>
      </c>
      <c r="BF61">
        <v>92.86</v>
      </c>
      <c r="BG61">
        <v>22.92</v>
      </c>
      <c r="BH61">
        <v>25.19</v>
      </c>
      <c r="BI61">
        <v>47.64</v>
      </c>
      <c r="BJ61">
        <v>11.23</v>
      </c>
      <c r="BK61">
        <v>13.39</v>
      </c>
      <c r="BL61">
        <v>45.62</v>
      </c>
      <c r="BM61">
        <v>0.11</v>
      </c>
      <c r="BN61">
        <v>0.45</v>
      </c>
      <c r="BO61">
        <v>20</v>
      </c>
      <c r="BP61">
        <v>1.01</v>
      </c>
      <c r="BQ61">
        <v>96.61</v>
      </c>
      <c r="BR61">
        <v>9.6300000000000008</v>
      </c>
      <c r="BS61">
        <v>92.73</v>
      </c>
      <c r="BT61">
        <v>1.024</v>
      </c>
    </row>
    <row r="62" spans="1:72" x14ac:dyDescent="0.35">
      <c r="A62">
        <v>25</v>
      </c>
      <c r="B62" t="s">
        <v>62</v>
      </c>
      <c r="C62">
        <v>10</v>
      </c>
      <c r="D62">
        <v>53.39</v>
      </c>
      <c r="E62">
        <v>6</v>
      </c>
      <c r="F62">
        <v>2</v>
      </c>
      <c r="G62">
        <v>2</v>
      </c>
      <c r="H62">
        <v>5</v>
      </c>
      <c r="I62">
        <v>14</v>
      </c>
      <c r="J62">
        <v>0.7</v>
      </c>
      <c r="K62">
        <v>47.07</v>
      </c>
      <c r="L62">
        <v>53.45</v>
      </c>
      <c r="M62">
        <v>46.83</v>
      </c>
      <c r="N62">
        <v>34.53</v>
      </c>
      <c r="O62">
        <v>40.46</v>
      </c>
      <c r="P62">
        <v>46.05</v>
      </c>
      <c r="Q62">
        <v>24.62</v>
      </c>
      <c r="R62">
        <v>27.81</v>
      </c>
      <c r="S62">
        <v>46.96</v>
      </c>
      <c r="T62">
        <v>2.2799999999999998</v>
      </c>
      <c r="U62">
        <v>2.62</v>
      </c>
      <c r="V62">
        <v>46.51</v>
      </c>
      <c r="W62">
        <v>2.06</v>
      </c>
      <c r="X62">
        <v>2.35</v>
      </c>
      <c r="Y62">
        <v>46.67</v>
      </c>
      <c r="Z62">
        <v>23.59</v>
      </c>
      <c r="AA62">
        <v>27.58</v>
      </c>
      <c r="AB62">
        <v>46.1</v>
      </c>
      <c r="AC62">
        <v>13.79</v>
      </c>
      <c r="AD62">
        <v>15.16</v>
      </c>
      <c r="AE62">
        <v>47.64</v>
      </c>
      <c r="AF62">
        <v>1.82</v>
      </c>
      <c r="AG62">
        <v>2.17</v>
      </c>
      <c r="AH62">
        <v>45.71</v>
      </c>
      <c r="AI62">
        <v>13.22</v>
      </c>
      <c r="AJ62">
        <v>85.71</v>
      </c>
      <c r="AK62">
        <v>9.57</v>
      </c>
      <c r="AL62">
        <v>12.31</v>
      </c>
      <c r="AM62">
        <v>43.75</v>
      </c>
      <c r="AN62">
        <v>7.18</v>
      </c>
      <c r="AO62">
        <v>7.98</v>
      </c>
      <c r="AP62">
        <v>47.37</v>
      </c>
      <c r="AQ62">
        <v>1.37</v>
      </c>
      <c r="AR62">
        <v>1.48</v>
      </c>
      <c r="AS62">
        <v>48</v>
      </c>
      <c r="AT62">
        <v>19.05</v>
      </c>
      <c r="AU62">
        <v>81.430000000000007</v>
      </c>
      <c r="AV62">
        <v>14.02</v>
      </c>
      <c r="AW62">
        <v>15.27</v>
      </c>
      <c r="AX62">
        <v>47.86</v>
      </c>
      <c r="AY62">
        <v>6.61</v>
      </c>
      <c r="AZ62">
        <v>7.18</v>
      </c>
      <c r="BA62">
        <v>47.93</v>
      </c>
      <c r="BB62">
        <v>0.46</v>
      </c>
      <c r="BC62">
        <v>0.68</v>
      </c>
      <c r="BD62">
        <v>40</v>
      </c>
      <c r="BE62">
        <v>6.9</v>
      </c>
      <c r="BF62">
        <v>90.48</v>
      </c>
      <c r="BG62">
        <v>20.74</v>
      </c>
      <c r="BH62">
        <v>22.34</v>
      </c>
      <c r="BI62">
        <v>48.15</v>
      </c>
      <c r="BJ62">
        <v>10.14</v>
      </c>
      <c r="BK62">
        <v>11.4</v>
      </c>
      <c r="BL62">
        <v>47.09</v>
      </c>
      <c r="BM62">
        <v>0.34</v>
      </c>
      <c r="BN62">
        <v>0.34</v>
      </c>
      <c r="BO62">
        <v>50</v>
      </c>
      <c r="BP62">
        <v>3.37</v>
      </c>
      <c r="BQ62">
        <v>97</v>
      </c>
      <c r="BR62">
        <v>9.26</v>
      </c>
      <c r="BS62">
        <v>90.57</v>
      </c>
      <c r="BT62">
        <v>0.998</v>
      </c>
    </row>
    <row r="63" spans="1:72" x14ac:dyDescent="0.35">
      <c r="A63">
        <v>26</v>
      </c>
      <c r="B63" t="s">
        <v>63</v>
      </c>
      <c r="C63">
        <v>10</v>
      </c>
      <c r="D63">
        <v>50.24</v>
      </c>
      <c r="E63">
        <v>7</v>
      </c>
      <c r="F63">
        <v>2</v>
      </c>
      <c r="G63">
        <v>1</v>
      </c>
      <c r="H63">
        <v>6</v>
      </c>
      <c r="I63">
        <v>15</v>
      </c>
      <c r="J63">
        <v>0.75</v>
      </c>
      <c r="K63">
        <v>59.41</v>
      </c>
      <c r="L63">
        <v>53.34</v>
      </c>
      <c r="M63">
        <v>52.69</v>
      </c>
      <c r="N63">
        <v>44.05</v>
      </c>
      <c r="O63">
        <v>37.86</v>
      </c>
      <c r="P63">
        <v>53.78</v>
      </c>
      <c r="Q63">
        <v>30.84</v>
      </c>
      <c r="R63">
        <v>26.67</v>
      </c>
      <c r="S63">
        <v>53.62</v>
      </c>
      <c r="T63">
        <v>2.2599999999999998</v>
      </c>
      <c r="U63">
        <v>2.38</v>
      </c>
      <c r="V63">
        <v>48.72</v>
      </c>
      <c r="W63">
        <v>2.69</v>
      </c>
      <c r="X63">
        <v>2.4900000000000002</v>
      </c>
      <c r="Y63">
        <v>52.01</v>
      </c>
      <c r="Z63">
        <v>28.46</v>
      </c>
      <c r="AA63">
        <v>25.95</v>
      </c>
      <c r="AB63">
        <v>52.3</v>
      </c>
      <c r="AC63">
        <v>17.38</v>
      </c>
      <c r="AD63">
        <v>14.64</v>
      </c>
      <c r="AE63">
        <v>54.28</v>
      </c>
      <c r="AF63">
        <v>2.02</v>
      </c>
      <c r="AG63">
        <v>2.02</v>
      </c>
      <c r="AH63">
        <v>50</v>
      </c>
      <c r="AI63">
        <v>11.64</v>
      </c>
      <c r="AJ63">
        <v>86.18</v>
      </c>
      <c r="AK63">
        <v>11.31</v>
      </c>
      <c r="AL63">
        <v>11.31</v>
      </c>
      <c r="AM63">
        <v>50</v>
      </c>
      <c r="AN63">
        <v>8.57</v>
      </c>
      <c r="AO63">
        <v>8.57</v>
      </c>
      <c r="AP63">
        <v>50</v>
      </c>
      <c r="AQ63">
        <v>1.19</v>
      </c>
      <c r="AR63">
        <v>1.43</v>
      </c>
      <c r="AS63">
        <v>45.45</v>
      </c>
      <c r="AT63">
        <v>13.89</v>
      </c>
      <c r="AU63">
        <v>83.33</v>
      </c>
      <c r="AV63">
        <v>17.14</v>
      </c>
      <c r="AW63">
        <v>14.64</v>
      </c>
      <c r="AX63">
        <v>53.93</v>
      </c>
      <c r="AY63">
        <v>8.81</v>
      </c>
      <c r="AZ63">
        <v>6.07</v>
      </c>
      <c r="BA63">
        <v>59.2</v>
      </c>
      <c r="BB63">
        <v>0.83</v>
      </c>
      <c r="BC63">
        <v>0.6</v>
      </c>
      <c r="BD63">
        <v>58.33</v>
      </c>
      <c r="BE63">
        <v>9.4600000000000009</v>
      </c>
      <c r="BF63">
        <v>90.2</v>
      </c>
      <c r="BG63">
        <v>25.48</v>
      </c>
      <c r="BH63">
        <v>23.22</v>
      </c>
      <c r="BI63">
        <v>52.32</v>
      </c>
      <c r="BJ63">
        <v>11.79</v>
      </c>
      <c r="BK63">
        <v>10.24</v>
      </c>
      <c r="BL63">
        <v>53.51</v>
      </c>
      <c r="BM63">
        <v>0.24</v>
      </c>
      <c r="BN63">
        <v>0.36</v>
      </c>
      <c r="BO63">
        <v>40</v>
      </c>
      <c r="BP63">
        <v>2.02</v>
      </c>
      <c r="BQ63">
        <v>96.51</v>
      </c>
      <c r="BR63">
        <v>7.34</v>
      </c>
      <c r="BS63">
        <v>91.07</v>
      </c>
      <c r="BT63">
        <v>0.98399999999999999</v>
      </c>
    </row>
    <row r="64" spans="1:72" x14ac:dyDescent="0.35">
      <c r="A64">
        <v>27</v>
      </c>
      <c r="B64" t="s">
        <v>64</v>
      </c>
      <c r="C64">
        <v>10</v>
      </c>
      <c r="D64">
        <v>53.56</v>
      </c>
      <c r="E64">
        <v>6</v>
      </c>
      <c r="F64">
        <v>3</v>
      </c>
      <c r="G64">
        <v>1</v>
      </c>
      <c r="H64">
        <v>6</v>
      </c>
      <c r="I64">
        <v>13</v>
      </c>
      <c r="J64">
        <v>0.65</v>
      </c>
      <c r="K64">
        <v>49.76</v>
      </c>
      <c r="L64">
        <v>57.01</v>
      </c>
      <c r="M64">
        <v>46.6</v>
      </c>
      <c r="N64">
        <v>37.630000000000003</v>
      </c>
      <c r="O64">
        <v>42.16</v>
      </c>
      <c r="P64">
        <v>47.16</v>
      </c>
      <c r="Q64">
        <v>27.88</v>
      </c>
      <c r="R64">
        <v>30.26</v>
      </c>
      <c r="S64">
        <v>47.95</v>
      </c>
      <c r="T64">
        <v>2.83</v>
      </c>
      <c r="U64">
        <v>1.93</v>
      </c>
      <c r="V64">
        <v>59.52</v>
      </c>
      <c r="W64">
        <v>2.42</v>
      </c>
      <c r="X64">
        <v>2.34</v>
      </c>
      <c r="Y64">
        <v>50.88</v>
      </c>
      <c r="Z64">
        <v>26.18</v>
      </c>
      <c r="AA64">
        <v>25.05</v>
      </c>
      <c r="AB64">
        <v>51.11</v>
      </c>
      <c r="AC64">
        <v>16.77</v>
      </c>
      <c r="AD64">
        <v>13.15</v>
      </c>
      <c r="AE64">
        <v>56.06</v>
      </c>
      <c r="AF64">
        <v>2.27</v>
      </c>
      <c r="AG64">
        <v>1.93</v>
      </c>
      <c r="AH64">
        <v>54.05</v>
      </c>
      <c r="AI64">
        <v>13.51</v>
      </c>
      <c r="AJ64">
        <v>85.34</v>
      </c>
      <c r="AK64">
        <v>9.9700000000000006</v>
      </c>
      <c r="AL64">
        <v>11.9</v>
      </c>
      <c r="AM64">
        <v>45.6</v>
      </c>
      <c r="AN64">
        <v>7.82</v>
      </c>
      <c r="AO64">
        <v>8.16</v>
      </c>
      <c r="AP64">
        <v>48.94</v>
      </c>
      <c r="AQ64">
        <v>1.59</v>
      </c>
      <c r="AR64">
        <v>1.59</v>
      </c>
      <c r="AS64">
        <v>50</v>
      </c>
      <c r="AT64">
        <v>20.29</v>
      </c>
      <c r="AU64">
        <v>80.56</v>
      </c>
      <c r="AV64">
        <v>16.21</v>
      </c>
      <c r="AW64">
        <v>13.15</v>
      </c>
      <c r="AX64">
        <v>55.21</v>
      </c>
      <c r="AY64">
        <v>8.9499999999999993</v>
      </c>
      <c r="AZ64">
        <v>4.99</v>
      </c>
      <c r="BA64">
        <v>64.23</v>
      </c>
      <c r="BB64">
        <v>0.68</v>
      </c>
      <c r="BC64">
        <v>0.34</v>
      </c>
      <c r="BD64">
        <v>66.67</v>
      </c>
      <c r="BE64">
        <v>7.59</v>
      </c>
      <c r="BF64">
        <v>93.18</v>
      </c>
      <c r="BG64">
        <v>20.51</v>
      </c>
      <c r="BH64">
        <v>27.54</v>
      </c>
      <c r="BI64">
        <v>42.69</v>
      </c>
      <c r="BJ64">
        <v>10.31</v>
      </c>
      <c r="BK64">
        <v>15.87</v>
      </c>
      <c r="BL64">
        <v>39.39</v>
      </c>
      <c r="BM64">
        <v>0.56999999999999995</v>
      </c>
      <c r="BN64">
        <v>0</v>
      </c>
      <c r="BO64">
        <v>100</v>
      </c>
      <c r="BP64">
        <v>5.49</v>
      </c>
      <c r="BQ64">
        <v>100</v>
      </c>
      <c r="BR64">
        <v>10.16</v>
      </c>
      <c r="BS64">
        <v>93.63</v>
      </c>
      <c r="BT64">
        <v>1.038</v>
      </c>
    </row>
    <row r="65" spans="1:72" x14ac:dyDescent="0.35">
      <c r="A65">
        <v>28</v>
      </c>
      <c r="B65" t="s">
        <v>65</v>
      </c>
      <c r="C65">
        <v>10</v>
      </c>
      <c r="D65">
        <v>53.31</v>
      </c>
      <c r="E65">
        <v>5</v>
      </c>
      <c r="F65">
        <v>4</v>
      </c>
      <c r="G65">
        <v>1</v>
      </c>
      <c r="H65">
        <v>4</v>
      </c>
      <c r="I65">
        <v>11</v>
      </c>
      <c r="J65">
        <v>0.55000000000000004</v>
      </c>
      <c r="K65">
        <v>46.15</v>
      </c>
      <c r="L65">
        <v>64.319999999999993</v>
      </c>
      <c r="M65">
        <v>41.78</v>
      </c>
      <c r="N65">
        <v>35.99</v>
      </c>
      <c r="O65">
        <v>49.47</v>
      </c>
      <c r="P65">
        <v>42.11</v>
      </c>
      <c r="Q65">
        <v>26.5</v>
      </c>
      <c r="R65">
        <v>34.159999999999997</v>
      </c>
      <c r="S65">
        <v>43.69</v>
      </c>
      <c r="T65">
        <v>2.5099999999999998</v>
      </c>
      <c r="U65">
        <v>2.86</v>
      </c>
      <c r="V65">
        <v>46.81</v>
      </c>
      <c r="W65">
        <v>1.96</v>
      </c>
      <c r="X65">
        <v>2.89</v>
      </c>
      <c r="Y65">
        <v>40.33</v>
      </c>
      <c r="Z65">
        <v>20.79</v>
      </c>
      <c r="AA65">
        <v>33.130000000000003</v>
      </c>
      <c r="AB65">
        <v>38.56</v>
      </c>
      <c r="AC65">
        <v>12.79</v>
      </c>
      <c r="AD65">
        <v>19.88</v>
      </c>
      <c r="AE65">
        <v>39.159999999999997</v>
      </c>
      <c r="AF65">
        <v>2.2799999999999998</v>
      </c>
      <c r="AG65">
        <v>2.5099999999999998</v>
      </c>
      <c r="AH65">
        <v>47.62</v>
      </c>
      <c r="AI65">
        <v>17.86</v>
      </c>
      <c r="AJ65">
        <v>87.36</v>
      </c>
      <c r="AK65">
        <v>9.25</v>
      </c>
      <c r="AL65">
        <v>12.57</v>
      </c>
      <c r="AM65">
        <v>42.41</v>
      </c>
      <c r="AN65">
        <v>6.97</v>
      </c>
      <c r="AO65">
        <v>8.68</v>
      </c>
      <c r="AP65">
        <v>44.53</v>
      </c>
      <c r="AQ65">
        <v>1.37</v>
      </c>
      <c r="AR65">
        <v>1.71</v>
      </c>
      <c r="AS65">
        <v>44.44</v>
      </c>
      <c r="AT65">
        <v>19.670000000000002</v>
      </c>
      <c r="AU65">
        <v>80.260000000000005</v>
      </c>
      <c r="AV65">
        <v>11.54</v>
      </c>
      <c r="AW65">
        <v>20.56</v>
      </c>
      <c r="AX65">
        <v>35.94</v>
      </c>
      <c r="AY65">
        <v>5.83</v>
      </c>
      <c r="AZ65">
        <v>11.2</v>
      </c>
      <c r="BA65">
        <v>34.229999999999997</v>
      </c>
      <c r="BB65">
        <v>0.91</v>
      </c>
      <c r="BC65">
        <v>0.8</v>
      </c>
      <c r="BD65">
        <v>53.33</v>
      </c>
      <c r="BE65">
        <v>15.69</v>
      </c>
      <c r="BF65">
        <v>92.86</v>
      </c>
      <c r="BG65">
        <v>21.48</v>
      </c>
      <c r="BH65">
        <v>28.1</v>
      </c>
      <c r="BI65">
        <v>43.32</v>
      </c>
      <c r="BJ65">
        <v>11.65</v>
      </c>
      <c r="BK65">
        <v>13.59</v>
      </c>
      <c r="BL65">
        <v>46.15</v>
      </c>
      <c r="BM65">
        <v>0.23</v>
      </c>
      <c r="BN65">
        <v>0.23</v>
      </c>
      <c r="BO65">
        <v>50</v>
      </c>
      <c r="BP65">
        <v>1.96</v>
      </c>
      <c r="BQ65">
        <v>98.32</v>
      </c>
      <c r="BR65">
        <v>9.48</v>
      </c>
      <c r="BS65">
        <v>91.64</v>
      </c>
      <c r="BT65">
        <v>1.0109999999999999</v>
      </c>
    </row>
    <row r="66" spans="1:72" x14ac:dyDescent="0.35">
      <c r="A66">
        <v>29</v>
      </c>
      <c r="B66" t="s">
        <v>68</v>
      </c>
      <c r="C66">
        <v>10</v>
      </c>
      <c r="D66">
        <v>52.57</v>
      </c>
      <c r="E66">
        <v>7</v>
      </c>
      <c r="F66">
        <v>3</v>
      </c>
      <c r="G66">
        <v>0</v>
      </c>
      <c r="H66">
        <v>7</v>
      </c>
      <c r="I66">
        <v>14</v>
      </c>
      <c r="J66">
        <v>0.7</v>
      </c>
      <c r="K66">
        <v>59.24</v>
      </c>
      <c r="L66">
        <v>50.12</v>
      </c>
      <c r="M66">
        <v>54.17</v>
      </c>
      <c r="N66">
        <v>42.26</v>
      </c>
      <c r="O66">
        <v>36.380000000000003</v>
      </c>
      <c r="P66">
        <v>53.74</v>
      </c>
      <c r="Q66">
        <v>30.26</v>
      </c>
      <c r="R66">
        <v>27.95</v>
      </c>
      <c r="S66">
        <v>51.98</v>
      </c>
      <c r="T66">
        <v>3.58</v>
      </c>
      <c r="U66">
        <v>1.96</v>
      </c>
      <c r="V66">
        <v>64.58</v>
      </c>
      <c r="W66">
        <v>2.63</v>
      </c>
      <c r="X66">
        <v>2.25</v>
      </c>
      <c r="Y66">
        <v>53.98</v>
      </c>
      <c r="Z66">
        <v>28.98</v>
      </c>
      <c r="AA66">
        <v>24.83</v>
      </c>
      <c r="AB66">
        <v>53.86</v>
      </c>
      <c r="AC66">
        <v>16.86</v>
      </c>
      <c r="AD66">
        <v>16.98</v>
      </c>
      <c r="AE66">
        <v>49.83</v>
      </c>
      <c r="AF66">
        <v>3.23</v>
      </c>
      <c r="AG66">
        <v>1.96</v>
      </c>
      <c r="AH66">
        <v>62.22</v>
      </c>
      <c r="AI66">
        <v>19.18</v>
      </c>
      <c r="AJ66">
        <v>88.44</v>
      </c>
      <c r="AK66">
        <v>10.16</v>
      </c>
      <c r="AL66">
        <v>11.55</v>
      </c>
      <c r="AM66">
        <v>46.81</v>
      </c>
      <c r="AN66">
        <v>7.04</v>
      </c>
      <c r="AO66">
        <v>8.89</v>
      </c>
      <c r="AP66">
        <v>44.2</v>
      </c>
      <c r="AQ66">
        <v>1.85</v>
      </c>
      <c r="AR66">
        <v>1.27</v>
      </c>
      <c r="AS66">
        <v>59.26</v>
      </c>
      <c r="AT66">
        <v>26.23</v>
      </c>
      <c r="AU66">
        <v>85.71</v>
      </c>
      <c r="AV66">
        <v>18.82</v>
      </c>
      <c r="AW66">
        <v>13.28</v>
      </c>
      <c r="AX66">
        <v>58.63</v>
      </c>
      <c r="AY66">
        <v>9.82</v>
      </c>
      <c r="AZ66">
        <v>8.08</v>
      </c>
      <c r="BA66">
        <v>54.84</v>
      </c>
      <c r="BB66">
        <v>1.39</v>
      </c>
      <c r="BC66">
        <v>0.69</v>
      </c>
      <c r="BD66">
        <v>66.67</v>
      </c>
      <c r="BE66">
        <v>14.12</v>
      </c>
      <c r="BF66">
        <v>91.43</v>
      </c>
      <c r="BG66">
        <v>26.56</v>
      </c>
      <c r="BH66">
        <v>21.83</v>
      </c>
      <c r="BI66">
        <v>54.89</v>
      </c>
      <c r="BJ66">
        <v>12.59</v>
      </c>
      <c r="BK66">
        <v>9.6999999999999993</v>
      </c>
      <c r="BL66">
        <v>56.48</v>
      </c>
      <c r="BM66">
        <v>0.35</v>
      </c>
      <c r="BN66">
        <v>0</v>
      </c>
      <c r="BO66">
        <v>100</v>
      </c>
      <c r="BP66">
        <v>2.75</v>
      </c>
      <c r="BQ66">
        <v>100</v>
      </c>
      <c r="BR66">
        <v>11.83</v>
      </c>
      <c r="BS66">
        <v>92.98</v>
      </c>
      <c r="BT66">
        <v>1.048</v>
      </c>
    </row>
    <row r="67" spans="1:72" x14ac:dyDescent="0.35">
      <c r="A67">
        <v>30</v>
      </c>
      <c r="B67" t="s">
        <v>66</v>
      </c>
      <c r="C67">
        <v>10</v>
      </c>
      <c r="D67">
        <v>53.22</v>
      </c>
      <c r="E67">
        <v>6</v>
      </c>
      <c r="F67">
        <v>3</v>
      </c>
      <c r="G67">
        <v>1</v>
      </c>
      <c r="H67">
        <v>6</v>
      </c>
      <c r="I67">
        <v>13</v>
      </c>
      <c r="J67">
        <v>0.65</v>
      </c>
      <c r="K67">
        <v>48.69</v>
      </c>
      <c r="L67">
        <v>60.38</v>
      </c>
      <c r="M67">
        <v>44.64</v>
      </c>
      <c r="N67">
        <v>37.89</v>
      </c>
      <c r="O67">
        <v>43.85</v>
      </c>
      <c r="P67">
        <v>46.35</v>
      </c>
      <c r="Q67">
        <v>27.77</v>
      </c>
      <c r="R67">
        <v>31.15</v>
      </c>
      <c r="S67">
        <v>47.14</v>
      </c>
      <c r="T67">
        <v>2.81</v>
      </c>
      <c r="U67">
        <v>2.81</v>
      </c>
      <c r="V67">
        <v>50</v>
      </c>
      <c r="W67">
        <v>2.11</v>
      </c>
      <c r="X67">
        <v>2.8</v>
      </c>
      <c r="Y67">
        <v>43.05</v>
      </c>
      <c r="Z67">
        <v>23.84</v>
      </c>
      <c r="AA67">
        <v>31.71</v>
      </c>
      <c r="AB67">
        <v>42.91</v>
      </c>
      <c r="AC67">
        <v>13.94</v>
      </c>
      <c r="AD67">
        <v>18.329999999999998</v>
      </c>
      <c r="AE67">
        <v>43.21</v>
      </c>
      <c r="AF67">
        <v>2.4700000000000002</v>
      </c>
      <c r="AG67">
        <v>2.36</v>
      </c>
      <c r="AH67">
        <v>51.16</v>
      </c>
      <c r="AI67">
        <v>17.739999999999998</v>
      </c>
      <c r="AJ67">
        <v>87.12</v>
      </c>
      <c r="AK67">
        <v>9.11</v>
      </c>
      <c r="AL67">
        <v>12.37</v>
      </c>
      <c r="AM67">
        <v>42.41</v>
      </c>
      <c r="AN67">
        <v>6.63</v>
      </c>
      <c r="AO67">
        <v>9.33</v>
      </c>
      <c r="AP67">
        <v>41.55</v>
      </c>
      <c r="AQ67">
        <v>1.8</v>
      </c>
      <c r="AR67">
        <v>1.35</v>
      </c>
      <c r="AS67">
        <v>57.14</v>
      </c>
      <c r="AT67">
        <v>27.12</v>
      </c>
      <c r="AU67">
        <v>85.54</v>
      </c>
      <c r="AV67">
        <v>14.73</v>
      </c>
      <c r="AW67">
        <v>19.34</v>
      </c>
      <c r="AX67">
        <v>43.23</v>
      </c>
      <c r="AY67">
        <v>7.31</v>
      </c>
      <c r="AZ67">
        <v>9</v>
      </c>
      <c r="BA67">
        <v>44.83</v>
      </c>
      <c r="BB67">
        <v>0.67</v>
      </c>
      <c r="BC67">
        <v>1.01</v>
      </c>
      <c r="BD67">
        <v>40</v>
      </c>
      <c r="BE67">
        <v>9.23</v>
      </c>
      <c r="BF67">
        <v>88.75</v>
      </c>
      <c r="BG67">
        <v>21.25</v>
      </c>
      <c r="BH67">
        <v>24.4</v>
      </c>
      <c r="BI67">
        <v>46.55</v>
      </c>
      <c r="BJ67">
        <v>12.37</v>
      </c>
      <c r="BK67">
        <v>11.81</v>
      </c>
      <c r="BL67">
        <v>51.16</v>
      </c>
      <c r="BM67">
        <v>0.22</v>
      </c>
      <c r="BN67">
        <v>0.22</v>
      </c>
      <c r="BO67">
        <v>50</v>
      </c>
      <c r="BP67">
        <v>1.82</v>
      </c>
      <c r="BQ67">
        <v>98.1</v>
      </c>
      <c r="BR67">
        <v>10.119999999999999</v>
      </c>
      <c r="BS67">
        <v>90.97</v>
      </c>
      <c r="BT67">
        <v>1.0109999999999999</v>
      </c>
    </row>
    <row r="68" spans="1:72" x14ac:dyDescent="0.35">
      <c r="A68">
        <v>31</v>
      </c>
      <c r="B68" t="s">
        <v>67</v>
      </c>
      <c r="C68">
        <v>10</v>
      </c>
      <c r="D68">
        <v>51.24</v>
      </c>
      <c r="E68">
        <v>8</v>
      </c>
      <c r="F68">
        <v>2</v>
      </c>
      <c r="G68">
        <v>0</v>
      </c>
      <c r="H68">
        <v>7</v>
      </c>
      <c r="I68">
        <v>16</v>
      </c>
      <c r="J68">
        <v>0.8</v>
      </c>
      <c r="K68">
        <v>46.58</v>
      </c>
      <c r="L68">
        <v>51.95</v>
      </c>
      <c r="M68">
        <v>47.27</v>
      </c>
      <c r="N68">
        <v>36.43</v>
      </c>
      <c r="O68">
        <v>39.93</v>
      </c>
      <c r="P68">
        <v>47.71</v>
      </c>
      <c r="Q68">
        <v>26.62</v>
      </c>
      <c r="R68">
        <v>28.37</v>
      </c>
      <c r="S68">
        <v>48.41</v>
      </c>
      <c r="T68">
        <v>3.85</v>
      </c>
      <c r="U68">
        <v>2.4500000000000002</v>
      </c>
      <c r="V68">
        <v>61.11</v>
      </c>
      <c r="W68">
        <v>2.2799999999999998</v>
      </c>
      <c r="X68">
        <v>1.83</v>
      </c>
      <c r="Y68">
        <v>55.5</v>
      </c>
      <c r="Z68">
        <v>20.55</v>
      </c>
      <c r="AA68">
        <v>20.9</v>
      </c>
      <c r="AB68">
        <v>49.58</v>
      </c>
      <c r="AC68">
        <v>13.43</v>
      </c>
      <c r="AD68">
        <v>12.61</v>
      </c>
      <c r="AE68">
        <v>51.57</v>
      </c>
      <c r="AF68">
        <v>3.39</v>
      </c>
      <c r="AG68">
        <v>1.87</v>
      </c>
      <c r="AH68">
        <v>64.44</v>
      </c>
      <c r="AI68">
        <v>25.22</v>
      </c>
      <c r="AJ68">
        <v>85.19</v>
      </c>
      <c r="AK68">
        <v>8.64</v>
      </c>
      <c r="AL68">
        <v>7.01</v>
      </c>
      <c r="AM68">
        <v>55.22</v>
      </c>
      <c r="AN68">
        <v>7.59</v>
      </c>
      <c r="AO68">
        <v>5.14</v>
      </c>
      <c r="AP68">
        <v>59.63</v>
      </c>
      <c r="AQ68">
        <v>2.1</v>
      </c>
      <c r="AR68">
        <v>0.82</v>
      </c>
      <c r="AS68">
        <v>72</v>
      </c>
      <c r="AT68">
        <v>27.69</v>
      </c>
      <c r="AU68">
        <v>84.09</v>
      </c>
      <c r="AV68">
        <v>11.91</v>
      </c>
      <c r="AW68">
        <v>13.89</v>
      </c>
      <c r="AX68">
        <v>46.15</v>
      </c>
      <c r="AY68">
        <v>5.84</v>
      </c>
      <c r="AZ68">
        <v>7.47</v>
      </c>
      <c r="BA68">
        <v>43.86</v>
      </c>
      <c r="BB68">
        <v>1.28</v>
      </c>
      <c r="BC68">
        <v>1.05</v>
      </c>
      <c r="BD68">
        <v>55</v>
      </c>
      <c r="BE68">
        <v>22</v>
      </c>
      <c r="BF68">
        <v>85.94</v>
      </c>
      <c r="BG68">
        <v>23.58</v>
      </c>
      <c r="BH68">
        <v>27.67</v>
      </c>
      <c r="BI68">
        <v>46.01</v>
      </c>
      <c r="BJ68">
        <v>12.61</v>
      </c>
      <c r="BK68">
        <v>14.71</v>
      </c>
      <c r="BL68">
        <v>46.15</v>
      </c>
      <c r="BM68">
        <v>0.35</v>
      </c>
      <c r="BN68">
        <v>0.47</v>
      </c>
      <c r="BO68">
        <v>42.86</v>
      </c>
      <c r="BP68">
        <v>2.78</v>
      </c>
      <c r="BQ68">
        <v>96.83</v>
      </c>
      <c r="BR68">
        <v>14.47</v>
      </c>
      <c r="BS68">
        <v>91.36</v>
      </c>
      <c r="BT68">
        <v>1.0580000000000001</v>
      </c>
    </row>
    <row r="73" spans="1:72" ht="36" x14ac:dyDescent="0.8">
      <c r="A73" s="10" t="s">
        <v>118</v>
      </c>
    </row>
    <row r="74" spans="1:72" x14ac:dyDescent="0.35">
      <c r="A74" t="s">
        <v>79</v>
      </c>
      <c r="B74" t="s">
        <v>0</v>
      </c>
      <c r="C74" t="s">
        <v>1</v>
      </c>
      <c r="D74" t="s">
        <v>90</v>
      </c>
      <c r="E74" t="s">
        <v>2</v>
      </c>
      <c r="F74" t="s">
        <v>3</v>
      </c>
      <c r="G74" t="s">
        <v>4</v>
      </c>
      <c r="H74" t="s">
        <v>5</v>
      </c>
      <c r="I74" t="s">
        <v>6</v>
      </c>
      <c r="J74" t="s">
        <v>7</v>
      </c>
      <c r="K74" t="s">
        <v>91</v>
      </c>
      <c r="L74" t="s">
        <v>92</v>
      </c>
      <c r="M74" t="s">
        <v>8</v>
      </c>
      <c r="N74" t="s">
        <v>93</v>
      </c>
      <c r="O74" t="s">
        <v>94</v>
      </c>
      <c r="P74" t="s">
        <v>9</v>
      </c>
      <c r="Q74" t="s">
        <v>95</v>
      </c>
      <c r="R74" t="s">
        <v>71</v>
      </c>
      <c r="S74" t="s">
        <v>10</v>
      </c>
      <c r="T74" t="s">
        <v>96</v>
      </c>
      <c r="U74" t="s">
        <v>97</v>
      </c>
      <c r="V74" t="s">
        <v>11</v>
      </c>
      <c r="W74" t="s">
        <v>98</v>
      </c>
      <c r="X74" t="s">
        <v>99</v>
      </c>
      <c r="Y74" t="s">
        <v>14</v>
      </c>
      <c r="Z74" t="s">
        <v>100</v>
      </c>
      <c r="AA74" t="s">
        <v>101</v>
      </c>
      <c r="AB74" t="s">
        <v>15</v>
      </c>
      <c r="AC74" t="s">
        <v>102</v>
      </c>
      <c r="AD74" t="s">
        <v>103</v>
      </c>
      <c r="AE74" t="s">
        <v>16</v>
      </c>
      <c r="AF74" t="s">
        <v>104</v>
      </c>
      <c r="AG74" t="s">
        <v>105</v>
      </c>
      <c r="AH74" t="s">
        <v>17</v>
      </c>
      <c r="AI74" t="s">
        <v>18</v>
      </c>
      <c r="AJ74" t="s">
        <v>19</v>
      </c>
      <c r="AK74" t="s">
        <v>106</v>
      </c>
      <c r="AL74" t="s">
        <v>107</v>
      </c>
      <c r="AM74" t="s">
        <v>20</v>
      </c>
      <c r="AN74" t="s">
        <v>108</v>
      </c>
      <c r="AO74" t="s">
        <v>72</v>
      </c>
      <c r="AP74" t="s">
        <v>21</v>
      </c>
      <c r="AQ74" t="s">
        <v>109</v>
      </c>
      <c r="AR74" t="s">
        <v>73</v>
      </c>
      <c r="AS74" t="s">
        <v>22</v>
      </c>
      <c r="AT74" t="s">
        <v>23</v>
      </c>
      <c r="AU74" t="s">
        <v>24</v>
      </c>
      <c r="AV74" t="s">
        <v>110</v>
      </c>
      <c r="AW74" t="s">
        <v>111</v>
      </c>
      <c r="AX74" t="s">
        <v>25</v>
      </c>
      <c r="AY74" t="s">
        <v>112</v>
      </c>
      <c r="AZ74" t="s">
        <v>77</v>
      </c>
      <c r="BA74" t="s">
        <v>26</v>
      </c>
      <c r="BB74" t="s">
        <v>113</v>
      </c>
      <c r="BC74" t="s">
        <v>74</v>
      </c>
      <c r="BD74" t="s">
        <v>27</v>
      </c>
      <c r="BE74" t="s">
        <v>28</v>
      </c>
      <c r="BF74" t="s">
        <v>29</v>
      </c>
      <c r="BG74" t="s">
        <v>114</v>
      </c>
      <c r="BH74" t="s">
        <v>115</v>
      </c>
      <c r="BI74" t="s">
        <v>30</v>
      </c>
      <c r="BJ74" t="s">
        <v>116</v>
      </c>
      <c r="BK74" t="s">
        <v>75</v>
      </c>
      <c r="BL74" t="s">
        <v>31</v>
      </c>
      <c r="BM74" t="s">
        <v>117</v>
      </c>
      <c r="BN74" t="s">
        <v>76</v>
      </c>
      <c r="BO74" t="s">
        <v>32</v>
      </c>
      <c r="BP74" t="s">
        <v>33</v>
      </c>
      <c r="BQ74" t="s">
        <v>34</v>
      </c>
      <c r="BR74" t="s">
        <v>35</v>
      </c>
      <c r="BS74" t="s">
        <v>36</v>
      </c>
      <c r="BT74" t="s">
        <v>37</v>
      </c>
    </row>
    <row r="75" spans="1:72" x14ac:dyDescent="0.35">
      <c r="A75">
        <v>1</v>
      </c>
      <c r="B75" t="s">
        <v>38</v>
      </c>
      <c r="C75">
        <v>10</v>
      </c>
      <c r="D75">
        <v>5.5</v>
      </c>
      <c r="E75">
        <v>2</v>
      </c>
      <c r="F75">
        <v>7</v>
      </c>
      <c r="G75">
        <v>1</v>
      </c>
      <c r="H75">
        <v>2</v>
      </c>
      <c r="I75">
        <v>5</v>
      </c>
      <c r="J75">
        <v>0.25</v>
      </c>
      <c r="K75">
        <v>98.04</v>
      </c>
      <c r="L75">
        <v>16.13</v>
      </c>
      <c r="M75">
        <v>85.87</v>
      </c>
      <c r="N75">
        <v>70.73</v>
      </c>
      <c r="O75">
        <v>16.13</v>
      </c>
      <c r="P75">
        <v>81.430000000000007</v>
      </c>
      <c r="Q75">
        <v>44.67</v>
      </c>
      <c r="R75">
        <v>11.17</v>
      </c>
      <c r="S75">
        <v>80</v>
      </c>
      <c r="T75">
        <v>2.48</v>
      </c>
      <c r="U75">
        <v>1.24</v>
      </c>
      <c r="V75">
        <v>66.67</v>
      </c>
      <c r="W75">
        <v>5.36</v>
      </c>
      <c r="X75">
        <v>0.97</v>
      </c>
      <c r="Y75">
        <v>84.74</v>
      </c>
      <c r="Z75">
        <v>49.64</v>
      </c>
      <c r="AA75">
        <v>6.2</v>
      </c>
      <c r="AB75">
        <v>88.89</v>
      </c>
      <c r="AC75">
        <v>21.1</v>
      </c>
      <c r="AD75">
        <v>2.48</v>
      </c>
      <c r="AE75">
        <v>89.47</v>
      </c>
      <c r="AF75">
        <v>1.24</v>
      </c>
      <c r="AG75">
        <v>0</v>
      </c>
      <c r="AH75">
        <v>100</v>
      </c>
      <c r="AI75">
        <v>5.88</v>
      </c>
      <c r="AJ75">
        <v>100</v>
      </c>
      <c r="AK75">
        <v>11.17</v>
      </c>
      <c r="AL75">
        <v>2.48</v>
      </c>
      <c r="AM75">
        <v>81.819999999999993</v>
      </c>
      <c r="AN75">
        <v>6.2</v>
      </c>
      <c r="AO75">
        <v>1.24</v>
      </c>
      <c r="AP75">
        <v>83.33</v>
      </c>
      <c r="AQ75">
        <v>1.24</v>
      </c>
      <c r="AR75">
        <v>0</v>
      </c>
      <c r="AS75">
        <v>100</v>
      </c>
      <c r="AT75">
        <v>20</v>
      </c>
      <c r="AU75">
        <v>100</v>
      </c>
      <c r="AV75">
        <v>38.47</v>
      </c>
      <c r="AW75">
        <v>3.72</v>
      </c>
      <c r="AX75">
        <v>91.18</v>
      </c>
      <c r="AY75">
        <v>14.89</v>
      </c>
      <c r="AZ75">
        <v>1.24</v>
      </c>
      <c r="BA75">
        <v>92.31</v>
      </c>
      <c r="BB75">
        <v>0</v>
      </c>
      <c r="BC75">
        <v>0</v>
      </c>
      <c r="BD75" t="s">
        <v>85</v>
      </c>
      <c r="BE75">
        <v>0</v>
      </c>
      <c r="BF75">
        <v>100</v>
      </c>
      <c r="BG75">
        <v>48.4</v>
      </c>
      <c r="BH75">
        <v>0</v>
      </c>
      <c r="BI75">
        <v>100</v>
      </c>
      <c r="BJ75">
        <v>23.58</v>
      </c>
      <c r="BK75">
        <v>0</v>
      </c>
      <c r="BL75">
        <v>100</v>
      </c>
      <c r="BM75">
        <v>1.24</v>
      </c>
      <c r="BN75">
        <v>0</v>
      </c>
      <c r="BO75">
        <v>100</v>
      </c>
      <c r="BP75">
        <v>5.26</v>
      </c>
      <c r="BQ75" t="s">
        <v>85</v>
      </c>
      <c r="BR75">
        <v>5.56</v>
      </c>
      <c r="BS75">
        <v>88.89</v>
      </c>
      <c r="BT75">
        <v>0.94399999999999995</v>
      </c>
    </row>
    <row r="76" spans="1:72" x14ac:dyDescent="0.35">
      <c r="A76">
        <v>2</v>
      </c>
      <c r="B76" t="s">
        <v>39</v>
      </c>
      <c r="C76">
        <v>10</v>
      </c>
      <c r="D76">
        <v>5.25</v>
      </c>
      <c r="E76">
        <v>4</v>
      </c>
      <c r="F76">
        <v>5</v>
      </c>
      <c r="G76">
        <v>1</v>
      </c>
      <c r="H76">
        <v>2</v>
      </c>
      <c r="I76">
        <v>9</v>
      </c>
      <c r="J76">
        <v>0.45</v>
      </c>
      <c r="K76">
        <v>75.3</v>
      </c>
      <c r="L76">
        <v>9.9700000000000006</v>
      </c>
      <c r="M76">
        <v>88.31</v>
      </c>
      <c r="N76">
        <v>58.69</v>
      </c>
      <c r="O76">
        <v>9.9700000000000006</v>
      </c>
      <c r="P76">
        <v>85.48</v>
      </c>
      <c r="Q76">
        <v>36.54</v>
      </c>
      <c r="R76">
        <v>7.75</v>
      </c>
      <c r="S76">
        <v>82.5</v>
      </c>
      <c r="T76">
        <v>5.54</v>
      </c>
      <c r="U76">
        <v>1.1100000000000001</v>
      </c>
      <c r="V76">
        <v>83.33</v>
      </c>
      <c r="W76">
        <v>5.07</v>
      </c>
      <c r="X76">
        <v>0.3</v>
      </c>
      <c r="Y76">
        <v>94.39</v>
      </c>
      <c r="Z76">
        <v>40.97</v>
      </c>
      <c r="AA76">
        <v>2.21</v>
      </c>
      <c r="AB76">
        <v>94.87</v>
      </c>
      <c r="AC76">
        <v>22.15</v>
      </c>
      <c r="AD76">
        <v>2.21</v>
      </c>
      <c r="AE76">
        <v>90.91</v>
      </c>
      <c r="AF76">
        <v>3.32</v>
      </c>
      <c r="AG76">
        <v>1.1100000000000001</v>
      </c>
      <c r="AH76">
        <v>75</v>
      </c>
      <c r="AI76">
        <v>15</v>
      </c>
      <c r="AJ76">
        <v>50</v>
      </c>
      <c r="AK76">
        <v>18.82</v>
      </c>
      <c r="AL76">
        <v>2.21</v>
      </c>
      <c r="AM76">
        <v>89.47</v>
      </c>
      <c r="AN76">
        <v>7.75</v>
      </c>
      <c r="AO76">
        <v>2.21</v>
      </c>
      <c r="AP76">
        <v>77.78</v>
      </c>
      <c r="AQ76">
        <v>1.1100000000000001</v>
      </c>
      <c r="AR76">
        <v>1.1100000000000001</v>
      </c>
      <c r="AS76">
        <v>50</v>
      </c>
      <c r="AT76">
        <v>14.29</v>
      </c>
      <c r="AU76">
        <v>50</v>
      </c>
      <c r="AV76">
        <v>22.15</v>
      </c>
      <c r="AW76">
        <v>0</v>
      </c>
      <c r="AX76">
        <v>100</v>
      </c>
      <c r="AY76">
        <v>14.4</v>
      </c>
      <c r="AZ76">
        <v>0</v>
      </c>
      <c r="BA76">
        <v>100</v>
      </c>
      <c r="BB76">
        <v>2.21</v>
      </c>
      <c r="BC76">
        <v>0</v>
      </c>
      <c r="BD76">
        <v>100</v>
      </c>
      <c r="BE76">
        <v>15.38</v>
      </c>
      <c r="BF76" t="s">
        <v>85</v>
      </c>
      <c r="BG76">
        <v>34.33</v>
      </c>
      <c r="BH76">
        <v>2.21</v>
      </c>
      <c r="BI76">
        <v>93.94</v>
      </c>
      <c r="BJ76">
        <v>14.4</v>
      </c>
      <c r="BK76">
        <v>1.1100000000000001</v>
      </c>
      <c r="BL76">
        <v>92.86</v>
      </c>
      <c r="BM76">
        <v>2.21</v>
      </c>
      <c r="BN76">
        <v>0</v>
      </c>
      <c r="BO76">
        <v>100</v>
      </c>
      <c r="BP76">
        <v>15.38</v>
      </c>
      <c r="BQ76">
        <v>100</v>
      </c>
      <c r="BR76">
        <v>15.15</v>
      </c>
      <c r="BS76">
        <v>85.71</v>
      </c>
      <c r="BT76">
        <v>1.0089999999999999</v>
      </c>
    </row>
    <row r="77" spans="1:72" x14ac:dyDescent="0.35">
      <c r="A77">
        <v>3</v>
      </c>
      <c r="B77" t="s">
        <v>40</v>
      </c>
      <c r="C77">
        <v>10</v>
      </c>
      <c r="D77">
        <v>4.26</v>
      </c>
      <c r="E77">
        <v>6</v>
      </c>
      <c r="F77">
        <v>3</v>
      </c>
      <c r="G77">
        <v>1</v>
      </c>
      <c r="H77">
        <v>6</v>
      </c>
      <c r="I77">
        <v>13</v>
      </c>
      <c r="J77">
        <v>0.65</v>
      </c>
      <c r="K77">
        <v>66.27</v>
      </c>
      <c r="L77">
        <v>14.88</v>
      </c>
      <c r="M77">
        <v>81.67</v>
      </c>
      <c r="N77">
        <v>50.04</v>
      </c>
      <c r="O77">
        <v>10.82</v>
      </c>
      <c r="P77">
        <v>82.22</v>
      </c>
      <c r="Q77">
        <v>39.22</v>
      </c>
      <c r="R77">
        <v>9.4700000000000006</v>
      </c>
      <c r="S77">
        <v>80.56</v>
      </c>
      <c r="T77">
        <v>12.17</v>
      </c>
      <c r="U77">
        <v>1.35</v>
      </c>
      <c r="V77">
        <v>90</v>
      </c>
      <c r="W77">
        <v>4.5</v>
      </c>
      <c r="X77">
        <v>0.51</v>
      </c>
      <c r="Y77">
        <v>89.8</v>
      </c>
      <c r="Z77">
        <v>39.22</v>
      </c>
      <c r="AA77">
        <v>6.76</v>
      </c>
      <c r="AB77">
        <v>85.29</v>
      </c>
      <c r="AC77">
        <v>21.64</v>
      </c>
      <c r="AD77">
        <v>2.7</v>
      </c>
      <c r="AE77">
        <v>88.89</v>
      </c>
      <c r="AF77">
        <v>9.4700000000000006</v>
      </c>
      <c r="AG77">
        <v>1.35</v>
      </c>
      <c r="AH77">
        <v>87.5</v>
      </c>
      <c r="AI77">
        <v>43.75</v>
      </c>
      <c r="AJ77">
        <v>50</v>
      </c>
      <c r="AK77">
        <v>13.52</v>
      </c>
      <c r="AL77">
        <v>4.0599999999999996</v>
      </c>
      <c r="AM77">
        <v>76.92</v>
      </c>
      <c r="AN77">
        <v>10.82</v>
      </c>
      <c r="AO77">
        <v>2.7</v>
      </c>
      <c r="AP77">
        <v>80</v>
      </c>
      <c r="AQ77">
        <v>6.76</v>
      </c>
      <c r="AR77">
        <v>1.35</v>
      </c>
      <c r="AS77">
        <v>83.33</v>
      </c>
      <c r="AT77">
        <v>62.5</v>
      </c>
      <c r="AU77">
        <v>50</v>
      </c>
      <c r="AV77">
        <v>25.69</v>
      </c>
      <c r="AW77">
        <v>2.7</v>
      </c>
      <c r="AX77">
        <v>90.48</v>
      </c>
      <c r="AY77">
        <v>10.82</v>
      </c>
      <c r="AZ77">
        <v>0</v>
      </c>
      <c r="BA77">
        <v>100</v>
      </c>
      <c r="BB77">
        <v>2.7</v>
      </c>
      <c r="BC77">
        <v>0</v>
      </c>
      <c r="BD77">
        <v>100</v>
      </c>
      <c r="BE77">
        <v>25</v>
      </c>
      <c r="BF77" t="s">
        <v>85</v>
      </c>
      <c r="BG77">
        <v>27.05</v>
      </c>
      <c r="BH77">
        <v>4.0599999999999996</v>
      </c>
      <c r="BI77">
        <v>86.96</v>
      </c>
      <c r="BJ77">
        <v>17.579999999999998</v>
      </c>
      <c r="BK77">
        <v>2.7</v>
      </c>
      <c r="BL77">
        <v>86.67</v>
      </c>
      <c r="BM77">
        <v>2.7</v>
      </c>
      <c r="BN77">
        <v>0</v>
      </c>
      <c r="BO77">
        <v>100</v>
      </c>
      <c r="BP77">
        <v>15.38</v>
      </c>
      <c r="BQ77">
        <v>100</v>
      </c>
      <c r="BR77">
        <v>31.03</v>
      </c>
      <c r="BS77">
        <v>85.71</v>
      </c>
      <c r="BT77">
        <v>1.167</v>
      </c>
    </row>
    <row r="78" spans="1:72" x14ac:dyDescent="0.35">
      <c r="A78">
        <v>4</v>
      </c>
      <c r="B78" t="s">
        <v>41</v>
      </c>
      <c r="C78">
        <v>10</v>
      </c>
      <c r="D78">
        <v>4.17</v>
      </c>
      <c r="E78">
        <v>0</v>
      </c>
      <c r="F78">
        <v>9</v>
      </c>
      <c r="G78">
        <v>1</v>
      </c>
      <c r="H78">
        <v>0</v>
      </c>
      <c r="I78">
        <v>1</v>
      </c>
      <c r="J78">
        <v>0.05</v>
      </c>
      <c r="K78">
        <v>84.08</v>
      </c>
      <c r="L78">
        <v>8.41</v>
      </c>
      <c r="M78">
        <v>90.91</v>
      </c>
      <c r="N78">
        <v>65.86</v>
      </c>
      <c r="O78">
        <v>8.41</v>
      </c>
      <c r="P78">
        <v>88.68</v>
      </c>
      <c r="Q78">
        <v>50.45</v>
      </c>
      <c r="R78">
        <v>8.41</v>
      </c>
      <c r="S78">
        <v>85.71</v>
      </c>
      <c r="T78">
        <v>7.01</v>
      </c>
      <c r="U78">
        <v>0</v>
      </c>
      <c r="V78">
        <v>100</v>
      </c>
      <c r="W78">
        <v>6.27</v>
      </c>
      <c r="X78">
        <v>0.63</v>
      </c>
      <c r="Y78">
        <v>90.84</v>
      </c>
      <c r="Z78">
        <v>43.44</v>
      </c>
      <c r="AA78">
        <v>4.2</v>
      </c>
      <c r="AB78">
        <v>91.18</v>
      </c>
      <c r="AC78">
        <v>29.43</v>
      </c>
      <c r="AD78">
        <v>4.2</v>
      </c>
      <c r="AE78">
        <v>87.5</v>
      </c>
      <c r="AF78">
        <v>5.61</v>
      </c>
      <c r="AG78">
        <v>0</v>
      </c>
      <c r="AH78">
        <v>100</v>
      </c>
      <c r="AI78">
        <v>19.05</v>
      </c>
      <c r="AJ78">
        <v>100</v>
      </c>
      <c r="AK78">
        <v>19.62</v>
      </c>
      <c r="AL78">
        <v>4.2</v>
      </c>
      <c r="AM78">
        <v>82.35</v>
      </c>
      <c r="AN78">
        <v>15.41</v>
      </c>
      <c r="AO78">
        <v>4.2</v>
      </c>
      <c r="AP78">
        <v>78.569999999999993</v>
      </c>
      <c r="AQ78">
        <v>4.2</v>
      </c>
      <c r="AR78">
        <v>0</v>
      </c>
      <c r="AS78">
        <v>100</v>
      </c>
      <c r="AT78">
        <v>27.27</v>
      </c>
      <c r="AU78">
        <v>100</v>
      </c>
      <c r="AV78">
        <v>23.82</v>
      </c>
      <c r="AW78">
        <v>0</v>
      </c>
      <c r="AX78">
        <v>100</v>
      </c>
      <c r="AY78">
        <v>14.01</v>
      </c>
      <c r="AZ78">
        <v>0</v>
      </c>
      <c r="BA78">
        <v>100</v>
      </c>
      <c r="BB78">
        <v>1.4</v>
      </c>
      <c r="BC78">
        <v>0</v>
      </c>
      <c r="BD78">
        <v>100</v>
      </c>
      <c r="BE78">
        <v>10</v>
      </c>
      <c r="BF78" t="s">
        <v>85</v>
      </c>
      <c r="BG78">
        <v>40.64</v>
      </c>
      <c r="BH78">
        <v>1.4</v>
      </c>
      <c r="BI78">
        <v>96.67</v>
      </c>
      <c r="BJ78">
        <v>21.02</v>
      </c>
      <c r="BK78">
        <v>1.4</v>
      </c>
      <c r="BL78">
        <v>93.75</v>
      </c>
      <c r="BM78">
        <v>1.4</v>
      </c>
      <c r="BN78">
        <v>0</v>
      </c>
      <c r="BO78">
        <v>100</v>
      </c>
      <c r="BP78">
        <v>6.67</v>
      </c>
      <c r="BQ78">
        <v>100</v>
      </c>
      <c r="BR78">
        <v>13.89</v>
      </c>
      <c r="BS78">
        <v>100</v>
      </c>
      <c r="BT78">
        <v>1.139</v>
      </c>
    </row>
    <row r="79" spans="1:72" x14ac:dyDescent="0.35">
      <c r="A79">
        <v>5</v>
      </c>
      <c r="B79" t="s">
        <v>42</v>
      </c>
      <c r="C79">
        <v>10</v>
      </c>
      <c r="D79">
        <v>5.59</v>
      </c>
      <c r="E79">
        <v>6</v>
      </c>
      <c r="F79">
        <v>1</v>
      </c>
      <c r="G79">
        <v>3</v>
      </c>
      <c r="H79">
        <v>6</v>
      </c>
      <c r="I79">
        <v>15</v>
      </c>
      <c r="J79">
        <v>0.75</v>
      </c>
      <c r="K79">
        <v>119.4</v>
      </c>
      <c r="L79">
        <v>13.27</v>
      </c>
      <c r="M79">
        <v>90</v>
      </c>
      <c r="N79">
        <v>85.63</v>
      </c>
      <c r="O79">
        <v>10.85</v>
      </c>
      <c r="P79">
        <v>88.75</v>
      </c>
      <c r="Q79">
        <v>62.71</v>
      </c>
      <c r="R79">
        <v>8.44</v>
      </c>
      <c r="S79">
        <v>88.14</v>
      </c>
      <c r="T79">
        <v>14.47</v>
      </c>
      <c r="U79">
        <v>0</v>
      </c>
      <c r="V79">
        <v>100</v>
      </c>
      <c r="W79">
        <v>7.9</v>
      </c>
      <c r="X79">
        <v>0.56000000000000005</v>
      </c>
      <c r="Y79">
        <v>93.43</v>
      </c>
      <c r="Z79">
        <v>56.68</v>
      </c>
      <c r="AA79">
        <v>6.03</v>
      </c>
      <c r="AB79">
        <v>90.38</v>
      </c>
      <c r="AC79">
        <v>34.97</v>
      </c>
      <c r="AD79">
        <v>4.82</v>
      </c>
      <c r="AE79">
        <v>87.88</v>
      </c>
      <c r="AF79">
        <v>12.06</v>
      </c>
      <c r="AG79">
        <v>0</v>
      </c>
      <c r="AH79">
        <v>100</v>
      </c>
      <c r="AI79">
        <v>34.479999999999997</v>
      </c>
      <c r="AJ79">
        <v>100</v>
      </c>
      <c r="AK79">
        <v>24.12</v>
      </c>
      <c r="AL79">
        <v>1.21</v>
      </c>
      <c r="AM79">
        <v>95.24</v>
      </c>
      <c r="AN79">
        <v>18.09</v>
      </c>
      <c r="AO79">
        <v>1.21</v>
      </c>
      <c r="AP79">
        <v>93.75</v>
      </c>
      <c r="AQ79">
        <v>7.24</v>
      </c>
      <c r="AR79">
        <v>0</v>
      </c>
      <c r="AS79">
        <v>100</v>
      </c>
      <c r="AT79">
        <v>40</v>
      </c>
      <c r="AU79">
        <v>100</v>
      </c>
      <c r="AV79">
        <v>32.56</v>
      </c>
      <c r="AW79">
        <v>4.82</v>
      </c>
      <c r="AX79">
        <v>87.1</v>
      </c>
      <c r="AY79">
        <v>16.88</v>
      </c>
      <c r="AZ79">
        <v>3.62</v>
      </c>
      <c r="BA79">
        <v>82.35</v>
      </c>
      <c r="BB79">
        <v>4.82</v>
      </c>
      <c r="BC79">
        <v>0</v>
      </c>
      <c r="BD79">
        <v>100</v>
      </c>
      <c r="BE79">
        <v>28.57</v>
      </c>
      <c r="BF79">
        <v>100</v>
      </c>
      <c r="BG79">
        <v>60.3</v>
      </c>
      <c r="BH79">
        <v>6.03</v>
      </c>
      <c r="BI79">
        <v>90.91</v>
      </c>
      <c r="BJ79">
        <v>26.53</v>
      </c>
      <c r="BK79">
        <v>2.41</v>
      </c>
      <c r="BL79">
        <v>91.67</v>
      </c>
      <c r="BM79">
        <v>2.41</v>
      </c>
      <c r="BN79">
        <v>0</v>
      </c>
      <c r="BO79">
        <v>100</v>
      </c>
      <c r="BP79">
        <v>9.09</v>
      </c>
      <c r="BQ79">
        <v>100</v>
      </c>
      <c r="BR79">
        <v>23.08</v>
      </c>
      <c r="BS79">
        <v>100</v>
      </c>
      <c r="BT79">
        <v>1.2310000000000001</v>
      </c>
    </row>
    <row r="80" spans="1:72" x14ac:dyDescent="0.35">
      <c r="A80">
        <v>6</v>
      </c>
      <c r="B80" t="s">
        <v>43</v>
      </c>
      <c r="C80">
        <v>10</v>
      </c>
      <c r="D80">
        <v>4.13</v>
      </c>
      <c r="E80">
        <v>3</v>
      </c>
      <c r="F80">
        <v>4</v>
      </c>
      <c r="G80">
        <v>3</v>
      </c>
      <c r="H80">
        <v>3</v>
      </c>
      <c r="I80">
        <v>9</v>
      </c>
      <c r="J80">
        <v>0.45</v>
      </c>
      <c r="K80">
        <v>69.81</v>
      </c>
      <c r="L80">
        <v>9.9700000000000006</v>
      </c>
      <c r="M80">
        <v>87.5</v>
      </c>
      <c r="N80">
        <v>56.98</v>
      </c>
      <c r="O80">
        <v>8.5500000000000007</v>
      </c>
      <c r="P80">
        <v>86.96</v>
      </c>
      <c r="Q80">
        <v>44.16</v>
      </c>
      <c r="R80">
        <v>8.5500000000000007</v>
      </c>
      <c r="S80">
        <v>83.78</v>
      </c>
      <c r="T80">
        <v>7.12</v>
      </c>
      <c r="U80">
        <v>0</v>
      </c>
      <c r="V80">
        <v>100</v>
      </c>
      <c r="W80">
        <v>3.92</v>
      </c>
      <c r="X80">
        <v>0.3</v>
      </c>
      <c r="Y80">
        <v>92.92</v>
      </c>
      <c r="Z80">
        <v>29.92</v>
      </c>
      <c r="AA80">
        <v>1.42</v>
      </c>
      <c r="AB80">
        <v>95.45</v>
      </c>
      <c r="AC80">
        <v>24.22</v>
      </c>
      <c r="AD80">
        <v>1.42</v>
      </c>
      <c r="AE80">
        <v>94.44</v>
      </c>
      <c r="AF80">
        <v>2.85</v>
      </c>
      <c r="AG80">
        <v>0</v>
      </c>
      <c r="AH80">
        <v>100</v>
      </c>
      <c r="AI80">
        <v>11.76</v>
      </c>
      <c r="AJ80">
        <v>100</v>
      </c>
      <c r="AK80">
        <v>7.12</v>
      </c>
      <c r="AL80">
        <v>1.42</v>
      </c>
      <c r="AM80">
        <v>83.33</v>
      </c>
      <c r="AN80">
        <v>5.7</v>
      </c>
      <c r="AO80">
        <v>1.42</v>
      </c>
      <c r="AP80">
        <v>80</v>
      </c>
      <c r="AQ80">
        <v>0</v>
      </c>
      <c r="AR80">
        <v>0</v>
      </c>
      <c r="AS80" t="s">
        <v>85</v>
      </c>
      <c r="AT80">
        <v>0</v>
      </c>
      <c r="AU80">
        <v>100</v>
      </c>
      <c r="AV80">
        <v>22.79</v>
      </c>
      <c r="AW80">
        <v>0</v>
      </c>
      <c r="AX80">
        <v>100</v>
      </c>
      <c r="AY80">
        <v>18.52</v>
      </c>
      <c r="AZ80">
        <v>0</v>
      </c>
      <c r="BA80">
        <v>100</v>
      </c>
      <c r="BB80">
        <v>2.85</v>
      </c>
      <c r="BC80">
        <v>0</v>
      </c>
      <c r="BD80">
        <v>100</v>
      </c>
      <c r="BE80">
        <v>15.38</v>
      </c>
      <c r="BF80" t="s">
        <v>85</v>
      </c>
      <c r="BG80">
        <v>37.04</v>
      </c>
      <c r="BH80">
        <v>4.2699999999999996</v>
      </c>
      <c r="BI80">
        <v>89.66</v>
      </c>
      <c r="BJ80">
        <v>19.940000000000001</v>
      </c>
      <c r="BK80">
        <v>2.85</v>
      </c>
      <c r="BL80">
        <v>87.5</v>
      </c>
      <c r="BM80">
        <v>4.2699999999999996</v>
      </c>
      <c r="BN80">
        <v>0</v>
      </c>
      <c r="BO80">
        <v>100</v>
      </c>
      <c r="BP80">
        <v>21.43</v>
      </c>
      <c r="BQ80">
        <v>100</v>
      </c>
      <c r="BR80">
        <v>16.13</v>
      </c>
      <c r="BS80">
        <v>100</v>
      </c>
      <c r="BT80">
        <v>1.161</v>
      </c>
    </row>
    <row r="81" spans="1:72" x14ac:dyDescent="0.35">
      <c r="A81">
        <v>7</v>
      </c>
      <c r="B81" t="s">
        <v>44</v>
      </c>
      <c r="C81">
        <v>10</v>
      </c>
      <c r="D81">
        <v>5.13</v>
      </c>
      <c r="E81">
        <v>6</v>
      </c>
      <c r="F81">
        <v>3</v>
      </c>
      <c r="G81">
        <v>1</v>
      </c>
      <c r="H81">
        <v>6</v>
      </c>
      <c r="I81">
        <v>13</v>
      </c>
      <c r="J81">
        <v>0.65</v>
      </c>
      <c r="K81">
        <v>94.22</v>
      </c>
      <c r="L81">
        <v>18.38</v>
      </c>
      <c r="M81">
        <v>83.67</v>
      </c>
      <c r="N81">
        <v>74.69</v>
      </c>
      <c r="O81">
        <v>16.09</v>
      </c>
      <c r="P81">
        <v>82.28</v>
      </c>
      <c r="Q81">
        <v>51.71</v>
      </c>
      <c r="R81">
        <v>11.49</v>
      </c>
      <c r="S81">
        <v>81.819999999999993</v>
      </c>
      <c r="T81">
        <v>5.75</v>
      </c>
      <c r="U81">
        <v>0</v>
      </c>
      <c r="V81">
        <v>100</v>
      </c>
      <c r="W81">
        <v>6.03</v>
      </c>
      <c r="X81">
        <v>0.72</v>
      </c>
      <c r="Y81">
        <v>89.35</v>
      </c>
      <c r="Z81">
        <v>54.01</v>
      </c>
      <c r="AA81">
        <v>5.75</v>
      </c>
      <c r="AB81">
        <v>90.38</v>
      </c>
      <c r="AC81">
        <v>32.17</v>
      </c>
      <c r="AD81">
        <v>5.75</v>
      </c>
      <c r="AE81">
        <v>84.85</v>
      </c>
      <c r="AF81">
        <v>4.5999999999999996</v>
      </c>
      <c r="AG81">
        <v>0</v>
      </c>
      <c r="AH81">
        <v>100</v>
      </c>
      <c r="AI81">
        <v>14.29</v>
      </c>
      <c r="AJ81">
        <v>100</v>
      </c>
      <c r="AK81">
        <v>18.38</v>
      </c>
      <c r="AL81">
        <v>2.2999999999999998</v>
      </c>
      <c r="AM81">
        <v>88.89</v>
      </c>
      <c r="AN81">
        <v>13.79</v>
      </c>
      <c r="AO81">
        <v>2.2999999999999998</v>
      </c>
      <c r="AP81">
        <v>85.71</v>
      </c>
      <c r="AQ81">
        <v>1.1499999999999999</v>
      </c>
      <c r="AR81">
        <v>0</v>
      </c>
      <c r="AS81">
        <v>100</v>
      </c>
      <c r="AT81">
        <v>8.33</v>
      </c>
      <c r="AU81">
        <v>100</v>
      </c>
      <c r="AV81">
        <v>35.619999999999997</v>
      </c>
      <c r="AW81">
        <v>3.45</v>
      </c>
      <c r="AX81">
        <v>91.18</v>
      </c>
      <c r="AY81">
        <v>18.38</v>
      </c>
      <c r="AZ81">
        <v>3.45</v>
      </c>
      <c r="BA81">
        <v>84.21</v>
      </c>
      <c r="BB81">
        <v>3.45</v>
      </c>
      <c r="BC81">
        <v>0</v>
      </c>
      <c r="BD81">
        <v>100</v>
      </c>
      <c r="BE81">
        <v>18.75</v>
      </c>
      <c r="BF81">
        <v>100</v>
      </c>
      <c r="BG81">
        <v>35.619999999999997</v>
      </c>
      <c r="BH81">
        <v>4.5999999999999996</v>
      </c>
      <c r="BI81">
        <v>88.57</v>
      </c>
      <c r="BJ81">
        <v>18.38</v>
      </c>
      <c r="BK81">
        <v>1.1499999999999999</v>
      </c>
      <c r="BL81">
        <v>94.12</v>
      </c>
      <c r="BM81">
        <v>1.1499999999999999</v>
      </c>
      <c r="BN81">
        <v>0</v>
      </c>
      <c r="BO81">
        <v>100</v>
      </c>
      <c r="BP81">
        <v>6.25</v>
      </c>
      <c r="BQ81">
        <v>100</v>
      </c>
      <c r="BR81">
        <v>11.11</v>
      </c>
      <c r="BS81">
        <v>100</v>
      </c>
      <c r="BT81">
        <v>1.111</v>
      </c>
    </row>
    <row r="82" spans="1:72" x14ac:dyDescent="0.35">
      <c r="A82">
        <v>8</v>
      </c>
      <c r="B82" t="s">
        <v>45</v>
      </c>
      <c r="C82">
        <v>10</v>
      </c>
      <c r="D82">
        <v>5.15</v>
      </c>
      <c r="E82">
        <v>5</v>
      </c>
      <c r="F82">
        <v>3</v>
      </c>
      <c r="G82">
        <v>2</v>
      </c>
      <c r="H82">
        <v>4</v>
      </c>
      <c r="I82">
        <v>12</v>
      </c>
      <c r="J82">
        <v>0.6</v>
      </c>
      <c r="K82">
        <v>70.97</v>
      </c>
      <c r="L82">
        <v>16.03</v>
      </c>
      <c r="M82">
        <v>81.58</v>
      </c>
      <c r="N82">
        <v>54.94</v>
      </c>
      <c r="O82">
        <v>12.59</v>
      </c>
      <c r="P82">
        <v>81.36</v>
      </c>
      <c r="Q82">
        <v>38.92</v>
      </c>
      <c r="R82">
        <v>9.16</v>
      </c>
      <c r="S82">
        <v>80.95</v>
      </c>
      <c r="T82">
        <v>10.3</v>
      </c>
      <c r="U82">
        <v>2.29</v>
      </c>
      <c r="V82">
        <v>81.819999999999993</v>
      </c>
      <c r="W82">
        <v>4.9800000000000004</v>
      </c>
      <c r="X82">
        <v>1.55</v>
      </c>
      <c r="Y82">
        <v>76.33</v>
      </c>
      <c r="Z82">
        <v>50.37</v>
      </c>
      <c r="AA82">
        <v>10.3</v>
      </c>
      <c r="AB82">
        <v>83.02</v>
      </c>
      <c r="AC82">
        <v>26.33</v>
      </c>
      <c r="AD82">
        <v>8.01</v>
      </c>
      <c r="AE82">
        <v>76.67</v>
      </c>
      <c r="AF82">
        <v>9.16</v>
      </c>
      <c r="AG82">
        <v>2.29</v>
      </c>
      <c r="AH82">
        <v>80</v>
      </c>
      <c r="AI82">
        <v>34.78</v>
      </c>
      <c r="AJ82">
        <v>71.430000000000007</v>
      </c>
      <c r="AK82">
        <v>18.309999999999999</v>
      </c>
      <c r="AL82">
        <v>6.87</v>
      </c>
      <c r="AM82">
        <v>72.73</v>
      </c>
      <c r="AN82">
        <v>10.3</v>
      </c>
      <c r="AO82">
        <v>4.58</v>
      </c>
      <c r="AP82">
        <v>69.23</v>
      </c>
      <c r="AQ82">
        <v>5.72</v>
      </c>
      <c r="AR82">
        <v>0</v>
      </c>
      <c r="AS82">
        <v>100</v>
      </c>
      <c r="AT82">
        <v>55.56</v>
      </c>
      <c r="AU82">
        <v>100</v>
      </c>
      <c r="AV82">
        <v>32.049999999999997</v>
      </c>
      <c r="AW82">
        <v>3.43</v>
      </c>
      <c r="AX82">
        <v>90.32</v>
      </c>
      <c r="AY82">
        <v>16.03</v>
      </c>
      <c r="AZ82">
        <v>3.43</v>
      </c>
      <c r="BA82">
        <v>82.35</v>
      </c>
      <c r="BB82">
        <v>3.43</v>
      </c>
      <c r="BC82">
        <v>2.29</v>
      </c>
      <c r="BD82">
        <v>60</v>
      </c>
      <c r="BE82">
        <v>21.43</v>
      </c>
      <c r="BF82">
        <v>33.33</v>
      </c>
      <c r="BG82">
        <v>19.46</v>
      </c>
      <c r="BH82">
        <v>3.43</v>
      </c>
      <c r="BI82">
        <v>85</v>
      </c>
      <c r="BJ82">
        <v>12.59</v>
      </c>
      <c r="BK82">
        <v>0</v>
      </c>
      <c r="BL82">
        <v>100</v>
      </c>
      <c r="BM82">
        <v>1.1399999999999999</v>
      </c>
      <c r="BN82">
        <v>0</v>
      </c>
      <c r="BO82">
        <v>100</v>
      </c>
      <c r="BP82">
        <v>9.09</v>
      </c>
      <c r="BQ82" t="s">
        <v>85</v>
      </c>
      <c r="BR82">
        <v>26.47</v>
      </c>
      <c r="BS82">
        <v>75</v>
      </c>
      <c r="BT82">
        <v>1.0149999999999999</v>
      </c>
    </row>
    <row r="83" spans="1:72" x14ac:dyDescent="0.35">
      <c r="A83">
        <v>9</v>
      </c>
      <c r="B83" t="s">
        <v>46</v>
      </c>
      <c r="C83">
        <v>10</v>
      </c>
      <c r="D83">
        <v>5.49</v>
      </c>
      <c r="E83">
        <v>7</v>
      </c>
      <c r="F83">
        <v>2</v>
      </c>
      <c r="G83">
        <v>1</v>
      </c>
      <c r="H83">
        <v>7</v>
      </c>
      <c r="I83">
        <v>15</v>
      </c>
      <c r="J83">
        <v>0.75</v>
      </c>
      <c r="K83">
        <v>119.67</v>
      </c>
      <c r="L83">
        <v>12.47</v>
      </c>
      <c r="M83">
        <v>90.57</v>
      </c>
      <c r="N83">
        <v>89.75</v>
      </c>
      <c r="O83">
        <v>12.47</v>
      </c>
      <c r="P83">
        <v>87.8</v>
      </c>
      <c r="Q83">
        <v>69.81</v>
      </c>
      <c r="R83">
        <v>11.22</v>
      </c>
      <c r="S83">
        <v>86.15</v>
      </c>
      <c r="T83">
        <v>8.73</v>
      </c>
      <c r="U83">
        <v>1.25</v>
      </c>
      <c r="V83">
        <v>87.5</v>
      </c>
      <c r="W83">
        <v>7.24</v>
      </c>
      <c r="X83">
        <v>0.74</v>
      </c>
      <c r="Y83">
        <v>90.7</v>
      </c>
      <c r="Z83">
        <v>56.09</v>
      </c>
      <c r="AA83">
        <v>4.99</v>
      </c>
      <c r="AB83">
        <v>91.84</v>
      </c>
      <c r="AC83">
        <v>36.15</v>
      </c>
      <c r="AD83">
        <v>3.74</v>
      </c>
      <c r="AE83">
        <v>90.63</v>
      </c>
      <c r="AF83">
        <v>4.99</v>
      </c>
      <c r="AG83">
        <v>1.25</v>
      </c>
      <c r="AH83">
        <v>80</v>
      </c>
      <c r="AI83">
        <v>13.79</v>
      </c>
      <c r="AJ83">
        <v>66.67</v>
      </c>
      <c r="AK83">
        <v>19.940000000000001</v>
      </c>
      <c r="AL83">
        <v>3.74</v>
      </c>
      <c r="AM83">
        <v>84.21</v>
      </c>
      <c r="AN83">
        <v>16.2</v>
      </c>
      <c r="AO83">
        <v>2.4900000000000002</v>
      </c>
      <c r="AP83">
        <v>86.67</v>
      </c>
      <c r="AQ83">
        <v>1.25</v>
      </c>
      <c r="AR83">
        <v>0</v>
      </c>
      <c r="AS83">
        <v>100</v>
      </c>
      <c r="AT83">
        <v>7.69</v>
      </c>
      <c r="AU83">
        <v>100</v>
      </c>
      <c r="AV83">
        <v>36.15</v>
      </c>
      <c r="AW83">
        <v>1.25</v>
      </c>
      <c r="AX83">
        <v>96.67</v>
      </c>
      <c r="AY83">
        <v>19.940000000000001</v>
      </c>
      <c r="AZ83">
        <v>1.25</v>
      </c>
      <c r="BA83">
        <v>94.12</v>
      </c>
      <c r="BB83">
        <v>3.74</v>
      </c>
      <c r="BC83">
        <v>1.25</v>
      </c>
      <c r="BD83">
        <v>75</v>
      </c>
      <c r="BE83">
        <v>18.75</v>
      </c>
      <c r="BF83">
        <v>0</v>
      </c>
      <c r="BG83">
        <v>63.57</v>
      </c>
      <c r="BH83">
        <v>3.74</v>
      </c>
      <c r="BI83">
        <v>94.44</v>
      </c>
      <c r="BJ83">
        <v>33.659999999999997</v>
      </c>
      <c r="BK83">
        <v>3.74</v>
      </c>
      <c r="BL83">
        <v>90</v>
      </c>
      <c r="BM83">
        <v>3.74</v>
      </c>
      <c r="BN83">
        <v>0</v>
      </c>
      <c r="BO83">
        <v>100</v>
      </c>
      <c r="BP83">
        <v>11.11</v>
      </c>
      <c r="BQ83">
        <v>100</v>
      </c>
      <c r="BR83">
        <v>12.5</v>
      </c>
      <c r="BS83">
        <v>88.89</v>
      </c>
      <c r="BT83">
        <v>1.014</v>
      </c>
    </row>
    <row r="84" spans="1:72" x14ac:dyDescent="0.35">
      <c r="A84">
        <v>10</v>
      </c>
      <c r="B84" t="s">
        <v>47</v>
      </c>
      <c r="C84">
        <v>10</v>
      </c>
      <c r="D84">
        <v>6.39</v>
      </c>
      <c r="E84">
        <v>2</v>
      </c>
      <c r="F84">
        <v>4</v>
      </c>
      <c r="G84">
        <v>4</v>
      </c>
      <c r="H84">
        <v>2</v>
      </c>
      <c r="I84">
        <v>8</v>
      </c>
      <c r="J84">
        <v>0.4</v>
      </c>
      <c r="K84">
        <v>88.06</v>
      </c>
      <c r="L84">
        <v>11.67</v>
      </c>
      <c r="M84">
        <v>88.3</v>
      </c>
      <c r="N84">
        <v>65.78</v>
      </c>
      <c r="O84">
        <v>11.67</v>
      </c>
      <c r="P84">
        <v>84.93</v>
      </c>
      <c r="Q84">
        <v>46.68</v>
      </c>
      <c r="R84">
        <v>10.61</v>
      </c>
      <c r="S84">
        <v>81.48</v>
      </c>
      <c r="T84">
        <v>6.37</v>
      </c>
      <c r="U84">
        <v>0</v>
      </c>
      <c r="V84">
        <v>100</v>
      </c>
      <c r="W84">
        <v>6.06</v>
      </c>
      <c r="X84">
        <v>0.25</v>
      </c>
      <c r="Y84">
        <v>95.98</v>
      </c>
      <c r="Z84">
        <v>42.44</v>
      </c>
      <c r="AA84">
        <v>2.12</v>
      </c>
      <c r="AB84">
        <v>95.24</v>
      </c>
      <c r="AC84">
        <v>32.89</v>
      </c>
      <c r="AD84">
        <v>1.06</v>
      </c>
      <c r="AE84">
        <v>96.88</v>
      </c>
      <c r="AF84">
        <v>5.31</v>
      </c>
      <c r="AG84">
        <v>0</v>
      </c>
      <c r="AH84">
        <v>100</v>
      </c>
      <c r="AI84">
        <v>16.13</v>
      </c>
      <c r="AJ84">
        <v>100</v>
      </c>
      <c r="AK84">
        <v>19.100000000000001</v>
      </c>
      <c r="AL84">
        <v>0</v>
      </c>
      <c r="AM84">
        <v>100</v>
      </c>
      <c r="AN84">
        <v>14.85</v>
      </c>
      <c r="AO84">
        <v>0</v>
      </c>
      <c r="AP84">
        <v>100</v>
      </c>
      <c r="AQ84">
        <v>4.24</v>
      </c>
      <c r="AR84">
        <v>0</v>
      </c>
      <c r="AS84">
        <v>100</v>
      </c>
      <c r="AT84">
        <v>28.57</v>
      </c>
      <c r="AU84" t="s">
        <v>85</v>
      </c>
      <c r="AV84">
        <v>23.34</v>
      </c>
      <c r="AW84">
        <v>2.12</v>
      </c>
      <c r="AX84">
        <v>91.67</v>
      </c>
      <c r="AY84">
        <v>18.04</v>
      </c>
      <c r="AZ84">
        <v>1.06</v>
      </c>
      <c r="BA84">
        <v>94.44</v>
      </c>
      <c r="BB84">
        <v>1.06</v>
      </c>
      <c r="BC84">
        <v>0</v>
      </c>
      <c r="BD84">
        <v>100</v>
      </c>
      <c r="BE84">
        <v>5.88</v>
      </c>
      <c r="BF84">
        <v>100</v>
      </c>
      <c r="BG84">
        <v>45.62</v>
      </c>
      <c r="BH84">
        <v>1.06</v>
      </c>
      <c r="BI84">
        <v>97.73</v>
      </c>
      <c r="BJ84">
        <v>13.79</v>
      </c>
      <c r="BK84">
        <v>1.06</v>
      </c>
      <c r="BL84">
        <v>92.86</v>
      </c>
      <c r="BM84">
        <v>1.06</v>
      </c>
      <c r="BN84">
        <v>0</v>
      </c>
      <c r="BO84">
        <v>100</v>
      </c>
      <c r="BP84">
        <v>7.69</v>
      </c>
      <c r="BQ84">
        <v>100</v>
      </c>
      <c r="BR84">
        <v>13.64</v>
      </c>
      <c r="BS84">
        <v>100</v>
      </c>
      <c r="BT84">
        <v>1.1359999999999999</v>
      </c>
    </row>
    <row r="85" spans="1:72" x14ac:dyDescent="0.35">
      <c r="A85">
        <v>11</v>
      </c>
      <c r="B85" t="s">
        <v>48</v>
      </c>
      <c r="C85">
        <v>10</v>
      </c>
      <c r="D85">
        <v>5.54</v>
      </c>
      <c r="E85">
        <v>5</v>
      </c>
      <c r="F85">
        <v>4</v>
      </c>
      <c r="G85">
        <v>1</v>
      </c>
      <c r="H85">
        <v>5</v>
      </c>
      <c r="I85">
        <v>11</v>
      </c>
      <c r="J85">
        <v>0.55000000000000004</v>
      </c>
      <c r="K85">
        <v>79.540000000000006</v>
      </c>
      <c r="L85">
        <v>22.03</v>
      </c>
      <c r="M85">
        <v>78.31</v>
      </c>
      <c r="N85">
        <v>58.74</v>
      </c>
      <c r="O85">
        <v>19.579999999999998</v>
      </c>
      <c r="P85">
        <v>75</v>
      </c>
      <c r="Q85">
        <v>41.6</v>
      </c>
      <c r="R85">
        <v>18.350000000000001</v>
      </c>
      <c r="S85">
        <v>69.39</v>
      </c>
      <c r="T85">
        <v>3.67</v>
      </c>
      <c r="U85">
        <v>1.22</v>
      </c>
      <c r="V85">
        <v>75</v>
      </c>
      <c r="W85">
        <v>5.47</v>
      </c>
      <c r="X85">
        <v>1.68</v>
      </c>
      <c r="Y85">
        <v>76.47</v>
      </c>
      <c r="Z85">
        <v>42.83</v>
      </c>
      <c r="AA85">
        <v>14.68</v>
      </c>
      <c r="AB85">
        <v>74.47</v>
      </c>
      <c r="AC85">
        <v>25.7</v>
      </c>
      <c r="AD85">
        <v>14.68</v>
      </c>
      <c r="AE85">
        <v>63.64</v>
      </c>
      <c r="AF85">
        <v>3.67</v>
      </c>
      <c r="AG85">
        <v>1.22</v>
      </c>
      <c r="AH85">
        <v>75</v>
      </c>
      <c r="AI85">
        <v>14.29</v>
      </c>
      <c r="AJ85">
        <v>91.67</v>
      </c>
      <c r="AK85">
        <v>18.350000000000001</v>
      </c>
      <c r="AL85">
        <v>7.34</v>
      </c>
      <c r="AM85">
        <v>71.430000000000007</v>
      </c>
      <c r="AN85">
        <v>15.91</v>
      </c>
      <c r="AO85">
        <v>7.34</v>
      </c>
      <c r="AP85">
        <v>68.42</v>
      </c>
      <c r="AQ85">
        <v>2.4500000000000002</v>
      </c>
      <c r="AR85">
        <v>0</v>
      </c>
      <c r="AS85">
        <v>100</v>
      </c>
      <c r="AT85">
        <v>15.38</v>
      </c>
      <c r="AU85">
        <v>100</v>
      </c>
      <c r="AV85">
        <v>24.47</v>
      </c>
      <c r="AW85">
        <v>7.34</v>
      </c>
      <c r="AX85">
        <v>76.92</v>
      </c>
      <c r="AY85">
        <v>9.7899999999999991</v>
      </c>
      <c r="AZ85">
        <v>7.34</v>
      </c>
      <c r="BA85">
        <v>57.14</v>
      </c>
      <c r="BB85">
        <v>1.22</v>
      </c>
      <c r="BC85">
        <v>1.22</v>
      </c>
      <c r="BD85">
        <v>50</v>
      </c>
      <c r="BE85">
        <v>12.5</v>
      </c>
      <c r="BF85">
        <v>83.33</v>
      </c>
      <c r="BG85">
        <v>36.71</v>
      </c>
      <c r="BH85">
        <v>7.34</v>
      </c>
      <c r="BI85">
        <v>83.33</v>
      </c>
      <c r="BJ85">
        <v>15.91</v>
      </c>
      <c r="BK85">
        <v>3.67</v>
      </c>
      <c r="BL85">
        <v>81.25</v>
      </c>
      <c r="BM85">
        <v>0</v>
      </c>
      <c r="BN85">
        <v>0</v>
      </c>
      <c r="BO85" t="s">
        <v>85</v>
      </c>
      <c r="BP85">
        <v>0</v>
      </c>
      <c r="BQ85">
        <v>100</v>
      </c>
      <c r="BR85">
        <v>8.82</v>
      </c>
      <c r="BS85">
        <v>93.33</v>
      </c>
      <c r="BT85">
        <v>1.022</v>
      </c>
    </row>
    <row r="86" spans="1:72" x14ac:dyDescent="0.35">
      <c r="A86">
        <v>12</v>
      </c>
      <c r="B86" t="s">
        <v>49</v>
      </c>
      <c r="C86">
        <v>10</v>
      </c>
      <c r="D86">
        <v>4.2</v>
      </c>
      <c r="E86">
        <v>7</v>
      </c>
      <c r="F86">
        <v>3</v>
      </c>
      <c r="G86">
        <v>0</v>
      </c>
      <c r="H86">
        <v>7</v>
      </c>
      <c r="I86">
        <v>14</v>
      </c>
      <c r="J86">
        <v>0.7</v>
      </c>
      <c r="K86">
        <v>97</v>
      </c>
      <c r="L86">
        <v>9.6999999999999993</v>
      </c>
      <c r="M86">
        <v>90.91</v>
      </c>
      <c r="N86">
        <v>73.44</v>
      </c>
      <c r="O86">
        <v>9.6999999999999993</v>
      </c>
      <c r="P86">
        <v>88.33</v>
      </c>
      <c r="Q86">
        <v>54.04</v>
      </c>
      <c r="R86">
        <v>9.6999999999999993</v>
      </c>
      <c r="S86">
        <v>84.78</v>
      </c>
      <c r="T86">
        <v>9.6999999999999993</v>
      </c>
      <c r="U86">
        <v>0</v>
      </c>
      <c r="V86">
        <v>100</v>
      </c>
      <c r="W86">
        <v>7.61</v>
      </c>
      <c r="X86">
        <v>0.83</v>
      </c>
      <c r="Y86">
        <v>90.19</v>
      </c>
      <c r="Z86">
        <v>59.58</v>
      </c>
      <c r="AA86">
        <v>6.93</v>
      </c>
      <c r="AB86">
        <v>89.58</v>
      </c>
      <c r="AC86">
        <v>42.96</v>
      </c>
      <c r="AD86">
        <v>6.93</v>
      </c>
      <c r="AE86">
        <v>86.11</v>
      </c>
      <c r="AF86">
        <v>9.6999999999999993</v>
      </c>
      <c r="AG86">
        <v>0</v>
      </c>
      <c r="AH86">
        <v>100</v>
      </c>
      <c r="AI86">
        <v>22.58</v>
      </c>
      <c r="AJ86">
        <v>100</v>
      </c>
      <c r="AK86">
        <v>26.33</v>
      </c>
      <c r="AL86">
        <v>2.77</v>
      </c>
      <c r="AM86">
        <v>90.48</v>
      </c>
      <c r="AN86">
        <v>22.17</v>
      </c>
      <c r="AO86">
        <v>2.77</v>
      </c>
      <c r="AP86">
        <v>88.89</v>
      </c>
      <c r="AQ86">
        <v>5.54</v>
      </c>
      <c r="AR86">
        <v>0</v>
      </c>
      <c r="AS86">
        <v>100</v>
      </c>
      <c r="AT86">
        <v>25</v>
      </c>
      <c r="AU86">
        <v>100</v>
      </c>
      <c r="AV86">
        <v>33.26</v>
      </c>
      <c r="AW86">
        <v>4.16</v>
      </c>
      <c r="AX86">
        <v>88.89</v>
      </c>
      <c r="AY86">
        <v>20.79</v>
      </c>
      <c r="AZ86">
        <v>4.16</v>
      </c>
      <c r="BA86">
        <v>83.33</v>
      </c>
      <c r="BB86">
        <v>4.16</v>
      </c>
      <c r="BC86">
        <v>0</v>
      </c>
      <c r="BD86">
        <v>100</v>
      </c>
      <c r="BE86">
        <v>20</v>
      </c>
      <c r="BF86">
        <v>100</v>
      </c>
      <c r="BG86">
        <v>37.409999999999997</v>
      </c>
      <c r="BH86">
        <v>0</v>
      </c>
      <c r="BI86">
        <v>100</v>
      </c>
      <c r="BJ86">
        <v>11.09</v>
      </c>
      <c r="BK86">
        <v>0</v>
      </c>
      <c r="BL86">
        <v>100</v>
      </c>
      <c r="BM86">
        <v>0</v>
      </c>
      <c r="BN86">
        <v>0</v>
      </c>
      <c r="BO86" t="s">
        <v>85</v>
      </c>
      <c r="BP86">
        <v>0</v>
      </c>
      <c r="BQ86" t="s">
        <v>85</v>
      </c>
      <c r="BR86">
        <v>17.95</v>
      </c>
      <c r="BS86">
        <v>100</v>
      </c>
      <c r="BT86">
        <v>1.179</v>
      </c>
    </row>
    <row r="87" spans="1:72" x14ac:dyDescent="0.35">
      <c r="A87">
        <v>13</v>
      </c>
      <c r="B87" t="s">
        <v>50</v>
      </c>
      <c r="C87">
        <v>10</v>
      </c>
      <c r="D87">
        <v>6.52</v>
      </c>
      <c r="E87">
        <v>5</v>
      </c>
      <c r="F87">
        <v>3</v>
      </c>
      <c r="G87">
        <v>2</v>
      </c>
      <c r="H87">
        <v>5</v>
      </c>
      <c r="I87">
        <v>12</v>
      </c>
      <c r="J87">
        <v>0.6</v>
      </c>
      <c r="K87">
        <v>115.6</v>
      </c>
      <c r="L87">
        <v>18.41</v>
      </c>
      <c r="M87">
        <v>86.26</v>
      </c>
      <c r="N87">
        <v>95.14</v>
      </c>
      <c r="O87">
        <v>16.37</v>
      </c>
      <c r="P87">
        <v>85.32</v>
      </c>
      <c r="Q87">
        <v>75.7</v>
      </c>
      <c r="R87">
        <v>13.3</v>
      </c>
      <c r="S87">
        <v>85.06</v>
      </c>
      <c r="T87">
        <v>3.07</v>
      </c>
      <c r="U87">
        <v>0</v>
      </c>
      <c r="V87">
        <v>100</v>
      </c>
      <c r="W87">
        <v>8.82</v>
      </c>
      <c r="X87">
        <v>0.68</v>
      </c>
      <c r="Y87">
        <v>92.85</v>
      </c>
      <c r="Z87">
        <v>52.17</v>
      </c>
      <c r="AA87">
        <v>7.16</v>
      </c>
      <c r="AB87">
        <v>87.93</v>
      </c>
      <c r="AC87">
        <v>43.99</v>
      </c>
      <c r="AD87">
        <v>5.12</v>
      </c>
      <c r="AE87">
        <v>89.58</v>
      </c>
      <c r="AF87">
        <v>2.0499999999999998</v>
      </c>
      <c r="AG87">
        <v>0</v>
      </c>
      <c r="AH87">
        <v>100</v>
      </c>
      <c r="AI87">
        <v>4.6500000000000004</v>
      </c>
      <c r="AJ87">
        <v>100</v>
      </c>
      <c r="AK87">
        <v>26.6</v>
      </c>
      <c r="AL87">
        <v>2.0499999999999998</v>
      </c>
      <c r="AM87">
        <v>92.86</v>
      </c>
      <c r="AN87">
        <v>24.55</v>
      </c>
      <c r="AO87">
        <v>2.0499999999999998</v>
      </c>
      <c r="AP87">
        <v>92.31</v>
      </c>
      <c r="AQ87">
        <v>2.0499999999999998</v>
      </c>
      <c r="AR87">
        <v>0</v>
      </c>
      <c r="AS87">
        <v>100</v>
      </c>
      <c r="AT87">
        <v>8.33</v>
      </c>
      <c r="AU87">
        <v>100</v>
      </c>
      <c r="AV87">
        <v>25.58</v>
      </c>
      <c r="AW87">
        <v>5.12</v>
      </c>
      <c r="AX87">
        <v>83.33</v>
      </c>
      <c r="AY87">
        <v>19.440000000000001</v>
      </c>
      <c r="AZ87">
        <v>3.07</v>
      </c>
      <c r="BA87">
        <v>86.36</v>
      </c>
      <c r="BB87">
        <v>0</v>
      </c>
      <c r="BC87">
        <v>0</v>
      </c>
      <c r="BD87" t="s">
        <v>85</v>
      </c>
      <c r="BE87">
        <v>0</v>
      </c>
      <c r="BF87">
        <v>100</v>
      </c>
      <c r="BG87">
        <v>61.38</v>
      </c>
      <c r="BH87">
        <v>6.14</v>
      </c>
      <c r="BI87">
        <v>90.91</v>
      </c>
      <c r="BJ87">
        <v>31.71</v>
      </c>
      <c r="BK87">
        <v>5.12</v>
      </c>
      <c r="BL87">
        <v>86.11</v>
      </c>
      <c r="BM87">
        <v>1.02</v>
      </c>
      <c r="BN87">
        <v>0</v>
      </c>
      <c r="BO87">
        <v>100</v>
      </c>
      <c r="BP87">
        <v>3.23</v>
      </c>
      <c r="BQ87">
        <v>100</v>
      </c>
      <c r="BR87">
        <v>4.05</v>
      </c>
      <c r="BS87">
        <v>100</v>
      </c>
      <c r="BT87">
        <v>1.0409999999999999</v>
      </c>
    </row>
    <row r="88" spans="1:72" x14ac:dyDescent="0.35">
      <c r="A88">
        <v>14</v>
      </c>
      <c r="B88" t="s">
        <v>51</v>
      </c>
      <c r="C88">
        <v>10</v>
      </c>
      <c r="D88">
        <v>4.1500000000000004</v>
      </c>
      <c r="E88">
        <v>5</v>
      </c>
      <c r="F88">
        <v>3</v>
      </c>
      <c r="G88">
        <v>2</v>
      </c>
      <c r="H88">
        <v>5</v>
      </c>
      <c r="I88">
        <v>12</v>
      </c>
      <c r="J88">
        <v>0.6</v>
      </c>
      <c r="K88">
        <v>103.06</v>
      </c>
      <c r="L88">
        <v>12.71</v>
      </c>
      <c r="M88">
        <v>89.02</v>
      </c>
      <c r="N88">
        <v>87.53</v>
      </c>
      <c r="O88">
        <v>12.71</v>
      </c>
      <c r="P88">
        <v>87.32</v>
      </c>
      <c r="Q88">
        <v>73.41</v>
      </c>
      <c r="R88">
        <v>12.71</v>
      </c>
      <c r="S88">
        <v>85.25</v>
      </c>
      <c r="T88">
        <v>14.12</v>
      </c>
      <c r="U88">
        <v>0</v>
      </c>
      <c r="V88">
        <v>100</v>
      </c>
      <c r="W88">
        <v>8.0399999999999991</v>
      </c>
      <c r="X88">
        <v>0.35</v>
      </c>
      <c r="Y88">
        <v>95.85</v>
      </c>
      <c r="Z88">
        <v>45.18</v>
      </c>
      <c r="AA88">
        <v>2.82</v>
      </c>
      <c r="AB88">
        <v>94.12</v>
      </c>
      <c r="AC88">
        <v>31.06</v>
      </c>
      <c r="AD88">
        <v>2.82</v>
      </c>
      <c r="AE88">
        <v>91.67</v>
      </c>
      <c r="AF88">
        <v>8.4700000000000006</v>
      </c>
      <c r="AG88">
        <v>0</v>
      </c>
      <c r="AH88">
        <v>100</v>
      </c>
      <c r="AI88">
        <v>27.27</v>
      </c>
      <c r="AJ88">
        <v>100</v>
      </c>
      <c r="AK88">
        <v>22.59</v>
      </c>
      <c r="AL88">
        <v>1.41</v>
      </c>
      <c r="AM88">
        <v>94.12</v>
      </c>
      <c r="AN88">
        <v>19.760000000000002</v>
      </c>
      <c r="AO88">
        <v>1.41</v>
      </c>
      <c r="AP88">
        <v>93.33</v>
      </c>
      <c r="AQ88">
        <v>7.06</v>
      </c>
      <c r="AR88">
        <v>0</v>
      </c>
      <c r="AS88">
        <v>100</v>
      </c>
      <c r="AT88">
        <v>35.71</v>
      </c>
      <c r="AU88">
        <v>100</v>
      </c>
      <c r="AV88">
        <v>22.59</v>
      </c>
      <c r="AW88">
        <v>1.41</v>
      </c>
      <c r="AX88">
        <v>94.12</v>
      </c>
      <c r="AY88">
        <v>11.29</v>
      </c>
      <c r="AZ88">
        <v>1.41</v>
      </c>
      <c r="BA88">
        <v>88.89</v>
      </c>
      <c r="BB88">
        <v>1.41</v>
      </c>
      <c r="BC88">
        <v>0</v>
      </c>
      <c r="BD88">
        <v>100</v>
      </c>
      <c r="BE88">
        <v>12.5</v>
      </c>
      <c r="BF88">
        <v>100</v>
      </c>
      <c r="BG88">
        <v>56.47</v>
      </c>
      <c r="BH88">
        <v>2.82</v>
      </c>
      <c r="BI88">
        <v>95.24</v>
      </c>
      <c r="BJ88">
        <v>42.35</v>
      </c>
      <c r="BK88">
        <v>2.82</v>
      </c>
      <c r="BL88">
        <v>93.75</v>
      </c>
      <c r="BM88">
        <v>5.65</v>
      </c>
      <c r="BN88">
        <v>0</v>
      </c>
      <c r="BO88">
        <v>100</v>
      </c>
      <c r="BP88">
        <v>13.33</v>
      </c>
      <c r="BQ88">
        <v>100</v>
      </c>
      <c r="BR88">
        <v>19.23</v>
      </c>
      <c r="BS88">
        <v>100</v>
      </c>
      <c r="BT88">
        <v>1.1919999999999999</v>
      </c>
    </row>
    <row r="89" spans="1:72" x14ac:dyDescent="0.35">
      <c r="A89">
        <v>15</v>
      </c>
      <c r="B89" t="s">
        <v>52</v>
      </c>
      <c r="C89">
        <v>10</v>
      </c>
      <c r="D89">
        <v>5.22</v>
      </c>
      <c r="E89">
        <v>10</v>
      </c>
      <c r="F89">
        <v>0</v>
      </c>
      <c r="G89">
        <v>0</v>
      </c>
      <c r="H89">
        <v>10</v>
      </c>
      <c r="I89">
        <v>20</v>
      </c>
      <c r="J89">
        <v>1</v>
      </c>
      <c r="K89">
        <v>86.01</v>
      </c>
      <c r="L89">
        <v>11.17</v>
      </c>
      <c r="M89">
        <v>88.51</v>
      </c>
      <c r="N89">
        <v>72.599999999999994</v>
      </c>
      <c r="O89">
        <v>7.82</v>
      </c>
      <c r="P89">
        <v>90.28</v>
      </c>
      <c r="Q89">
        <v>55.85</v>
      </c>
      <c r="R89">
        <v>6.7</v>
      </c>
      <c r="S89">
        <v>89.29</v>
      </c>
      <c r="T89">
        <v>4.47</v>
      </c>
      <c r="U89">
        <v>0</v>
      </c>
      <c r="V89">
        <v>100</v>
      </c>
      <c r="W89">
        <v>6.71</v>
      </c>
      <c r="X89">
        <v>0.34</v>
      </c>
      <c r="Y89">
        <v>95.12</v>
      </c>
      <c r="Z89">
        <v>43.56</v>
      </c>
      <c r="AA89">
        <v>3.35</v>
      </c>
      <c r="AB89">
        <v>92.86</v>
      </c>
      <c r="AC89">
        <v>31.28</v>
      </c>
      <c r="AD89">
        <v>1.1200000000000001</v>
      </c>
      <c r="AE89">
        <v>96.55</v>
      </c>
      <c r="AF89">
        <v>3.35</v>
      </c>
      <c r="AG89">
        <v>0</v>
      </c>
      <c r="AH89">
        <v>100</v>
      </c>
      <c r="AI89">
        <v>10.71</v>
      </c>
      <c r="AJ89">
        <v>100</v>
      </c>
      <c r="AK89">
        <v>17.87</v>
      </c>
      <c r="AL89">
        <v>1.1200000000000001</v>
      </c>
      <c r="AM89">
        <v>94.12</v>
      </c>
      <c r="AN89">
        <v>15.64</v>
      </c>
      <c r="AO89">
        <v>1.1200000000000001</v>
      </c>
      <c r="AP89">
        <v>93.33</v>
      </c>
      <c r="AQ89">
        <v>2.23</v>
      </c>
      <c r="AR89">
        <v>0</v>
      </c>
      <c r="AS89">
        <v>100</v>
      </c>
      <c r="AT89">
        <v>14.29</v>
      </c>
      <c r="AU89">
        <v>100</v>
      </c>
      <c r="AV89">
        <v>25.69</v>
      </c>
      <c r="AW89">
        <v>2.23</v>
      </c>
      <c r="AX89">
        <v>92</v>
      </c>
      <c r="AY89">
        <v>15.64</v>
      </c>
      <c r="AZ89">
        <v>0</v>
      </c>
      <c r="BA89">
        <v>100</v>
      </c>
      <c r="BB89">
        <v>1.1200000000000001</v>
      </c>
      <c r="BC89">
        <v>0</v>
      </c>
      <c r="BD89">
        <v>100</v>
      </c>
      <c r="BE89">
        <v>7.14</v>
      </c>
      <c r="BF89" t="s">
        <v>85</v>
      </c>
      <c r="BG89">
        <v>40.21</v>
      </c>
      <c r="BH89">
        <v>4.47</v>
      </c>
      <c r="BI89">
        <v>90</v>
      </c>
      <c r="BJ89">
        <v>24.57</v>
      </c>
      <c r="BK89">
        <v>3.35</v>
      </c>
      <c r="BL89">
        <v>88</v>
      </c>
      <c r="BM89">
        <v>1.1200000000000001</v>
      </c>
      <c r="BN89">
        <v>0</v>
      </c>
      <c r="BO89">
        <v>100</v>
      </c>
      <c r="BP89">
        <v>4.55</v>
      </c>
      <c r="BQ89">
        <v>100</v>
      </c>
      <c r="BR89">
        <v>8</v>
      </c>
      <c r="BS89">
        <v>100</v>
      </c>
      <c r="BT89">
        <v>1.08</v>
      </c>
    </row>
    <row r="90" spans="1:72" x14ac:dyDescent="0.35">
      <c r="A90">
        <v>16</v>
      </c>
      <c r="B90" t="s">
        <v>53</v>
      </c>
      <c r="C90">
        <v>10</v>
      </c>
      <c r="D90">
        <v>4.3499999999999996</v>
      </c>
      <c r="E90">
        <v>4</v>
      </c>
      <c r="F90">
        <v>4</v>
      </c>
      <c r="G90">
        <v>2</v>
      </c>
      <c r="H90">
        <v>3</v>
      </c>
      <c r="I90">
        <v>10</v>
      </c>
      <c r="J90">
        <v>0.5</v>
      </c>
      <c r="K90">
        <v>90.59</v>
      </c>
      <c r="L90">
        <v>8.39</v>
      </c>
      <c r="M90">
        <v>91.53</v>
      </c>
      <c r="N90">
        <v>68.78</v>
      </c>
      <c r="O90">
        <v>3.36</v>
      </c>
      <c r="P90">
        <v>95.35</v>
      </c>
      <c r="Q90">
        <v>58.71</v>
      </c>
      <c r="R90">
        <v>3.36</v>
      </c>
      <c r="S90">
        <v>94.59</v>
      </c>
      <c r="T90">
        <v>10.07</v>
      </c>
      <c r="U90">
        <v>0</v>
      </c>
      <c r="V90">
        <v>100</v>
      </c>
      <c r="W90">
        <v>5.36</v>
      </c>
      <c r="X90">
        <v>0.14000000000000001</v>
      </c>
      <c r="Y90">
        <v>97.48</v>
      </c>
      <c r="Z90">
        <v>40.26</v>
      </c>
      <c r="AA90">
        <v>5.03</v>
      </c>
      <c r="AB90">
        <v>88.89</v>
      </c>
      <c r="AC90">
        <v>25.16</v>
      </c>
      <c r="AD90">
        <v>1.68</v>
      </c>
      <c r="AE90">
        <v>93.75</v>
      </c>
      <c r="AF90">
        <v>5.03</v>
      </c>
      <c r="AG90">
        <v>0</v>
      </c>
      <c r="AH90">
        <v>100</v>
      </c>
      <c r="AI90">
        <v>20</v>
      </c>
      <c r="AJ90">
        <v>100</v>
      </c>
      <c r="AK90">
        <v>11.74</v>
      </c>
      <c r="AL90">
        <v>0</v>
      </c>
      <c r="AM90">
        <v>100</v>
      </c>
      <c r="AN90">
        <v>11.74</v>
      </c>
      <c r="AO90">
        <v>0</v>
      </c>
      <c r="AP90">
        <v>100</v>
      </c>
      <c r="AQ90">
        <v>5.03</v>
      </c>
      <c r="AR90">
        <v>0</v>
      </c>
      <c r="AS90">
        <v>100</v>
      </c>
      <c r="AT90">
        <v>42.86</v>
      </c>
      <c r="AU90" t="s">
        <v>85</v>
      </c>
      <c r="AV90">
        <v>28.52</v>
      </c>
      <c r="AW90">
        <v>5.03</v>
      </c>
      <c r="AX90">
        <v>85</v>
      </c>
      <c r="AY90">
        <v>13.42</v>
      </c>
      <c r="AZ90">
        <v>1.68</v>
      </c>
      <c r="BA90">
        <v>88.89</v>
      </c>
      <c r="BB90">
        <v>0</v>
      </c>
      <c r="BC90">
        <v>0</v>
      </c>
      <c r="BD90" t="s">
        <v>85</v>
      </c>
      <c r="BE90">
        <v>0</v>
      </c>
      <c r="BF90">
        <v>100</v>
      </c>
      <c r="BG90">
        <v>50.33</v>
      </c>
      <c r="BH90">
        <v>0</v>
      </c>
      <c r="BI90">
        <v>100</v>
      </c>
      <c r="BJ90">
        <v>33.549999999999997</v>
      </c>
      <c r="BK90">
        <v>0</v>
      </c>
      <c r="BL90">
        <v>100</v>
      </c>
      <c r="BM90">
        <v>5.03</v>
      </c>
      <c r="BN90">
        <v>0</v>
      </c>
      <c r="BO90">
        <v>100</v>
      </c>
      <c r="BP90">
        <v>15</v>
      </c>
      <c r="BQ90" t="s">
        <v>85</v>
      </c>
      <c r="BR90">
        <v>17.14</v>
      </c>
      <c r="BS90">
        <v>100</v>
      </c>
      <c r="BT90">
        <v>1.171</v>
      </c>
    </row>
    <row r="91" spans="1:72" x14ac:dyDescent="0.35">
      <c r="A91">
        <v>17</v>
      </c>
      <c r="B91" t="s">
        <v>54</v>
      </c>
      <c r="C91">
        <v>10</v>
      </c>
      <c r="D91">
        <v>5.2</v>
      </c>
      <c r="E91">
        <v>2</v>
      </c>
      <c r="F91">
        <v>7</v>
      </c>
      <c r="G91">
        <v>1</v>
      </c>
      <c r="H91">
        <v>2</v>
      </c>
      <c r="I91">
        <v>5</v>
      </c>
      <c r="J91">
        <v>0.25</v>
      </c>
      <c r="K91">
        <v>66.349999999999994</v>
      </c>
      <c r="L91">
        <v>5.62</v>
      </c>
      <c r="M91">
        <v>92.19</v>
      </c>
      <c r="N91">
        <v>50.61</v>
      </c>
      <c r="O91">
        <v>5.62</v>
      </c>
      <c r="P91">
        <v>90</v>
      </c>
      <c r="Q91">
        <v>35.99</v>
      </c>
      <c r="R91">
        <v>4.5</v>
      </c>
      <c r="S91">
        <v>88.89</v>
      </c>
      <c r="T91">
        <v>4.5</v>
      </c>
      <c r="U91">
        <v>0</v>
      </c>
      <c r="V91">
        <v>100</v>
      </c>
      <c r="W91">
        <v>4.71</v>
      </c>
      <c r="X91">
        <v>0.65</v>
      </c>
      <c r="Y91">
        <v>87.85</v>
      </c>
      <c r="Z91">
        <v>33.74</v>
      </c>
      <c r="AA91">
        <v>4.5</v>
      </c>
      <c r="AB91">
        <v>88.24</v>
      </c>
      <c r="AC91">
        <v>20.239999999999998</v>
      </c>
      <c r="AD91">
        <v>4.5</v>
      </c>
      <c r="AE91">
        <v>81.819999999999993</v>
      </c>
      <c r="AF91">
        <v>3.37</v>
      </c>
      <c r="AG91">
        <v>0</v>
      </c>
      <c r="AH91">
        <v>100</v>
      </c>
      <c r="AI91">
        <v>16.670000000000002</v>
      </c>
      <c r="AJ91">
        <v>100</v>
      </c>
      <c r="AK91">
        <v>14.62</v>
      </c>
      <c r="AL91">
        <v>3.37</v>
      </c>
      <c r="AM91">
        <v>81.25</v>
      </c>
      <c r="AN91">
        <v>9</v>
      </c>
      <c r="AO91">
        <v>3.37</v>
      </c>
      <c r="AP91">
        <v>72.73</v>
      </c>
      <c r="AQ91">
        <v>3.37</v>
      </c>
      <c r="AR91">
        <v>0</v>
      </c>
      <c r="AS91">
        <v>100</v>
      </c>
      <c r="AT91">
        <v>37.5</v>
      </c>
      <c r="AU91">
        <v>100</v>
      </c>
      <c r="AV91">
        <v>19.12</v>
      </c>
      <c r="AW91">
        <v>1.1200000000000001</v>
      </c>
      <c r="AX91">
        <v>94.44</v>
      </c>
      <c r="AY91">
        <v>11.25</v>
      </c>
      <c r="AZ91">
        <v>1.1200000000000001</v>
      </c>
      <c r="BA91">
        <v>90.91</v>
      </c>
      <c r="BB91">
        <v>0</v>
      </c>
      <c r="BC91">
        <v>0</v>
      </c>
      <c r="BD91" t="s">
        <v>85</v>
      </c>
      <c r="BE91">
        <v>0</v>
      </c>
      <c r="BF91">
        <v>100</v>
      </c>
      <c r="BG91">
        <v>32.61</v>
      </c>
      <c r="BH91">
        <v>1.1200000000000001</v>
      </c>
      <c r="BI91">
        <v>96.67</v>
      </c>
      <c r="BJ91">
        <v>15.75</v>
      </c>
      <c r="BK91">
        <v>0</v>
      </c>
      <c r="BL91">
        <v>100</v>
      </c>
      <c r="BM91">
        <v>1.1200000000000001</v>
      </c>
      <c r="BN91">
        <v>0</v>
      </c>
      <c r="BO91">
        <v>100</v>
      </c>
      <c r="BP91">
        <v>7.14</v>
      </c>
      <c r="BQ91" t="s">
        <v>85</v>
      </c>
      <c r="BR91">
        <v>12.5</v>
      </c>
      <c r="BS91">
        <v>100</v>
      </c>
      <c r="BT91">
        <v>1.125</v>
      </c>
    </row>
    <row r="92" spans="1:72" x14ac:dyDescent="0.35">
      <c r="A92">
        <v>18</v>
      </c>
      <c r="B92" t="s">
        <v>55</v>
      </c>
      <c r="C92">
        <v>10</v>
      </c>
      <c r="D92">
        <v>4.29</v>
      </c>
      <c r="E92">
        <v>4</v>
      </c>
      <c r="F92">
        <v>6</v>
      </c>
      <c r="G92">
        <v>0</v>
      </c>
      <c r="H92">
        <v>4</v>
      </c>
      <c r="I92">
        <v>8</v>
      </c>
      <c r="J92">
        <v>0.4</v>
      </c>
      <c r="K92">
        <v>76.31</v>
      </c>
      <c r="L92">
        <v>8.0299999999999994</v>
      </c>
      <c r="M92">
        <v>90.48</v>
      </c>
      <c r="N92">
        <v>49.54</v>
      </c>
      <c r="O92">
        <v>6.69</v>
      </c>
      <c r="P92">
        <v>88.1</v>
      </c>
      <c r="Q92">
        <v>37.49</v>
      </c>
      <c r="R92">
        <v>6.69</v>
      </c>
      <c r="S92">
        <v>84.85</v>
      </c>
      <c r="T92">
        <v>8.0299999999999994</v>
      </c>
      <c r="U92">
        <v>0</v>
      </c>
      <c r="V92">
        <v>100</v>
      </c>
      <c r="W92">
        <v>3.44</v>
      </c>
      <c r="X92">
        <v>0.26</v>
      </c>
      <c r="Y92">
        <v>92.89</v>
      </c>
      <c r="Z92">
        <v>33.47</v>
      </c>
      <c r="AA92">
        <v>2.68</v>
      </c>
      <c r="AB92">
        <v>92.59</v>
      </c>
      <c r="AC92">
        <v>20.079999999999998</v>
      </c>
      <c r="AD92">
        <v>2.68</v>
      </c>
      <c r="AE92">
        <v>88.24</v>
      </c>
      <c r="AF92">
        <v>5.36</v>
      </c>
      <c r="AG92">
        <v>0</v>
      </c>
      <c r="AH92">
        <v>100</v>
      </c>
      <c r="AI92">
        <v>26.67</v>
      </c>
      <c r="AJ92">
        <v>100</v>
      </c>
      <c r="AK92">
        <v>10.71</v>
      </c>
      <c r="AL92">
        <v>0</v>
      </c>
      <c r="AM92">
        <v>100</v>
      </c>
      <c r="AN92">
        <v>6.69</v>
      </c>
      <c r="AO92">
        <v>0</v>
      </c>
      <c r="AP92">
        <v>100</v>
      </c>
      <c r="AQ92">
        <v>2.68</v>
      </c>
      <c r="AR92">
        <v>0</v>
      </c>
      <c r="AS92">
        <v>100</v>
      </c>
      <c r="AT92">
        <v>40</v>
      </c>
      <c r="AU92" t="s">
        <v>85</v>
      </c>
      <c r="AV92">
        <v>22.76</v>
      </c>
      <c r="AW92">
        <v>2.68</v>
      </c>
      <c r="AX92">
        <v>89.47</v>
      </c>
      <c r="AY92">
        <v>13.39</v>
      </c>
      <c r="AZ92">
        <v>2.68</v>
      </c>
      <c r="BA92">
        <v>83.33</v>
      </c>
      <c r="BB92">
        <v>2.68</v>
      </c>
      <c r="BC92">
        <v>0</v>
      </c>
      <c r="BD92">
        <v>100</v>
      </c>
      <c r="BE92">
        <v>20</v>
      </c>
      <c r="BF92">
        <v>100</v>
      </c>
      <c r="BG92">
        <v>42.84</v>
      </c>
      <c r="BH92">
        <v>4.0199999999999996</v>
      </c>
      <c r="BI92">
        <v>91.43</v>
      </c>
      <c r="BJ92">
        <v>17.399999999999999</v>
      </c>
      <c r="BK92">
        <v>2.68</v>
      </c>
      <c r="BL92">
        <v>86.67</v>
      </c>
      <c r="BM92">
        <v>2.68</v>
      </c>
      <c r="BN92">
        <v>0</v>
      </c>
      <c r="BO92">
        <v>100</v>
      </c>
      <c r="BP92">
        <v>15.38</v>
      </c>
      <c r="BQ92">
        <v>100</v>
      </c>
      <c r="BR92">
        <v>21.43</v>
      </c>
      <c r="BS92">
        <v>100</v>
      </c>
      <c r="BT92">
        <v>1.214</v>
      </c>
    </row>
    <row r="93" spans="1:72" x14ac:dyDescent="0.35">
      <c r="A93">
        <v>19</v>
      </c>
      <c r="B93" t="s">
        <v>56</v>
      </c>
      <c r="C93">
        <v>10</v>
      </c>
      <c r="D93">
        <v>4.1900000000000004</v>
      </c>
      <c r="E93">
        <v>8</v>
      </c>
      <c r="F93">
        <v>1</v>
      </c>
      <c r="G93">
        <v>1</v>
      </c>
      <c r="H93">
        <v>7</v>
      </c>
      <c r="I93">
        <v>17</v>
      </c>
      <c r="J93">
        <v>0.85</v>
      </c>
      <c r="K93">
        <v>93.09</v>
      </c>
      <c r="L93">
        <v>13.89</v>
      </c>
      <c r="M93">
        <v>87.01</v>
      </c>
      <c r="N93">
        <v>66.69</v>
      </c>
      <c r="O93">
        <v>9.73</v>
      </c>
      <c r="P93">
        <v>87.27</v>
      </c>
      <c r="Q93">
        <v>52.8</v>
      </c>
      <c r="R93">
        <v>9.73</v>
      </c>
      <c r="S93">
        <v>84.44</v>
      </c>
      <c r="T93">
        <v>6.95</v>
      </c>
      <c r="U93">
        <v>0</v>
      </c>
      <c r="V93">
        <v>100</v>
      </c>
      <c r="W93">
        <v>7.9</v>
      </c>
      <c r="X93">
        <v>0.32</v>
      </c>
      <c r="Y93">
        <v>96.1</v>
      </c>
      <c r="Z93">
        <v>56.97</v>
      </c>
      <c r="AA93">
        <v>4.17</v>
      </c>
      <c r="AB93">
        <v>93.18</v>
      </c>
      <c r="AC93">
        <v>37.51</v>
      </c>
      <c r="AD93">
        <v>2.78</v>
      </c>
      <c r="AE93">
        <v>93.1</v>
      </c>
      <c r="AF93">
        <v>6.95</v>
      </c>
      <c r="AG93">
        <v>0</v>
      </c>
      <c r="AH93">
        <v>100</v>
      </c>
      <c r="AI93">
        <v>18.52</v>
      </c>
      <c r="AJ93">
        <v>100</v>
      </c>
      <c r="AK93">
        <v>25.01</v>
      </c>
      <c r="AL93">
        <v>0</v>
      </c>
      <c r="AM93">
        <v>100</v>
      </c>
      <c r="AN93">
        <v>19.45</v>
      </c>
      <c r="AO93">
        <v>0</v>
      </c>
      <c r="AP93">
        <v>100</v>
      </c>
      <c r="AQ93">
        <v>4.17</v>
      </c>
      <c r="AR93">
        <v>0</v>
      </c>
      <c r="AS93">
        <v>100</v>
      </c>
      <c r="AT93">
        <v>21.43</v>
      </c>
      <c r="AU93" t="s">
        <v>85</v>
      </c>
      <c r="AV93">
        <v>31.96</v>
      </c>
      <c r="AW93">
        <v>4.17</v>
      </c>
      <c r="AX93">
        <v>88.46</v>
      </c>
      <c r="AY93">
        <v>18.059999999999999</v>
      </c>
      <c r="AZ93">
        <v>2.78</v>
      </c>
      <c r="BA93">
        <v>86.67</v>
      </c>
      <c r="BB93">
        <v>2.78</v>
      </c>
      <c r="BC93">
        <v>0</v>
      </c>
      <c r="BD93">
        <v>100</v>
      </c>
      <c r="BE93">
        <v>15.38</v>
      </c>
      <c r="BF93">
        <v>100</v>
      </c>
      <c r="BG93">
        <v>31.96</v>
      </c>
      <c r="BH93">
        <v>5.56</v>
      </c>
      <c r="BI93">
        <v>85.19</v>
      </c>
      <c r="BJ93">
        <v>15.28</v>
      </c>
      <c r="BK93">
        <v>2.78</v>
      </c>
      <c r="BL93">
        <v>84.62</v>
      </c>
      <c r="BM93">
        <v>0</v>
      </c>
      <c r="BN93">
        <v>0</v>
      </c>
      <c r="BO93" t="s">
        <v>85</v>
      </c>
      <c r="BP93">
        <v>0</v>
      </c>
      <c r="BQ93">
        <v>100</v>
      </c>
      <c r="BR93">
        <v>13.16</v>
      </c>
      <c r="BS93">
        <v>100</v>
      </c>
      <c r="BT93">
        <v>1.1319999999999999</v>
      </c>
    </row>
    <row r="94" spans="1:72" x14ac:dyDescent="0.35">
      <c r="A94">
        <v>20</v>
      </c>
      <c r="B94" t="s">
        <v>57</v>
      </c>
      <c r="C94">
        <v>10</v>
      </c>
      <c r="D94">
        <v>5.3</v>
      </c>
      <c r="E94">
        <v>4</v>
      </c>
      <c r="F94">
        <v>4</v>
      </c>
      <c r="G94">
        <v>2</v>
      </c>
      <c r="H94">
        <v>4</v>
      </c>
      <c r="I94">
        <v>10</v>
      </c>
      <c r="J94">
        <v>0.5</v>
      </c>
      <c r="K94">
        <v>101.22</v>
      </c>
      <c r="L94">
        <v>14.65</v>
      </c>
      <c r="M94">
        <v>87.36</v>
      </c>
      <c r="N94">
        <v>75.92</v>
      </c>
      <c r="O94">
        <v>13.32</v>
      </c>
      <c r="P94">
        <v>85.07</v>
      </c>
      <c r="Q94">
        <v>49.28</v>
      </c>
      <c r="R94">
        <v>11.99</v>
      </c>
      <c r="S94">
        <v>80.430000000000007</v>
      </c>
      <c r="T94">
        <v>5.33</v>
      </c>
      <c r="U94">
        <v>2.66</v>
      </c>
      <c r="V94">
        <v>66.67</v>
      </c>
      <c r="W94">
        <v>7.61</v>
      </c>
      <c r="X94">
        <v>1.0900000000000001</v>
      </c>
      <c r="Y94">
        <v>87.46</v>
      </c>
      <c r="Z94">
        <v>62.6</v>
      </c>
      <c r="AA94">
        <v>6.66</v>
      </c>
      <c r="AB94">
        <v>90.38</v>
      </c>
      <c r="AC94">
        <v>37.29</v>
      </c>
      <c r="AD94">
        <v>6.66</v>
      </c>
      <c r="AE94">
        <v>84.85</v>
      </c>
      <c r="AF94">
        <v>5.33</v>
      </c>
      <c r="AG94">
        <v>1.33</v>
      </c>
      <c r="AH94">
        <v>80</v>
      </c>
      <c r="AI94">
        <v>14.29</v>
      </c>
      <c r="AJ94">
        <v>80</v>
      </c>
      <c r="AK94">
        <v>29.3</v>
      </c>
      <c r="AL94">
        <v>4</v>
      </c>
      <c r="AM94">
        <v>88</v>
      </c>
      <c r="AN94">
        <v>22.64</v>
      </c>
      <c r="AO94">
        <v>4</v>
      </c>
      <c r="AP94">
        <v>85</v>
      </c>
      <c r="AQ94">
        <v>4</v>
      </c>
      <c r="AR94">
        <v>1.33</v>
      </c>
      <c r="AS94">
        <v>75</v>
      </c>
      <c r="AT94">
        <v>17.649999999999999</v>
      </c>
      <c r="AU94">
        <v>66.67</v>
      </c>
      <c r="AV94">
        <v>33.299999999999997</v>
      </c>
      <c r="AW94">
        <v>2.66</v>
      </c>
      <c r="AX94">
        <v>92.59</v>
      </c>
      <c r="AY94">
        <v>14.65</v>
      </c>
      <c r="AZ94">
        <v>2.66</v>
      </c>
      <c r="BA94">
        <v>84.62</v>
      </c>
      <c r="BB94">
        <v>1.33</v>
      </c>
      <c r="BC94">
        <v>0</v>
      </c>
      <c r="BD94">
        <v>100</v>
      </c>
      <c r="BE94">
        <v>9.09</v>
      </c>
      <c r="BF94">
        <v>100</v>
      </c>
      <c r="BG94">
        <v>37.29</v>
      </c>
      <c r="BH94">
        <v>2.66</v>
      </c>
      <c r="BI94">
        <v>93.33</v>
      </c>
      <c r="BJ94">
        <v>10.65</v>
      </c>
      <c r="BK94">
        <v>2.66</v>
      </c>
      <c r="BL94">
        <v>80</v>
      </c>
      <c r="BM94">
        <v>0</v>
      </c>
      <c r="BN94">
        <v>0</v>
      </c>
      <c r="BO94" t="s">
        <v>85</v>
      </c>
      <c r="BP94">
        <v>0</v>
      </c>
      <c r="BQ94">
        <v>100</v>
      </c>
      <c r="BR94">
        <v>10.81</v>
      </c>
      <c r="BS94">
        <v>77.78</v>
      </c>
      <c r="BT94">
        <v>0.88600000000000001</v>
      </c>
    </row>
    <row r="95" spans="1:72" x14ac:dyDescent="0.35">
      <c r="A95">
        <v>21</v>
      </c>
      <c r="B95" t="s">
        <v>58</v>
      </c>
      <c r="C95">
        <v>10</v>
      </c>
      <c r="D95">
        <v>5.08</v>
      </c>
      <c r="E95">
        <v>7</v>
      </c>
      <c r="F95">
        <v>1</v>
      </c>
      <c r="G95">
        <v>2</v>
      </c>
      <c r="H95">
        <v>6</v>
      </c>
      <c r="I95">
        <v>16</v>
      </c>
      <c r="J95">
        <v>0.8</v>
      </c>
      <c r="K95">
        <v>88.92</v>
      </c>
      <c r="L95">
        <v>14.04</v>
      </c>
      <c r="M95">
        <v>86.36</v>
      </c>
      <c r="N95">
        <v>78.39</v>
      </c>
      <c r="O95">
        <v>12.87</v>
      </c>
      <c r="P95">
        <v>85.9</v>
      </c>
      <c r="Q95">
        <v>57.33</v>
      </c>
      <c r="R95">
        <v>9.36</v>
      </c>
      <c r="S95">
        <v>85.96</v>
      </c>
      <c r="T95">
        <v>7.02</v>
      </c>
      <c r="U95">
        <v>1.17</v>
      </c>
      <c r="V95">
        <v>85.71</v>
      </c>
      <c r="W95">
        <v>7.34</v>
      </c>
      <c r="X95">
        <v>0.94</v>
      </c>
      <c r="Y95">
        <v>88.7</v>
      </c>
      <c r="Z95">
        <v>58.5</v>
      </c>
      <c r="AA95">
        <v>5.85</v>
      </c>
      <c r="AB95">
        <v>90.91</v>
      </c>
      <c r="AC95">
        <v>42.12</v>
      </c>
      <c r="AD95">
        <v>3.51</v>
      </c>
      <c r="AE95">
        <v>92.31</v>
      </c>
      <c r="AF95">
        <v>4.68</v>
      </c>
      <c r="AG95">
        <v>1.17</v>
      </c>
      <c r="AH95">
        <v>80</v>
      </c>
      <c r="AI95">
        <v>11.11</v>
      </c>
      <c r="AJ95">
        <v>66.67</v>
      </c>
      <c r="AK95">
        <v>23.4</v>
      </c>
      <c r="AL95">
        <v>3.51</v>
      </c>
      <c r="AM95">
        <v>86.96</v>
      </c>
      <c r="AN95">
        <v>16.38</v>
      </c>
      <c r="AO95">
        <v>2.34</v>
      </c>
      <c r="AP95">
        <v>87.5</v>
      </c>
      <c r="AQ95">
        <v>1.17</v>
      </c>
      <c r="AR95">
        <v>1.17</v>
      </c>
      <c r="AS95">
        <v>50</v>
      </c>
      <c r="AT95">
        <v>7.14</v>
      </c>
      <c r="AU95">
        <v>50</v>
      </c>
      <c r="AV95">
        <v>35.1</v>
      </c>
      <c r="AW95">
        <v>2.34</v>
      </c>
      <c r="AX95">
        <v>93.75</v>
      </c>
      <c r="AY95">
        <v>25.74</v>
      </c>
      <c r="AZ95">
        <v>1.17</v>
      </c>
      <c r="BA95">
        <v>95.65</v>
      </c>
      <c r="BB95">
        <v>3.51</v>
      </c>
      <c r="BC95">
        <v>0</v>
      </c>
      <c r="BD95">
        <v>100</v>
      </c>
      <c r="BE95">
        <v>13.64</v>
      </c>
      <c r="BF95">
        <v>100</v>
      </c>
      <c r="BG95">
        <v>28.08</v>
      </c>
      <c r="BH95">
        <v>2.34</v>
      </c>
      <c r="BI95">
        <v>92.31</v>
      </c>
      <c r="BJ95">
        <v>15.21</v>
      </c>
      <c r="BK95">
        <v>2.34</v>
      </c>
      <c r="BL95">
        <v>86.67</v>
      </c>
      <c r="BM95">
        <v>2.34</v>
      </c>
      <c r="BN95">
        <v>0</v>
      </c>
      <c r="BO95">
        <v>100</v>
      </c>
      <c r="BP95">
        <v>15.38</v>
      </c>
      <c r="BQ95">
        <v>100</v>
      </c>
      <c r="BR95">
        <v>12.24</v>
      </c>
      <c r="BS95">
        <v>87.5</v>
      </c>
      <c r="BT95">
        <v>0.997</v>
      </c>
    </row>
    <row r="96" spans="1:72" x14ac:dyDescent="0.35">
      <c r="A96">
        <v>22</v>
      </c>
      <c r="B96" t="s">
        <v>59</v>
      </c>
      <c r="C96">
        <v>10</v>
      </c>
      <c r="D96">
        <v>7.36</v>
      </c>
      <c r="E96">
        <v>2</v>
      </c>
      <c r="F96">
        <v>5</v>
      </c>
      <c r="G96">
        <v>3</v>
      </c>
      <c r="H96">
        <v>1</v>
      </c>
      <c r="I96">
        <v>7</v>
      </c>
      <c r="J96">
        <v>0.35</v>
      </c>
      <c r="K96">
        <v>89.93</v>
      </c>
      <c r="L96">
        <v>9.99</v>
      </c>
      <c r="M96">
        <v>90</v>
      </c>
      <c r="N96">
        <v>63.59</v>
      </c>
      <c r="O96">
        <v>9.08</v>
      </c>
      <c r="P96">
        <v>87.5</v>
      </c>
      <c r="Q96">
        <v>45.42</v>
      </c>
      <c r="R96">
        <v>9.08</v>
      </c>
      <c r="S96">
        <v>83.33</v>
      </c>
      <c r="T96">
        <v>6.36</v>
      </c>
      <c r="U96">
        <v>0</v>
      </c>
      <c r="V96">
        <v>100</v>
      </c>
      <c r="W96">
        <v>5.81</v>
      </c>
      <c r="X96">
        <v>0.57999999999999996</v>
      </c>
      <c r="Y96">
        <v>90.94</v>
      </c>
      <c r="Z96">
        <v>42.69</v>
      </c>
      <c r="AA96">
        <v>3.63</v>
      </c>
      <c r="AB96">
        <v>92.16</v>
      </c>
      <c r="AC96">
        <v>20.89</v>
      </c>
      <c r="AD96">
        <v>3.63</v>
      </c>
      <c r="AE96">
        <v>85.19</v>
      </c>
      <c r="AF96">
        <v>4.54</v>
      </c>
      <c r="AG96">
        <v>0</v>
      </c>
      <c r="AH96">
        <v>100</v>
      </c>
      <c r="AI96">
        <v>21.74</v>
      </c>
      <c r="AJ96">
        <v>100</v>
      </c>
      <c r="AK96">
        <v>19.079999999999998</v>
      </c>
      <c r="AL96">
        <v>3.63</v>
      </c>
      <c r="AM96">
        <v>84</v>
      </c>
      <c r="AN96">
        <v>14.53</v>
      </c>
      <c r="AO96">
        <v>3.63</v>
      </c>
      <c r="AP96">
        <v>80</v>
      </c>
      <c r="AQ96">
        <v>4.54</v>
      </c>
      <c r="AR96">
        <v>0</v>
      </c>
      <c r="AS96">
        <v>100</v>
      </c>
      <c r="AT96">
        <v>31.25</v>
      </c>
      <c r="AU96">
        <v>100</v>
      </c>
      <c r="AV96">
        <v>23.62</v>
      </c>
      <c r="AW96">
        <v>0</v>
      </c>
      <c r="AX96">
        <v>100</v>
      </c>
      <c r="AY96">
        <v>6.36</v>
      </c>
      <c r="AZ96">
        <v>0</v>
      </c>
      <c r="BA96">
        <v>100</v>
      </c>
      <c r="BB96">
        <v>0</v>
      </c>
      <c r="BC96">
        <v>0</v>
      </c>
      <c r="BD96" t="s">
        <v>85</v>
      </c>
      <c r="BE96">
        <v>0</v>
      </c>
      <c r="BF96" t="s">
        <v>85</v>
      </c>
      <c r="BG96">
        <v>46.33</v>
      </c>
      <c r="BH96">
        <v>3.63</v>
      </c>
      <c r="BI96">
        <v>92.73</v>
      </c>
      <c r="BJ96">
        <v>24.53</v>
      </c>
      <c r="BK96">
        <v>2.73</v>
      </c>
      <c r="BL96">
        <v>90</v>
      </c>
      <c r="BM96">
        <v>1.82</v>
      </c>
      <c r="BN96">
        <v>0</v>
      </c>
      <c r="BO96">
        <v>100</v>
      </c>
      <c r="BP96">
        <v>7.41</v>
      </c>
      <c r="BQ96">
        <v>100</v>
      </c>
      <c r="BR96">
        <v>14</v>
      </c>
      <c r="BS96">
        <v>100</v>
      </c>
      <c r="BT96">
        <v>1.1399999999999999</v>
      </c>
    </row>
    <row r="97" spans="1:72" x14ac:dyDescent="0.35">
      <c r="A97">
        <v>23</v>
      </c>
      <c r="B97" t="s">
        <v>60</v>
      </c>
      <c r="C97">
        <v>10</v>
      </c>
      <c r="D97">
        <v>4.29</v>
      </c>
      <c r="E97">
        <v>7</v>
      </c>
      <c r="F97">
        <v>2</v>
      </c>
      <c r="G97">
        <v>1</v>
      </c>
      <c r="H97">
        <v>7</v>
      </c>
      <c r="I97">
        <v>15</v>
      </c>
      <c r="J97">
        <v>0.75</v>
      </c>
      <c r="K97">
        <v>93.65</v>
      </c>
      <c r="L97">
        <v>17.39</v>
      </c>
      <c r="M97">
        <v>84.34</v>
      </c>
      <c r="N97">
        <v>72.239999999999995</v>
      </c>
      <c r="O97">
        <v>16.05</v>
      </c>
      <c r="P97">
        <v>81.819999999999993</v>
      </c>
      <c r="Q97">
        <v>61.54</v>
      </c>
      <c r="R97">
        <v>14.72</v>
      </c>
      <c r="S97">
        <v>80.7</v>
      </c>
      <c r="T97">
        <v>6.69</v>
      </c>
      <c r="U97">
        <v>0</v>
      </c>
      <c r="V97">
        <v>100</v>
      </c>
      <c r="W97">
        <v>7.23</v>
      </c>
      <c r="X97">
        <v>1.3</v>
      </c>
      <c r="Y97">
        <v>84.8</v>
      </c>
      <c r="Z97">
        <v>60.2</v>
      </c>
      <c r="AA97">
        <v>10.7</v>
      </c>
      <c r="AB97">
        <v>84.91</v>
      </c>
      <c r="AC97">
        <v>40.130000000000003</v>
      </c>
      <c r="AD97">
        <v>8.0299999999999994</v>
      </c>
      <c r="AE97">
        <v>83.33</v>
      </c>
      <c r="AF97">
        <v>6.69</v>
      </c>
      <c r="AG97">
        <v>0</v>
      </c>
      <c r="AH97">
        <v>100</v>
      </c>
      <c r="AI97">
        <v>16.670000000000002</v>
      </c>
      <c r="AJ97">
        <v>100</v>
      </c>
      <c r="AK97">
        <v>26.76</v>
      </c>
      <c r="AL97">
        <v>6.69</v>
      </c>
      <c r="AM97">
        <v>80</v>
      </c>
      <c r="AN97">
        <v>22.74</v>
      </c>
      <c r="AO97">
        <v>5.35</v>
      </c>
      <c r="AP97">
        <v>80.95</v>
      </c>
      <c r="AQ97">
        <v>4.01</v>
      </c>
      <c r="AR97">
        <v>0</v>
      </c>
      <c r="AS97">
        <v>100</v>
      </c>
      <c r="AT97">
        <v>17.649999999999999</v>
      </c>
      <c r="AU97">
        <v>100</v>
      </c>
      <c r="AV97">
        <v>33.44</v>
      </c>
      <c r="AW97">
        <v>4.01</v>
      </c>
      <c r="AX97">
        <v>89.29</v>
      </c>
      <c r="AY97">
        <v>17.39</v>
      </c>
      <c r="AZ97">
        <v>2.68</v>
      </c>
      <c r="BA97">
        <v>86.67</v>
      </c>
      <c r="BB97">
        <v>2.68</v>
      </c>
      <c r="BC97">
        <v>0</v>
      </c>
      <c r="BD97">
        <v>100</v>
      </c>
      <c r="BE97">
        <v>15.38</v>
      </c>
      <c r="BF97">
        <v>100</v>
      </c>
      <c r="BG97">
        <v>29.43</v>
      </c>
      <c r="BH97">
        <v>2.68</v>
      </c>
      <c r="BI97">
        <v>91.67</v>
      </c>
      <c r="BJ97">
        <v>21.4</v>
      </c>
      <c r="BK97">
        <v>2.68</v>
      </c>
      <c r="BL97">
        <v>88.89</v>
      </c>
      <c r="BM97">
        <v>0</v>
      </c>
      <c r="BN97">
        <v>0</v>
      </c>
      <c r="BO97" t="s">
        <v>85</v>
      </c>
      <c r="BP97">
        <v>0</v>
      </c>
      <c r="BQ97">
        <v>100</v>
      </c>
      <c r="BR97">
        <v>10.87</v>
      </c>
      <c r="BS97">
        <v>100</v>
      </c>
      <c r="BT97">
        <v>1.109</v>
      </c>
    </row>
    <row r="98" spans="1:72" x14ac:dyDescent="0.35">
      <c r="A98">
        <v>24</v>
      </c>
      <c r="B98" t="s">
        <v>61</v>
      </c>
      <c r="C98">
        <v>10</v>
      </c>
      <c r="D98">
        <v>5.38</v>
      </c>
      <c r="E98">
        <v>4</v>
      </c>
      <c r="F98">
        <v>4</v>
      </c>
      <c r="G98">
        <v>2</v>
      </c>
      <c r="H98">
        <v>4</v>
      </c>
      <c r="I98">
        <v>10</v>
      </c>
      <c r="J98">
        <v>0.5</v>
      </c>
      <c r="K98">
        <v>97.19</v>
      </c>
      <c r="L98">
        <v>25.92</v>
      </c>
      <c r="M98">
        <v>78.95</v>
      </c>
      <c r="N98">
        <v>73.87</v>
      </c>
      <c r="O98">
        <v>22.03</v>
      </c>
      <c r="P98">
        <v>77.03</v>
      </c>
      <c r="Q98">
        <v>51.84</v>
      </c>
      <c r="R98">
        <v>20.73</v>
      </c>
      <c r="S98">
        <v>71.430000000000007</v>
      </c>
      <c r="T98">
        <v>7.78</v>
      </c>
      <c r="U98">
        <v>2.59</v>
      </c>
      <c r="V98">
        <v>75</v>
      </c>
      <c r="W98">
        <v>7.24</v>
      </c>
      <c r="X98">
        <v>1.17</v>
      </c>
      <c r="Y98">
        <v>86.06</v>
      </c>
      <c r="Z98">
        <v>62.2</v>
      </c>
      <c r="AA98">
        <v>9.07</v>
      </c>
      <c r="AB98">
        <v>87.27</v>
      </c>
      <c r="AC98">
        <v>37.58</v>
      </c>
      <c r="AD98">
        <v>9.07</v>
      </c>
      <c r="AE98">
        <v>80.56</v>
      </c>
      <c r="AF98">
        <v>3.89</v>
      </c>
      <c r="AG98">
        <v>2.59</v>
      </c>
      <c r="AH98">
        <v>60</v>
      </c>
      <c r="AI98">
        <v>10.34</v>
      </c>
      <c r="AJ98">
        <v>71.430000000000007</v>
      </c>
      <c r="AK98">
        <v>24.62</v>
      </c>
      <c r="AL98">
        <v>5.18</v>
      </c>
      <c r="AM98">
        <v>82.61</v>
      </c>
      <c r="AN98">
        <v>19.440000000000001</v>
      </c>
      <c r="AO98">
        <v>5.18</v>
      </c>
      <c r="AP98">
        <v>78.95</v>
      </c>
      <c r="AQ98">
        <v>3.89</v>
      </c>
      <c r="AR98">
        <v>2.59</v>
      </c>
      <c r="AS98">
        <v>60</v>
      </c>
      <c r="AT98">
        <v>20</v>
      </c>
      <c r="AU98">
        <v>50</v>
      </c>
      <c r="AV98">
        <v>37.58</v>
      </c>
      <c r="AW98">
        <v>3.89</v>
      </c>
      <c r="AX98">
        <v>90.63</v>
      </c>
      <c r="AY98">
        <v>18.14</v>
      </c>
      <c r="AZ98">
        <v>3.89</v>
      </c>
      <c r="BA98">
        <v>82.35</v>
      </c>
      <c r="BB98">
        <v>0</v>
      </c>
      <c r="BC98">
        <v>0</v>
      </c>
      <c r="BD98" t="s">
        <v>85</v>
      </c>
      <c r="BE98">
        <v>0</v>
      </c>
      <c r="BF98">
        <v>100</v>
      </c>
      <c r="BG98">
        <v>34.99</v>
      </c>
      <c r="BH98">
        <v>10.37</v>
      </c>
      <c r="BI98">
        <v>77.14</v>
      </c>
      <c r="BJ98">
        <v>14.25</v>
      </c>
      <c r="BK98">
        <v>6.48</v>
      </c>
      <c r="BL98">
        <v>68.75</v>
      </c>
      <c r="BM98">
        <v>3.89</v>
      </c>
      <c r="BN98">
        <v>0</v>
      </c>
      <c r="BO98">
        <v>100</v>
      </c>
      <c r="BP98">
        <v>27.27</v>
      </c>
      <c r="BQ98">
        <v>100</v>
      </c>
      <c r="BR98">
        <v>15</v>
      </c>
      <c r="BS98">
        <v>87.5</v>
      </c>
      <c r="BT98">
        <v>1.0249999999999999</v>
      </c>
    </row>
    <row r="99" spans="1:72" x14ac:dyDescent="0.35">
      <c r="A99">
        <v>25</v>
      </c>
      <c r="B99" t="s">
        <v>62</v>
      </c>
      <c r="C99">
        <v>10</v>
      </c>
      <c r="D99">
        <v>6.51</v>
      </c>
      <c r="E99">
        <v>2</v>
      </c>
      <c r="F99">
        <v>6</v>
      </c>
      <c r="G99">
        <v>2</v>
      </c>
      <c r="H99">
        <v>2</v>
      </c>
      <c r="I99">
        <v>6</v>
      </c>
      <c r="J99">
        <v>0.3</v>
      </c>
      <c r="K99">
        <v>112.92</v>
      </c>
      <c r="L99">
        <v>10.27</v>
      </c>
      <c r="M99">
        <v>91.67</v>
      </c>
      <c r="N99">
        <v>82.12</v>
      </c>
      <c r="O99">
        <v>7.19</v>
      </c>
      <c r="P99">
        <v>91.95</v>
      </c>
      <c r="Q99">
        <v>66.72</v>
      </c>
      <c r="R99">
        <v>4.1100000000000003</v>
      </c>
      <c r="S99">
        <v>94.2</v>
      </c>
      <c r="T99">
        <v>5.13</v>
      </c>
      <c r="U99">
        <v>0</v>
      </c>
      <c r="V99">
        <v>100</v>
      </c>
      <c r="W99">
        <v>7.75</v>
      </c>
      <c r="X99">
        <v>0.37</v>
      </c>
      <c r="Y99">
        <v>95.39</v>
      </c>
      <c r="Z99">
        <v>39.01</v>
      </c>
      <c r="AA99">
        <v>4.1100000000000003</v>
      </c>
      <c r="AB99">
        <v>90.48</v>
      </c>
      <c r="AC99">
        <v>25.66</v>
      </c>
      <c r="AD99">
        <v>1.03</v>
      </c>
      <c r="AE99">
        <v>96.15</v>
      </c>
      <c r="AF99">
        <v>5.13</v>
      </c>
      <c r="AG99">
        <v>0</v>
      </c>
      <c r="AH99">
        <v>100</v>
      </c>
      <c r="AI99">
        <v>20</v>
      </c>
      <c r="AJ99">
        <v>100</v>
      </c>
      <c r="AK99">
        <v>16.420000000000002</v>
      </c>
      <c r="AL99">
        <v>1.03</v>
      </c>
      <c r="AM99">
        <v>94.12</v>
      </c>
      <c r="AN99">
        <v>14.37</v>
      </c>
      <c r="AO99">
        <v>1.03</v>
      </c>
      <c r="AP99">
        <v>93.33</v>
      </c>
      <c r="AQ99">
        <v>4.1100000000000003</v>
      </c>
      <c r="AR99">
        <v>0</v>
      </c>
      <c r="AS99">
        <v>100</v>
      </c>
      <c r="AT99">
        <v>28.57</v>
      </c>
      <c r="AU99">
        <v>100</v>
      </c>
      <c r="AV99">
        <v>22.58</v>
      </c>
      <c r="AW99">
        <v>3.08</v>
      </c>
      <c r="AX99">
        <v>88</v>
      </c>
      <c r="AY99">
        <v>11.29</v>
      </c>
      <c r="AZ99">
        <v>0</v>
      </c>
      <c r="BA99">
        <v>100</v>
      </c>
      <c r="BB99">
        <v>1.03</v>
      </c>
      <c r="BC99">
        <v>0</v>
      </c>
      <c r="BD99">
        <v>100</v>
      </c>
      <c r="BE99">
        <v>9.09</v>
      </c>
      <c r="BF99" t="s">
        <v>85</v>
      </c>
      <c r="BG99">
        <v>69.8</v>
      </c>
      <c r="BH99">
        <v>3.08</v>
      </c>
      <c r="BI99">
        <v>95.77</v>
      </c>
      <c r="BJ99">
        <v>40.03</v>
      </c>
      <c r="BK99">
        <v>1.03</v>
      </c>
      <c r="BL99">
        <v>97.5</v>
      </c>
      <c r="BM99">
        <v>0</v>
      </c>
      <c r="BN99">
        <v>0</v>
      </c>
      <c r="BO99" t="s">
        <v>85</v>
      </c>
      <c r="BP99">
        <v>0</v>
      </c>
      <c r="BQ99">
        <v>100</v>
      </c>
      <c r="BR99">
        <v>7.69</v>
      </c>
      <c r="BS99">
        <v>100</v>
      </c>
      <c r="BT99">
        <v>1.077</v>
      </c>
    </row>
    <row r="100" spans="1:72" x14ac:dyDescent="0.35">
      <c r="A100">
        <v>26</v>
      </c>
      <c r="B100" t="s">
        <v>63</v>
      </c>
      <c r="C100">
        <v>10</v>
      </c>
      <c r="D100">
        <v>5.53</v>
      </c>
      <c r="E100">
        <v>8</v>
      </c>
      <c r="F100">
        <v>2</v>
      </c>
      <c r="G100">
        <v>0</v>
      </c>
      <c r="H100">
        <v>8</v>
      </c>
      <c r="I100">
        <v>16</v>
      </c>
      <c r="J100">
        <v>0.8</v>
      </c>
      <c r="K100">
        <v>68.81</v>
      </c>
      <c r="L100">
        <v>15.97</v>
      </c>
      <c r="M100">
        <v>81.16</v>
      </c>
      <c r="N100">
        <v>63.89</v>
      </c>
      <c r="O100">
        <v>14.74</v>
      </c>
      <c r="P100">
        <v>81.25</v>
      </c>
      <c r="Q100">
        <v>45.46</v>
      </c>
      <c r="R100">
        <v>12.29</v>
      </c>
      <c r="S100">
        <v>78.72</v>
      </c>
      <c r="T100">
        <v>8.6</v>
      </c>
      <c r="U100">
        <v>1.23</v>
      </c>
      <c r="V100">
        <v>87.5</v>
      </c>
      <c r="W100">
        <v>6.34</v>
      </c>
      <c r="X100">
        <v>0.9</v>
      </c>
      <c r="Y100">
        <v>87.56</v>
      </c>
      <c r="Z100">
        <v>41.77</v>
      </c>
      <c r="AA100">
        <v>11.06</v>
      </c>
      <c r="AB100">
        <v>79.069999999999993</v>
      </c>
      <c r="AC100">
        <v>33.17</v>
      </c>
      <c r="AD100">
        <v>8.6</v>
      </c>
      <c r="AE100">
        <v>79.41</v>
      </c>
      <c r="AF100">
        <v>8.6</v>
      </c>
      <c r="AG100">
        <v>1.23</v>
      </c>
      <c r="AH100">
        <v>87.5</v>
      </c>
      <c r="AI100">
        <v>25.93</v>
      </c>
      <c r="AJ100">
        <v>85.71</v>
      </c>
      <c r="AK100">
        <v>19.66</v>
      </c>
      <c r="AL100">
        <v>6.14</v>
      </c>
      <c r="AM100">
        <v>76.19</v>
      </c>
      <c r="AN100">
        <v>18.43</v>
      </c>
      <c r="AO100">
        <v>6.14</v>
      </c>
      <c r="AP100">
        <v>75</v>
      </c>
      <c r="AQ100">
        <v>6.14</v>
      </c>
      <c r="AR100">
        <v>0</v>
      </c>
      <c r="AS100">
        <v>100</v>
      </c>
      <c r="AT100">
        <v>33.33</v>
      </c>
      <c r="AU100">
        <v>100</v>
      </c>
      <c r="AV100">
        <v>22.12</v>
      </c>
      <c r="AW100">
        <v>4.91</v>
      </c>
      <c r="AX100">
        <v>81.819999999999993</v>
      </c>
      <c r="AY100">
        <v>14.74</v>
      </c>
      <c r="AZ100">
        <v>2.46</v>
      </c>
      <c r="BA100">
        <v>85.71</v>
      </c>
      <c r="BB100">
        <v>2.46</v>
      </c>
      <c r="BC100">
        <v>1.23</v>
      </c>
      <c r="BD100">
        <v>66.67</v>
      </c>
      <c r="BE100">
        <v>16.670000000000002</v>
      </c>
      <c r="BF100">
        <v>50</v>
      </c>
      <c r="BG100">
        <v>27.03</v>
      </c>
      <c r="BH100">
        <v>2.46</v>
      </c>
      <c r="BI100">
        <v>91.67</v>
      </c>
      <c r="BJ100">
        <v>12.29</v>
      </c>
      <c r="BK100">
        <v>1.23</v>
      </c>
      <c r="BL100">
        <v>90.91</v>
      </c>
      <c r="BM100">
        <v>0</v>
      </c>
      <c r="BN100">
        <v>0</v>
      </c>
      <c r="BO100" t="s">
        <v>85</v>
      </c>
      <c r="BP100">
        <v>0</v>
      </c>
      <c r="BQ100">
        <v>100</v>
      </c>
      <c r="BR100">
        <v>18.920000000000002</v>
      </c>
      <c r="BS100">
        <v>90</v>
      </c>
      <c r="BT100">
        <v>1.089</v>
      </c>
    </row>
    <row r="101" spans="1:72" x14ac:dyDescent="0.35">
      <c r="A101">
        <v>27</v>
      </c>
      <c r="B101" t="s">
        <v>64</v>
      </c>
      <c r="C101">
        <v>10</v>
      </c>
      <c r="D101">
        <v>5.27</v>
      </c>
      <c r="E101">
        <v>5</v>
      </c>
      <c r="F101">
        <v>4</v>
      </c>
      <c r="G101">
        <v>1</v>
      </c>
      <c r="H101">
        <v>5</v>
      </c>
      <c r="I101">
        <v>11</v>
      </c>
      <c r="J101">
        <v>0.55000000000000004</v>
      </c>
      <c r="K101">
        <v>100.24</v>
      </c>
      <c r="L101">
        <v>16.52</v>
      </c>
      <c r="M101">
        <v>85.85</v>
      </c>
      <c r="N101">
        <v>68.3</v>
      </c>
      <c r="O101">
        <v>16.52</v>
      </c>
      <c r="P101">
        <v>80.52</v>
      </c>
      <c r="Q101">
        <v>41.86</v>
      </c>
      <c r="R101">
        <v>12.12</v>
      </c>
      <c r="S101">
        <v>77.55</v>
      </c>
      <c r="T101">
        <v>4.41</v>
      </c>
      <c r="U101">
        <v>1.1000000000000001</v>
      </c>
      <c r="V101">
        <v>80</v>
      </c>
      <c r="W101">
        <v>6.54</v>
      </c>
      <c r="X101">
        <v>2.25</v>
      </c>
      <c r="Y101">
        <v>74.41</v>
      </c>
      <c r="Z101">
        <v>58.38</v>
      </c>
      <c r="AA101">
        <v>12.12</v>
      </c>
      <c r="AB101">
        <v>82.81</v>
      </c>
      <c r="AC101">
        <v>29.74</v>
      </c>
      <c r="AD101">
        <v>8.81</v>
      </c>
      <c r="AE101">
        <v>77.14</v>
      </c>
      <c r="AF101">
        <v>4.41</v>
      </c>
      <c r="AG101">
        <v>1.1000000000000001</v>
      </c>
      <c r="AH101">
        <v>80</v>
      </c>
      <c r="AI101">
        <v>14.81</v>
      </c>
      <c r="AJ101">
        <v>87.5</v>
      </c>
      <c r="AK101">
        <v>23.13</v>
      </c>
      <c r="AL101">
        <v>3.3</v>
      </c>
      <c r="AM101">
        <v>87.5</v>
      </c>
      <c r="AN101">
        <v>15.42</v>
      </c>
      <c r="AO101">
        <v>3.3</v>
      </c>
      <c r="AP101">
        <v>82.35</v>
      </c>
      <c r="AQ101">
        <v>3.3</v>
      </c>
      <c r="AR101">
        <v>1.1000000000000001</v>
      </c>
      <c r="AS101">
        <v>75</v>
      </c>
      <c r="AT101">
        <v>21.43</v>
      </c>
      <c r="AU101">
        <v>66.67</v>
      </c>
      <c r="AV101">
        <v>35.25</v>
      </c>
      <c r="AW101">
        <v>8.81</v>
      </c>
      <c r="AX101">
        <v>80</v>
      </c>
      <c r="AY101">
        <v>14.32</v>
      </c>
      <c r="AZ101">
        <v>5.51</v>
      </c>
      <c r="BA101">
        <v>72.22</v>
      </c>
      <c r="BB101">
        <v>1.1000000000000001</v>
      </c>
      <c r="BC101">
        <v>0</v>
      </c>
      <c r="BD101">
        <v>100</v>
      </c>
      <c r="BE101">
        <v>7.69</v>
      </c>
      <c r="BF101">
        <v>100</v>
      </c>
      <c r="BG101">
        <v>39.659999999999997</v>
      </c>
      <c r="BH101">
        <v>1.1000000000000001</v>
      </c>
      <c r="BI101">
        <v>97.3</v>
      </c>
      <c r="BJ101">
        <v>11.02</v>
      </c>
      <c r="BK101">
        <v>0</v>
      </c>
      <c r="BL101">
        <v>100</v>
      </c>
      <c r="BM101">
        <v>0</v>
      </c>
      <c r="BN101">
        <v>0</v>
      </c>
      <c r="BO101" t="s">
        <v>85</v>
      </c>
      <c r="BP101">
        <v>0</v>
      </c>
      <c r="BQ101" t="s">
        <v>85</v>
      </c>
      <c r="BR101">
        <v>10.53</v>
      </c>
      <c r="BS101">
        <v>90.91</v>
      </c>
      <c r="BT101">
        <v>1.014</v>
      </c>
    </row>
    <row r="102" spans="1:72" x14ac:dyDescent="0.35">
      <c r="A102">
        <v>28</v>
      </c>
      <c r="B102" t="s">
        <v>65</v>
      </c>
      <c r="C102">
        <v>10</v>
      </c>
      <c r="D102">
        <v>4.08</v>
      </c>
      <c r="E102">
        <v>4</v>
      </c>
      <c r="F102">
        <v>5</v>
      </c>
      <c r="G102">
        <v>1</v>
      </c>
      <c r="H102">
        <v>3</v>
      </c>
      <c r="I102">
        <v>9</v>
      </c>
      <c r="J102">
        <v>0.45</v>
      </c>
      <c r="K102">
        <v>127.74</v>
      </c>
      <c r="L102">
        <v>10.16</v>
      </c>
      <c r="M102">
        <v>92.63</v>
      </c>
      <c r="N102">
        <v>85.65</v>
      </c>
      <c r="O102">
        <v>7.26</v>
      </c>
      <c r="P102">
        <v>92.19</v>
      </c>
      <c r="Q102">
        <v>59.52</v>
      </c>
      <c r="R102">
        <v>5.81</v>
      </c>
      <c r="S102">
        <v>91.11</v>
      </c>
      <c r="T102">
        <v>8.7100000000000009</v>
      </c>
      <c r="U102">
        <v>0</v>
      </c>
      <c r="V102">
        <v>100</v>
      </c>
      <c r="W102">
        <v>7.94</v>
      </c>
      <c r="X102">
        <v>0.59</v>
      </c>
      <c r="Y102">
        <v>93.03</v>
      </c>
      <c r="Z102">
        <v>76.94</v>
      </c>
      <c r="AA102">
        <v>7.26</v>
      </c>
      <c r="AB102">
        <v>91.38</v>
      </c>
      <c r="AC102">
        <v>34.840000000000003</v>
      </c>
      <c r="AD102">
        <v>4.3499999999999996</v>
      </c>
      <c r="AE102">
        <v>88.89</v>
      </c>
      <c r="AF102">
        <v>5.81</v>
      </c>
      <c r="AG102">
        <v>0</v>
      </c>
      <c r="AH102">
        <v>100</v>
      </c>
      <c r="AI102">
        <v>16.670000000000002</v>
      </c>
      <c r="AJ102">
        <v>100</v>
      </c>
      <c r="AK102">
        <v>29.03</v>
      </c>
      <c r="AL102">
        <v>2.9</v>
      </c>
      <c r="AM102">
        <v>90.91</v>
      </c>
      <c r="AN102">
        <v>15.97</v>
      </c>
      <c r="AO102">
        <v>2.9</v>
      </c>
      <c r="AP102">
        <v>84.62</v>
      </c>
      <c r="AQ102">
        <v>4.3499999999999996</v>
      </c>
      <c r="AR102">
        <v>0</v>
      </c>
      <c r="AS102">
        <v>100</v>
      </c>
      <c r="AT102">
        <v>27.27</v>
      </c>
      <c r="AU102">
        <v>100</v>
      </c>
      <c r="AV102">
        <v>47.9</v>
      </c>
      <c r="AW102">
        <v>4.3499999999999996</v>
      </c>
      <c r="AX102">
        <v>91.67</v>
      </c>
      <c r="AY102">
        <v>18.87</v>
      </c>
      <c r="AZ102">
        <v>1.45</v>
      </c>
      <c r="BA102">
        <v>92.86</v>
      </c>
      <c r="BB102">
        <v>1.45</v>
      </c>
      <c r="BC102">
        <v>0</v>
      </c>
      <c r="BD102">
        <v>100</v>
      </c>
      <c r="BE102">
        <v>7.69</v>
      </c>
      <c r="BF102">
        <v>100</v>
      </c>
      <c r="BG102">
        <v>50.81</v>
      </c>
      <c r="BH102">
        <v>1.45</v>
      </c>
      <c r="BI102">
        <v>97.22</v>
      </c>
      <c r="BJ102">
        <v>24.68</v>
      </c>
      <c r="BK102">
        <v>0</v>
      </c>
      <c r="BL102">
        <v>100</v>
      </c>
      <c r="BM102">
        <v>2.9</v>
      </c>
      <c r="BN102">
        <v>0</v>
      </c>
      <c r="BO102">
        <v>100</v>
      </c>
      <c r="BP102">
        <v>11.76</v>
      </c>
      <c r="BQ102" t="s">
        <v>85</v>
      </c>
      <c r="BR102">
        <v>14.63</v>
      </c>
      <c r="BS102">
        <v>100</v>
      </c>
      <c r="BT102">
        <v>1.1459999999999999</v>
      </c>
    </row>
    <row r="103" spans="1:72" x14ac:dyDescent="0.35">
      <c r="A103">
        <v>29</v>
      </c>
      <c r="B103" t="s">
        <v>68</v>
      </c>
      <c r="C103">
        <v>10</v>
      </c>
      <c r="D103">
        <v>4.1399999999999997</v>
      </c>
      <c r="E103">
        <v>8</v>
      </c>
      <c r="F103">
        <v>2</v>
      </c>
      <c r="G103">
        <v>0</v>
      </c>
      <c r="H103">
        <v>8</v>
      </c>
      <c r="I103">
        <v>16</v>
      </c>
      <c r="J103">
        <v>0.8</v>
      </c>
      <c r="K103">
        <v>136.06</v>
      </c>
      <c r="L103">
        <v>14.17</v>
      </c>
      <c r="M103">
        <v>90.57</v>
      </c>
      <c r="N103">
        <v>106.3</v>
      </c>
      <c r="O103">
        <v>9.92</v>
      </c>
      <c r="P103">
        <v>91.46</v>
      </c>
      <c r="Q103">
        <v>82.2</v>
      </c>
      <c r="R103">
        <v>7.09</v>
      </c>
      <c r="S103">
        <v>92.06</v>
      </c>
      <c r="T103">
        <v>12.76</v>
      </c>
      <c r="U103">
        <v>0</v>
      </c>
      <c r="V103">
        <v>100</v>
      </c>
      <c r="W103">
        <v>10</v>
      </c>
      <c r="X103">
        <v>0.54</v>
      </c>
      <c r="Y103">
        <v>94.83</v>
      </c>
      <c r="Z103">
        <v>65.2</v>
      </c>
      <c r="AA103">
        <v>5.67</v>
      </c>
      <c r="AB103">
        <v>92</v>
      </c>
      <c r="AC103">
        <v>45.35</v>
      </c>
      <c r="AD103">
        <v>0</v>
      </c>
      <c r="AE103">
        <v>100</v>
      </c>
      <c r="AF103">
        <v>8.5</v>
      </c>
      <c r="AG103">
        <v>0</v>
      </c>
      <c r="AH103">
        <v>100</v>
      </c>
      <c r="AI103">
        <v>18.75</v>
      </c>
      <c r="AJ103" t="s">
        <v>85</v>
      </c>
      <c r="AK103">
        <v>29.76</v>
      </c>
      <c r="AL103">
        <v>4.25</v>
      </c>
      <c r="AM103">
        <v>87.5</v>
      </c>
      <c r="AN103">
        <v>22.68</v>
      </c>
      <c r="AO103">
        <v>0</v>
      </c>
      <c r="AP103">
        <v>100</v>
      </c>
      <c r="AQ103">
        <v>5.67</v>
      </c>
      <c r="AR103">
        <v>0</v>
      </c>
      <c r="AS103">
        <v>100</v>
      </c>
      <c r="AT103">
        <v>25</v>
      </c>
      <c r="AU103" t="s">
        <v>85</v>
      </c>
      <c r="AV103">
        <v>35.43</v>
      </c>
      <c r="AW103">
        <v>1.42</v>
      </c>
      <c r="AX103">
        <v>96.15</v>
      </c>
      <c r="AY103">
        <v>22.68</v>
      </c>
      <c r="AZ103">
        <v>0</v>
      </c>
      <c r="BA103">
        <v>100</v>
      </c>
      <c r="BB103">
        <v>2.83</v>
      </c>
      <c r="BC103">
        <v>0</v>
      </c>
      <c r="BD103">
        <v>100</v>
      </c>
      <c r="BE103">
        <v>12.5</v>
      </c>
      <c r="BF103" t="s">
        <v>85</v>
      </c>
      <c r="BG103">
        <v>65.2</v>
      </c>
      <c r="BH103">
        <v>4.25</v>
      </c>
      <c r="BI103">
        <v>93.88</v>
      </c>
      <c r="BJ103">
        <v>35.43</v>
      </c>
      <c r="BK103">
        <v>2.83</v>
      </c>
      <c r="BL103">
        <v>92.59</v>
      </c>
      <c r="BM103">
        <v>4.25</v>
      </c>
      <c r="BN103">
        <v>0</v>
      </c>
      <c r="BO103">
        <v>100</v>
      </c>
      <c r="BP103">
        <v>12</v>
      </c>
      <c r="BQ103">
        <v>100</v>
      </c>
      <c r="BR103">
        <v>15.52</v>
      </c>
      <c r="BS103">
        <v>100</v>
      </c>
      <c r="BT103">
        <v>1.155</v>
      </c>
    </row>
    <row r="104" spans="1:72" x14ac:dyDescent="0.35">
      <c r="A104">
        <v>30</v>
      </c>
      <c r="B104" t="s">
        <v>66</v>
      </c>
      <c r="C104">
        <v>10</v>
      </c>
      <c r="D104">
        <v>4.04</v>
      </c>
      <c r="E104">
        <v>7</v>
      </c>
      <c r="F104">
        <v>3</v>
      </c>
      <c r="G104">
        <v>0</v>
      </c>
      <c r="H104">
        <v>7</v>
      </c>
      <c r="I104">
        <v>14</v>
      </c>
      <c r="J104">
        <v>0.7</v>
      </c>
      <c r="K104">
        <v>81.28</v>
      </c>
      <c r="L104">
        <v>16.260000000000002</v>
      </c>
      <c r="M104">
        <v>83.33</v>
      </c>
      <c r="N104">
        <v>66.5</v>
      </c>
      <c r="O104">
        <v>11.82</v>
      </c>
      <c r="P104">
        <v>84.91</v>
      </c>
      <c r="Q104">
        <v>48.77</v>
      </c>
      <c r="R104">
        <v>10.34</v>
      </c>
      <c r="S104">
        <v>82.5</v>
      </c>
      <c r="T104">
        <v>8.8699999999999992</v>
      </c>
      <c r="U104">
        <v>0</v>
      </c>
      <c r="V104">
        <v>100</v>
      </c>
      <c r="W104">
        <v>6.45</v>
      </c>
      <c r="X104">
        <v>0.49</v>
      </c>
      <c r="Y104">
        <v>92.95</v>
      </c>
      <c r="Z104">
        <v>50.25</v>
      </c>
      <c r="AA104">
        <v>7.39</v>
      </c>
      <c r="AB104">
        <v>87.18</v>
      </c>
      <c r="AC104">
        <v>31.03</v>
      </c>
      <c r="AD104">
        <v>4.43</v>
      </c>
      <c r="AE104">
        <v>87.5</v>
      </c>
      <c r="AF104">
        <v>8.8699999999999992</v>
      </c>
      <c r="AG104">
        <v>0</v>
      </c>
      <c r="AH104">
        <v>100</v>
      </c>
      <c r="AI104">
        <v>28.57</v>
      </c>
      <c r="AJ104">
        <v>100</v>
      </c>
      <c r="AK104">
        <v>23.65</v>
      </c>
      <c r="AL104">
        <v>1.48</v>
      </c>
      <c r="AM104">
        <v>94.12</v>
      </c>
      <c r="AN104">
        <v>17.73</v>
      </c>
      <c r="AO104">
        <v>0</v>
      </c>
      <c r="AP104">
        <v>100</v>
      </c>
      <c r="AQ104">
        <v>2.96</v>
      </c>
      <c r="AR104">
        <v>0</v>
      </c>
      <c r="AS104">
        <v>100</v>
      </c>
      <c r="AT104">
        <v>16.670000000000002</v>
      </c>
      <c r="AU104" t="s">
        <v>85</v>
      </c>
      <c r="AV104">
        <v>26.6</v>
      </c>
      <c r="AW104">
        <v>5.91</v>
      </c>
      <c r="AX104">
        <v>81.819999999999993</v>
      </c>
      <c r="AY104">
        <v>13.3</v>
      </c>
      <c r="AZ104">
        <v>4.43</v>
      </c>
      <c r="BA104">
        <v>75</v>
      </c>
      <c r="BB104">
        <v>5.91</v>
      </c>
      <c r="BC104">
        <v>0</v>
      </c>
      <c r="BD104">
        <v>100</v>
      </c>
      <c r="BE104">
        <v>44.44</v>
      </c>
      <c r="BF104">
        <v>100</v>
      </c>
      <c r="BG104">
        <v>31.03</v>
      </c>
      <c r="BH104">
        <v>4.43</v>
      </c>
      <c r="BI104">
        <v>87.5</v>
      </c>
      <c r="BJ104">
        <v>17.73</v>
      </c>
      <c r="BK104">
        <v>1.48</v>
      </c>
      <c r="BL104">
        <v>92.31</v>
      </c>
      <c r="BM104">
        <v>0</v>
      </c>
      <c r="BN104">
        <v>0</v>
      </c>
      <c r="BO104" t="s">
        <v>85</v>
      </c>
      <c r="BP104">
        <v>0</v>
      </c>
      <c r="BQ104">
        <v>100</v>
      </c>
      <c r="BR104">
        <v>18.18</v>
      </c>
      <c r="BS104">
        <v>100</v>
      </c>
      <c r="BT104">
        <v>1.1819999999999999</v>
      </c>
    </row>
    <row r="105" spans="1:72" x14ac:dyDescent="0.35">
      <c r="A105">
        <v>31</v>
      </c>
      <c r="B105" t="s">
        <v>67</v>
      </c>
      <c r="C105">
        <v>10</v>
      </c>
      <c r="D105">
        <v>4.29</v>
      </c>
      <c r="E105">
        <v>6</v>
      </c>
      <c r="F105">
        <v>3</v>
      </c>
      <c r="G105">
        <v>1</v>
      </c>
      <c r="H105">
        <v>6</v>
      </c>
      <c r="I105">
        <v>13</v>
      </c>
      <c r="J105">
        <v>0.65</v>
      </c>
      <c r="K105">
        <v>88.26</v>
      </c>
      <c r="L105">
        <v>12.04</v>
      </c>
      <c r="M105">
        <v>88</v>
      </c>
      <c r="N105">
        <v>70.88</v>
      </c>
      <c r="O105">
        <v>12.04</v>
      </c>
      <c r="P105">
        <v>85.48</v>
      </c>
      <c r="Q105">
        <v>34.770000000000003</v>
      </c>
      <c r="R105">
        <v>10.7</v>
      </c>
      <c r="S105">
        <v>76.47</v>
      </c>
      <c r="T105">
        <v>12.04</v>
      </c>
      <c r="U105">
        <v>2.67</v>
      </c>
      <c r="V105">
        <v>81.819999999999993</v>
      </c>
      <c r="W105">
        <v>5.4</v>
      </c>
      <c r="X105">
        <v>1.34</v>
      </c>
      <c r="Y105">
        <v>80.13</v>
      </c>
      <c r="Z105">
        <v>37.44</v>
      </c>
      <c r="AA105">
        <v>2.67</v>
      </c>
      <c r="AB105">
        <v>93.33</v>
      </c>
      <c r="AC105">
        <v>20.059999999999999</v>
      </c>
      <c r="AD105">
        <v>2.67</v>
      </c>
      <c r="AE105">
        <v>88.24</v>
      </c>
      <c r="AF105">
        <v>10.7</v>
      </c>
      <c r="AG105">
        <v>1.34</v>
      </c>
      <c r="AH105">
        <v>88.89</v>
      </c>
      <c r="AI105">
        <v>53.33</v>
      </c>
      <c r="AJ105">
        <v>50</v>
      </c>
      <c r="AK105">
        <v>10.7</v>
      </c>
      <c r="AL105">
        <v>1.34</v>
      </c>
      <c r="AM105">
        <v>88.89</v>
      </c>
      <c r="AN105">
        <v>10.7</v>
      </c>
      <c r="AO105">
        <v>1.34</v>
      </c>
      <c r="AP105">
        <v>88.89</v>
      </c>
      <c r="AQ105">
        <v>6.69</v>
      </c>
      <c r="AR105">
        <v>0</v>
      </c>
      <c r="AS105">
        <v>100</v>
      </c>
      <c r="AT105">
        <v>62.5</v>
      </c>
      <c r="AU105">
        <v>100</v>
      </c>
      <c r="AV105">
        <v>26.75</v>
      </c>
      <c r="AW105">
        <v>1.34</v>
      </c>
      <c r="AX105">
        <v>95.24</v>
      </c>
      <c r="AY105">
        <v>9.36</v>
      </c>
      <c r="AZ105">
        <v>1.34</v>
      </c>
      <c r="BA105">
        <v>87.5</v>
      </c>
      <c r="BB105">
        <v>4.01</v>
      </c>
      <c r="BC105">
        <v>1.34</v>
      </c>
      <c r="BD105">
        <v>75</v>
      </c>
      <c r="BE105">
        <v>42.86</v>
      </c>
      <c r="BF105">
        <v>0</v>
      </c>
      <c r="BG105">
        <v>49.48</v>
      </c>
      <c r="BH105">
        <v>4.01</v>
      </c>
      <c r="BI105">
        <v>92.5</v>
      </c>
      <c r="BJ105">
        <v>14.71</v>
      </c>
      <c r="BK105">
        <v>4.01</v>
      </c>
      <c r="BL105">
        <v>78.569999999999993</v>
      </c>
      <c r="BM105">
        <v>1.34</v>
      </c>
      <c r="BN105">
        <v>0</v>
      </c>
      <c r="BO105">
        <v>100</v>
      </c>
      <c r="BP105">
        <v>9.09</v>
      </c>
      <c r="BQ105">
        <v>100</v>
      </c>
      <c r="BR105">
        <v>34.619999999999997</v>
      </c>
      <c r="BS105">
        <v>75</v>
      </c>
      <c r="BT105">
        <v>1.0960000000000001</v>
      </c>
    </row>
    <row r="110" spans="1:72" ht="36" x14ac:dyDescent="0.8">
      <c r="A110" s="10" t="s">
        <v>120</v>
      </c>
    </row>
    <row r="112" spans="1:72" x14ac:dyDescent="0.35">
      <c r="A112" t="s">
        <v>79</v>
      </c>
      <c r="B112" t="s">
        <v>0</v>
      </c>
      <c r="C112" t="s">
        <v>1</v>
      </c>
      <c r="D112" t="s">
        <v>90</v>
      </c>
      <c r="E112" t="s">
        <v>2</v>
      </c>
      <c r="F112" t="s">
        <v>3</v>
      </c>
      <c r="G112" t="s">
        <v>4</v>
      </c>
      <c r="H112" t="s">
        <v>5</v>
      </c>
      <c r="I112" t="s">
        <v>6</v>
      </c>
      <c r="J112" t="s">
        <v>7</v>
      </c>
      <c r="K112" t="s">
        <v>91</v>
      </c>
      <c r="L112" t="s">
        <v>92</v>
      </c>
      <c r="M112" t="s">
        <v>8</v>
      </c>
      <c r="N112" t="s">
        <v>93</v>
      </c>
      <c r="O112" t="s">
        <v>94</v>
      </c>
      <c r="P112" t="s">
        <v>9</v>
      </c>
      <c r="Q112" t="s">
        <v>95</v>
      </c>
      <c r="R112" t="s">
        <v>71</v>
      </c>
      <c r="S112" t="s">
        <v>10</v>
      </c>
      <c r="T112" t="s">
        <v>96</v>
      </c>
      <c r="U112" t="s">
        <v>97</v>
      </c>
      <c r="V112" t="s">
        <v>11</v>
      </c>
      <c r="W112" t="s">
        <v>98</v>
      </c>
      <c r="X112" t="s">
        <v>99</v>
      </c>
      <c r="Y112" t="s">
        <v>14</v>
      </c>
      <c r="Z112" t="s">
        <v>100</v>
      </c>
      <c r="AA112" t="s">
        <v>101</v>
      </c>
      <c r="AB112" t="s">
        <v>15</v>
      </c>
      <c r="AC112" t="s">
        <v>102</v>
      </c>
      <c r="AD112" t="s">
        <v>103</v>
      </c>
      <c r="AE112" t="s">
        <v>16</v>
      </c>
      <c r="AF112" t="s">
        <v>104</v>
      </c>
      <c r="AG112" t="s">
        <v>105</v>
      </c>
      <c r="AH112" t="s">
        <v>17</v>
      </c>
      <c r="AI112" t="s">
        <v>18</v>
      </c>
      <c r="AJ112" t="s">
        <v>19</v>
      </c>
      <c r="AK112" t="s">
        <v>106</v>
      </c>
      <c r="AL112" t="s">
        <v>107</v>
      </c>
      <c r="AM112" t="s">
        <v>20</v>
      </c>
      <c r="AN112" t="s">
        <v>108</v>
      </c>
      <c r="AO112" t="s">
        <v>72</v>
      </c>
      <c r="AP112" t="s">
        <v>21</v>
      </c>
      <c r="AQ112" t="s">
        <v>109</v>
      </c>
      <c r="AR112" t="s">
        <v>73</v>
      </c>
      <c r="AS112" t="s">
        <v>22</v>
      </c>
      <c r="AT112" t="s">
        <v>23</v>
      </c>
      <c r="AU112" t="s">
        <v>24</v>
      </c>
      <c r="AV112" t="s">
        <v>110</v>
      </c>
      <c r="AW112" t="s">
        <v>111</v>
      </c>
      <c r="AX112" t="s">
        <v>25</v>
      </c>
      <c r="AY112" t="s">
        <v>112</v>
      </c>
      <c r="AZ112" t="s">
        <v>77</v>
      </c>
      <c r="BA112" t="s">
        <v>26</v>
      </c>
      <c r="BB112" t="s">
        <v>113</v>
      </c>
      <c r="BC112" t="s">
        <v>74</v>
      </c>
      <c r="BD112" t="s">
        <v>27</v>
      </c>
      <c r="BE112" t="s">
        <v>28</v>
      </c>
      <c r="BF112" t="s">
        <v>29</v>
      </c>
      <c r="BG112" t="s">
        <v>114</v>
      </c>
      <c r="BH112" t="s">
        <v>115</v>
      </c>
      <c r="BI112" t="s">
        <v>30</v>
      </c>
      <c r="BJ112" t="s">
        <v>116</v>
      </c>
      <c r="BK112" t="s">
        <v>75</v>
      </c>
      <c r="BL112" t="s">
        <v>31</v>
      </c>
      <c r="BM112" t="s">
        <v>117</v>
      </c>
      <c r="BN112" t="s">
        <v>76</v>
      </c>
      <c r="BO112" t="s">
        <v>32</v>
      </c>
      <c r="BP112" t="s">
        <v>33</v>
      </c>
      <c r="BQ112" t="s">
        <v>34</v>
      </c>
      <c r="BR112" t="s">
        <v>35</v>
      </c>
      <c r="BS112" t="s">
        <v>36</v>
      </c>
      <c r="BT112" t="s">
        <v>37</v>
      </c>
    </row>
    <row r="113" spans="1:72" x14ac:dyDescent="0.35">
      <c r="A113">
        <v>1</v>
      </c>
      <c r="B113" t="s">
        <v>38</v>
      </c>
      <c r="C113">
        <v>10</v>
      </c>
      <c r="D113">
        <v>4.47</v>
      </c>
      <c r="E113">
        <v>2</v>
      </c>
      <c r="F113">
        <v>6</v>
      </c>
      <c r="G113">
        <v>2</v>
      </c>
      <c r="H113">
        <v>2</v>
      </c>
      <c r="I113">
        <v>6</v>
      </c>
      <c r="J113">
        <v>0.3</v>
      </c>
      <c r="K113">
        <v>90.44</v>
      </c>
      <c r="L113">
        <v>12.69</v>
      </c>
      <c r="M113">
        <v>87.69</v>
      </c>
      <c r="N113">
        <v>68.22</v>
      </c>
      <c r="O113">
        <v>11.11</v>
      </c>
      <c r="P113">
        <v>86</v>
      </c>
      <c r="Q113">
        <v>47.6</v>
      </c>
      <c r="R113">
        <v>7.93</v>
      </c>
      <c r="S113">
        <v>85.71</v>
      </c>
      <c r="T113">
        <v>7.93</v>
      </c>
      <c r="U113">
        <v>0</v>
      </c>
      <c r="V113">
        <v>100</v>
      </c>
      <c r="W113">
        <v>6.82</v>
      </c>
      <c r="X113">
        <v>0.56999999999999995</v>
      </c>
      <c r="Y113">
        <v>92.34</v>
      </c>
      <c r="Z113">
        <v>46.01</v>
      </c>
      <c r="AA113">
        <v>6.35</v>
      </c>
      <c r="AB113">
        <v>87.88</v>
      </c>
      <c r="AC113">
        <v>20.63</v>
      </c>
      <c r="AD113">
        <v>1.59</v>
      </c>
      <c r="AE113">
        <v>92.86</v>
      </c>
      <c r="AF113">
        <v>6.35</v>
      </c>
      <c r="AG113">
        <v>0</v>
      </c>
      <c r="AH113">
        <v>100</v>
      </c>
      <c r="AI113">
        <v>30.77</v>
      </c>
      <c r="AJ113">
        <v>100</v>
      </c>
      <c r="AK113">
        <v>22.21</v>
      </c>
      <c r="AL113">
        <v>3.17</v>
      </c>
      <c r="AM113">
        <v>87.5</v>
      </c>
      <c r="AN113">
        <v>12.69</v>
      </c>
      <c r="AO113">
        <v>1.59</v>
      </c>
      <c r="AP113">
        <v>88.89</v>
      </c>
      <c r="AQ113">
        <v>6.35</v>
      </c>
      <c r="AR113">
        <v>0</v>
      </c>
      <c r="AS113">
        <v>100</v>
      </c>
      <c r="AT113">
        <v>50</v>
      </c>
      <c r="AU113">
        <v>100</v>
      </c>
      <c r="AV113">
        <v>23.8</v>
      </c>
      <c r="AW113">
        <v>3.17</v>
      </c>
      <c r="AX113">
        <v>88.24</v>
      </c>
      <c r="AY113">
        <v>7.93</v>
      </c>
      <c r="AZ113">
        <v>0</v>
      </c>
      <c r="BA113">
        <v>100</v>
      </c>
      <c r="BB113">
        <v>0</v>
      </c>
      <c r="BC113">
        <v>0</v>
      </c>
      <c r="BD113" t="s">
        <v>85</v>
      </c>
      <c r="BE113">
        <v>0</v>
      </c>
      <c r="BF113" t="s">
        <v>85</v>
      </c>
      <c r="BG113">
        <v>44.42</v>
      </c>
      <c r="BH113">
        <v>1.59</v>
      </c>
      <c r="BI113">
        <v>96.55</v>
      </c>
      <c r="BJ113">
        <v>26.97</v>
      </c>
      <c r="BK113">
        <v>1.59</v>
      </c>
      <c r="BL113">
        <v>94.44</v>
      </c>
      <c r="BM113">
        <v>1.59</v>
      </c>
      <c r="BN113">
        <v>0</v>
      </c>
      <c r="BO113">
        <v>100</v>
      </c>
      <c r="BP113">
        <v>5.88</v>
      </c>
      <c r="BQ113">
        <v>100</v>
      </c>
      <c r="BR113">
        <v>16.670000000000002</v>
      </c>
      <c r="BS113">
        <v>100</v>
      </c>
      <c r="BT113">
        <v>1.167</v>
      </c>
    </row>
    <row r="114" spans="1:72" x14ac:dyDescent="0.35">
      <c r="A114">
        <v>2</v>
      </c>
      <c r="B114" t="s">
        <v>39</v>
      </c>
      <c r="C114">
        <v>10</v>
      </c>
      <c r="D114">
        <v>6.38</v>
      </c>
      <c r="E114">
        <v>5</v>
      </c>
      <c r="F114">
        <v>3</v>
      </c>
      <c r="G114">
        <v>2</v>
      </c>
      <c r="H114">
        <v>4</v>
      </c>
      <c r="I114">
        <v>12</v>
      </c>
      <c r="J114">
        <v>0.6</v>
      </c>
      <c r="K114">
        <v>76.8</v>
      </c>
      <c r="L114">
        <v>9.6</v>
      </c>
      <c r="M114">
        <v>88.89</v>
      </c>
      <c r="N114">
        <v>52.27</v>
      </c>
      <c r="O114">
        <v>9.6</v>
      </c>
      <c r="P114">
        <v>84.48</v>
      </c>
      <c r="Q114">
        <v>37.33</v>
      </c>
      <c r="R114">
        <v>8.5299999999999994</v>
      </c>
      <c r="S114">
        <v>81.400000000000006</v>
      </c>
      <c r="T114">
        <v>8.5299999999999994</v>
      </c>
      <c r="U114">
        <v>0</v>
      </c>
      <c r="V114">
        <v>100</v>
      </c>
      <c r="W114">
        <v>5.27</v>
      </c>
      <c r="X114">
        <v>0.51</v>
      </c>
      <c r="Y114">
        <v>91.24</v>
      </c>
      <c r="Z114">
        <v>32</v>
      </c>
      <c r="AA114">
        <v>4.2699999999999996</v>
      </c>
      <c r="AB114">
        <v>88.24</v>
      </c>
      <c r="AC114">
        <v>18.13</v>
      </c>
      <c r="AD114">
        <v>4.2699999999999996</v>
      </c>
      <c r="AE114">
        <v>80.95</v>
      </c>
      <c r="AF114">
        <v>7.47</v>
      </c>
      <c r="AG114">
        <v>0</v>
      </c>
      <c r="AH114">
        <v>100</v>
      </c>
      <c r="AI114">
        <v>41.18</v>
      </c>
      <c r="AJ114">
        <v>100</v>
      </c>
      <c r="AK114">
        <v>13.87</v>
      </c>
      <c r="AL114">
        <v>0</v>
      </c>
      <c r="AM114">
        <v>100</v>
      </c>
      <c r="AN114">
        <v>8.5299999999999994</v>
      </c>
      <c r="AO114">
        <v>0</v>
      </c>
      <c r="AP114">
        <v>100</v>
      </c>
      <c r="AQ114">
        <v>5.33</v>
      </c>
      <c r="AR114">
        <v>0</v>
      </c>
      <c r="AS114">
        <v>100</v>
      </c>
      <c r="AT114">
        <v>62.5</v>
      </c>
      <c r="AU114" t="s">
        <v>85</v>
      </c>
      <c r="AV114">
        <v>18.13</v>
      </c>
      <c r="AW114">
        <v>4.2699999999999996</v>
      </c>
      <c r="AX114">
        <v>80.95</v>
      </c>
      <c r="AY114">
        <v>9.6</v>
      </c>
      <c r="AZ114">
        <v>4.2699999999999996</v>
      </c>
      <c r="BA114">
        <v>69.23</v>
      </c>
      <c r="BB114">
        <v>2.13</v>
      </c>
      <c r="BC114">
        <v>0</v>
      </c>
      <c r="BD114">
        <v>100</v>
      </c>
      <c r="BE114">
        <v>22.22</v>
      </c>
      <c r="BF114">
        <v>100</v>
      </c>
      <c r="BG114">
        <v>43.73</v>
      </c>
      <c r="BH114">
        <v>4.2699999999999996</v>
      </c>
      <c r="BI114">
        <v>91.11</v>
      </c>
      <c r="BJ114">
        <v>19.2</v>
      </c>
      <c r="BK114">
        <v>3.2</v>
      </c>
      <c r="BL114">
        <v>85.71</v>
      </c>
      <c r="BM114">
        <v>1.07</v>
      </c>
      <c r="BN114">
        <v>0</v>
      </c>
      <c r="BO114">
        <v>100</v>
      </c>
      <c r="BP114">
        <v>5.56</v>
      </c>
      <c r="BQ114">
        <v>100</v>
      </c>
      <c r="BR114">
        <v>22.86</v>
      </c>
      <c r="BS114">
        <v>100</v>
      </c>
      <c r="BT114">
        <v>1.2290000000000001</v>
      </c>
    </row>
    <row r="115" spans="1:72" x14ac:dyDescent="0.35">
      <c r="A115">
        <v>3</v>
      </c>
      <c r="B115" t="s">
        <v>40</v>
      </c>
      <c r="C115">
        <v>10</v>
      </c>
      <c r="D115">
        <v>6.4</v>
      </c>
      <c r="E115">
        <v>5</v>
      </c>
      <c r="F115">
        <v>4</v>
      </c>
      <c r="G115">
        <v>1</v>
      </c>
      <c r="H115">
        <v>5</v>
      </c>
      <c r="I115">
        <v>11</v>
      </c>
      <c r="J115">
        <v>0.55000000000000004</v>
      </c>
      <c r="K115">
        <v>96.24</v>
      </c>
      <c r="L115">
        <v>23.27</v>
      </c>
      <c r="M115">
        <v>80.53</v>
      </c>
      <c r="N115">
        <v>77.2</v>
      </c>
      <c r="O115">
        <v>21.15</v>
      </c>
      <c r="P115">
        <v>78.489999999999995</v>
      </c>
      <c r="Q115">
        <v>45.48</v>
      </c>
      <c r="R115">
        <v>20.09</v>
      </c>
      <c r="S115">
        <v>69.349999999999994</v>
      </c>
      <c r="T115">
        <v>5.29</v>
      </c>
      <c r="U115">
        <v>3.17</v>
      </c>
      <c r="V115">
        <v>62.5</v>
      </c>
      <c r="W115">
        <v>6.8</v>
      </c>
      <c r="X115">
        <v>1.84</v>
      </c>
      <c r="Y115">
        <v>78.709999999999994</v>
      </c>
      <c r="Z115">
        <v>51.82</v>
      </c>
      <c r="AA115">
        <v>11.63</v>
      </c>
      <c r="AB115">
        <v>81.67</v>
      </c>
      <c r="AC115">
        <v>25.38</v>
      </c>
      <c r="AD115">
        <v>10.58</v>
      </c>
      <c r="AE115">
        <v>70.59</v>
      </c>
      <c r="AF115">
        <v>2.12</v>
      </c>
      <c r="AG115">
        <v>2.12</v>
      </c>
      <c r="AH115">
        <v>50</v>
      </c>
      <c r="AI115">
        <v>8.33</v>
      </c>
      <c r="AJ115">
        <v>80</v>
      </c>
      <c r="AK115">
        <v>25.38</v>
      </c>
      <c r="AL115">
        <v>11.63</v>
      </c>
      <c r="AM115">
        <v>68.569999999999993</v>
      </c>
      <c r="AN115">
        <v>12.69</v>
      </c>
      <c r="AO115">
        <v>10.58</v>
      </c>
      <c r="AP115">
        <v>54.55</v>
      </c>
      <c r="AQ115">
        <v>2.12</v>
      </c>
      <c r="AR115">
        <v>2.12</v>
      </c>
      <c r="AS115">
        <v>50</v>
      </c>
      <c r="AT115">
        <v>16.670000000000002</v>
      </c>
      <c r="AU115">
        <v>80</v>
      </c>
      <c r="AV115">
        <v>26.44</v>
      </c>
      <c r="AW115">
        <v>0</v>
      </c>
      <c r="AX115">
        <v>100</v>
      </c>
      <c r="AY115">
        <v>12.69</v>
      </c>
      <c r="AZ115">
        <v>0</v>
      </c>
      <c r="BA115">
        <v>100</v>
      </c>
      <c r="BB115">
        <v>0</v>
      </c>
      <c r="BC115">
        <v>0</v>
      </c>
      <c r="BD115" t="s">
        <v>85</v>
      </c>
      <c r="BE115">
        <v>0</v>
      </c>
      <c r="BF115" t="s">
        <v>85</v>
      </c>
      <c r="BG115">
        <v>43.36</v>
      </c>
      <c r="BH115">
        <v>5.29</v>
      </c>
      <c r="BI115">
        <v>89.13</v>
      </c>
      <c r="BJ115">
        <v>20.09</v>
      </c>
      <c r="BK115">
        <v>4.2300000000000004</v>
      </c>
      <c r="BL115">
        <v>82.61</v>
      </c>
      <c r="BM115">
        <v>3.17</v>
      </c>
      <c r="BN115">
        <v>1.06</v>
      </c>
      <c r="BO115">
        <v>75</v>
      </c>
      <c r="BP115">
        <v>15.79</v>
      </c>
      <c r="BQ115">
        <v>75</v>
      </c>
      <c r="BR115">
        <v>11.63</v>
      </c>
      <c r="BS115">
        <v>84.21</v>
      </c>
      <c r="BT115">
        <v>0.95799999999999996</v>
      </c>
    </row>
    <row r="116" spans="1:72" x14ac:dyDescent="0.35">
      <c r="A116">
        <v>4</v>
      </c>
      <c r="B116" t="s">
        <v>41</v>
      </c>
      <c r="C116">
        <v>10</v>
      </c>
      <c r="D116">
        <v>3.15</v>
      </c>
      <c r="E116">
        <v>1</v>
      </c>
      <c r="F116">
        <v>8</v>
      </c>
      <c r="G116">
        <v>1</v>
      </c>
      <c r="H116">
        <v>1</v>
      </c>
      <c r="I116">
        <v>3</v>
      </c>
      <c r="J116">
        <v>0.15</v>
      </c>
      <c r="K116">
        <v>72.069999999999993</v>
      </c>
      <c r="L116">
        <v>14.78</v>
      </c>
      <c r="M116">
        <v>82.98</v>
      </c>
      <c r="N116">
        <v>51.75</v>
      </c>
      <c r="O116">
        <v>12.94</v>
      </c>
      <c r="P116">
        <v>80</v>
      </c>
      <c r="Q116">
        <v>33.26</v>
      </c>
      <c r="R116">
        <v>7.39</v>
      </c>
      <c r="S116">
        <v>81.819999999999993</v>
      </c>
      <c r="T116">
        <v>3.7</v>
      </c>
      <c r="U116">
        <v>1.85</v>
      </c>
      <c r="V116">
        <v>66.67</v>
      </c>
      <c r="W116">
        <v>4.5</v>
      </c>
      <c r="X116">
        <v>0.85</v>
      </c>
      <c r="Y116">
        <v>84.08</v>
      </c>
      <c r="Z116">
        <v>33.26</v>
      </c>
      <c r="AA116">
        <v>7.39</v>
      </c>
      <c r="AB116">
        <v>81.819999999999993</v>
      </c>
      <c r="AC116">
        <v>18.48</v>
      </c>
      <c r="AD116">
        <v>3.7</v>
      </c>
      <c r="AE116">
        <v>83.33</v>
      </c>
      <c r="AF116">
        <v>1.85</v>
      </c>
      <c r="AG116">
        <v>1.85</v>
      </c>
      <c r="AH116">
        <v>50</v>
      </c>
      <c r="AI116">
        <v>10</v>
      </c>
      <c r="AJ116">
        <v>50</v>
      </c>
      <c r="AK116">
        <v>12.94</v>
      </c>
      <c r="AL116">
        <v>3.7</v>
      </c>
      <c r="AM116">
        <v>77.78</v>
      </c>
      <c r="AN116">
        <v>12.94</v>
      </c>
      <c r="AO116">
        <v>1.85</v>
      </c>
      <c r="AP116">
        <v>87.5</v>
      </c>
      <c r="AQ116">
        <v>0</v>
      </c>
      <c r="AR116">
        <v>1.85</v>
      </c>
      <c r="AS116">
        <v>0</v>
      </c>
      <c r="AT116">
        <v>0</v>
      </c>
      <c r="AU116">
        <v>0</v>
      </c>
      <c r="AV116">
        <v>20.329999999999998</v>
      </c>
      <c r="AW116">
        <v>3.7</v>
      </c>
      <c r="AX116">
        <v>84.62</v>
      </c>
      <c r="AY116">
        <v>5.54</v>
      </c>
      <c r="AZ116">
        <v>1.85</v>
      </c>
      <c r="BA116">
        <v>75</v>
      </c>
      <c r="BB116">
        <v>1.85</v>
      </c>
      <c r="BC116">
        <v>0</v>
      </c>
      <c r="BD116">
        <v>100</v>
      </c>
      <c r="BE116">
        <v>33.33</v>
      </c>
      <c r="BF116">
        <v>100</v>
      </c>
      <c r="BG116">
        <v>38.81</v>
      </c>
      <c r="BH116">
        <v>5.54</v>
      </c>
      <c r="BI116">
        <v>87.5</v>
      </c>
      <c r="BJ116">
        <v>14.78</v>
      </c>
      <c r="BK116">
        <v>1.85</v>
      </c>
      <c r="BL116">
        <v>88.89</v>
      </c>
      <c r="BM116">
        <v>1.85</v>
      </c>
      <c r="BN116">
        <v>0</v>
      </c>
      <c r="BO116">
        <v>100</v>
      </c>
      <c r="BP116">
        <v>12.5</v>
      </c>
      <c r="BQ116">
        <v>100</v>
      </c>
      <c r="BR116">
        <v>11.11</v>
      </c>
      <c r="BS116">
        <v>75</v>
      </c>
      <c r="BT116">
        <v>0.86099999999999999</v>
      </c>
    </row>
    <row r="117" spans="1:72" x14ac:dyDescent="0.35">
      <c r="A117">
        <v>5</v>
      </c>
      <c r="B117" t="s">
        <v>42</v>
      </c>
      <c r="C117">
        <v>10</v>
      </c>
      <c r="D117">
        <v>4.28</v>
      </c>
      <c r="E117">
        <v>7</v>
      </c>
      <c r="F117">
        <v>3</v>
      </c>
      <c r="G117">
        <v>0</v>
      </c>
      <c r="H117">
        <v>5</v>
      </c>
      <c r="I117">
        <v>14</v>
      </c>
      <c r="J117">
        <v>0.7</v>
      </c>
      <c r="K117">
        <v>100.63</v>
      </c>
      <c r="L117">
        <v>24.15</v>
      </c>
      <c r="M117">
        <v>80.650000000000006</v>
      </c>
      <c r="N117">
        <v>75.14</v>
      </c>
      <c r="O117">
        <v>20.13</v>
      </c>
      <c r="P117">
        <v>78.87</v>
      </c>
      <c r="Q117">
        <v>57.7</v>
      </c>
      <c r="R117">
        <v>13.42</v>
      </c>
      <c r="S117">
        <v>81.13</v>
      </c>
      <c r="T117">
        <v>10.73</v>
      </c>
      <c r="U117">
        <v>0</v>
      </c>
      <c r="V117">
        <v>100</v>
      </c>
      <c r="W117">
        <v>6.2</v>
      </c>
      <c r="X117">
        <v>1.56</v>
      </c>
      <c r="Y117">
        <v>79.900000000000006</v>
      </c>
      <c r="Z117">
        <v>61.72</v>
      </c>
      <c r="AA117">
        <v>17.440000000000001</v>
      </c>
      <c r="AB117">
        <v>77.97</v>
      </c>
      <c r="AC117">
        <v>34.89</v>
      </c>
      <c r="AD117">
        <v>10.73</v>
      </c>
      <c r="AE117">
        <v>76.47</v>
      </c>
      <c r="AF117">
        <v>6.71</v>
      </c>
      <c r="AG117">
        <v>0</v>
      </c>
      <c r="AH117">
        <v>100</v>
      </c>
      <c r="AI117">
        <v>19.23</v>
      </c>
      <c r="AJ117">
        <v>100</v>
      </c>
      <c r="AK117">
        <v>22.81</v>
      </c>
      <c r="AL117">
        <v>6.71</v>
      </c>
      <c r="AM117">
        <v>77.27</v>
      </c>
      <c r="AN117">
        <v>17.440000000000001</v>
      </c>
      <c r="AO117">
        <v>5.37</v>
      </c>
      <c r="AP117">
        <v>76.47</v>
      </c>
      <c r="AQ117">
        <v>5.37</v>
      </c>
      <c r="AR117">
        <v>0</v>
      </c>
      <c r="AS117">
        <v>100</v>
      </c>
      <c r="AT117">
        <v>30.77</v>
      </c>
      <c r="AU117">
        <v>100</v>
      </c>
      <c r="AV117">
        <v>38.909999999999997</v>
      </c>
      <c r="AW117">
        <v>10.73</v>
      </c>
      <c r="AX117">
        <v>78.38</v>
      </c>
      <c r="AY117">
        <v>17.440000000000001</v>
      </c>
      <c r="AZ117">
        <v>5.37</v>
      </c>
      <c r="BA117">
        <v>76.47</v>
      </c>
      <c r="BB117">
        <v>1.34</v>
      </c>
      <c r="BC117">
        <v>0</v>
      </c>
      <c r="BD117">
        <v>100</v>
      </c>
      <c r="BE117">
        <v>7.69</v>
      </c>
      <c r="BF117">
        <v>100</v>
      </c>
      <c r="BG117">
        <v>37.57</v>
      </c>
      <c r="BH117">
        <v>4.03</v>
      </c>
      <c r="BI117">
        <v>90.32</v>
      </c>
      <c r="BJ117">
        <v>21.47</v>
      </c>
      <c r="BK117">
        <v>2.68</v>
      </c>
      <c r="BL117">
        <v>88.89</v>
      </c>
      <c r="BM117">
        <v>2.68</v>
      </c>
      <c r="BN117">
        <v>0</v>
      </c>
      <c r="BO117">
        <v>100</v>
      </c>
      <c r="BP117">
        <v>12.5</v>
      </c>
      <c r="BQ117">
        <v>100</v>
      </c>
      <c r="BR117">
        <v>18.600000000000001</v>
      </c>
      <c r="BS117">
        <v>100</v>
      </c>
      <c r="BT117">
        <v>1.1859999999999999</v>
      </c>
    </row>
    <row r="118" spans="1:72" x14ac:dyDescent="0.35">
      <c r="A118">
        <v>6</v>
      </c>
      <c r="B118" t="s">
        <v>43</v>
      </c>
      <c r="C118">
        <v>10</v>
      </c>
      <c r="D118">
        <v>4.3</v>
      </c>
      <c r="E118">
        <v>4</v>
      </c>
      <c r="F118">
        <v>5</v>
      </c>
      <c r="G118">
        <v>1</v>
      </c>
      <c r="H118">
        <v>3</v>
      </c>
      <c r="I118">
        <v>9</v>
      </c>
      <c r="J118">
        <v>0.45</v>
      </c>
      <c r="K118">
        <v>65.41</v>
      </c>
      <c r="L118">
        <v>21.36</v>
      </c>
      <c r="M118">
        <v>75.38</v>
      </c>
      <c r="N118">
        <v>45.38</v>
      </c>
      <c r="O118">
        <v>21.36</v>
      </c>
      <c r="P118">
        <v>68</v>
      </c>
      <c r="Q118">
        <v>37.369999999999997</v>
      </c>
      <c r="R118">
        <v>18.690000000000001</v>
      </c>
      <c r="S118">
        <v>66.67</v>
      </c>
      <c r="T118">
        <v>2.67</v>
      </c>
      <c r="U118">
        <v>2.67</v>
      </c>
      <c r="V118">
        <v>50</v>
      </c>
      <c r="W118">
        <v>3.73</v>
      </c>
      <c r="X118">
        <v>1.48</v>
      </c>
      <c r="Y118">
        <v>71.66</v>
      </c>
      <c r="Z118">
        <v>22.69</v>
      </c>
      <c r="AA118">
        <v>12.01</v>
      </c>
      <c r="AB118">
        <v>65.38</v>
      </c>
      <c r="AC118">
        <v>14.68</v>
      </c>
      <c r="AD118">
        <v>9.34</v>
      </c>
      <c r="AE118">
        <v>61.11</v>
      </c>
      <c r="AF118">
        <v>1.33</v>
      </c>
      <c r="AG118">
        <v>2.67</v>
      </c>
      <c r="AH118">
        <v>33.33</v>
      </c>
      <c r="AI118">
        <v>9.09</v>
      </c>
      <c r="AJ118">
        <v>71.430000000000007</v>
      </c>
      <c r="AK118">
        <v>12.01</v>
      </c>
      <c r="AL118">
        <v>9.34</v>
      </c>
      <c r="AM118">
        <v>56.25</v>
      </c>
      <c r="AN118">
        <v>8.01</v>
      </c>
      <c r="AO118">
        <v>6.67</v>
      </c>
      <c r="AP118">
        <v>54.55</v>
      </c>
      <c r="AQ118">
        <v>1.33</v>
      </c>
      <c r="AR118">
        <v>1.33</v>
      </c>
      <c r="AS118">
        <v>50</v>
      </c>
      <c r="AT118">
        <v>16.670000000000002</v>
      </c>
      <c r="AU118">
        <v>80</v>
      </c>
      <c r="AV118">
        <v>10.68</v>
      </c>
      <c r="AW118">
        <v>2.67</v>
      </c>
      <c r="AX118">
        <v>80</v>
      </c>
      <c r="AY118">
        <v>6.67</v>
      </c>
      <c r="AZ118">
        <v>2.67</v>
      </c>
      <c r="BA118">
        <v>71.430000000000007</v>
      </c>
      <c r="BB118">
        <v>0</v>
      </c>
      <c r="BC118">
        <v>1.33</v>
      </c>
      <c r="BD118">
        <v>0</v>
      </c>
      <c r="BE118">
        <v>0</v>
      </c>
      <c r="BF118">
        <v>50</v>
      </c>
      <c r="BG118">
        <v>41.38</v>
      </c>
      <c r="BH118">
        <v>4</v>
      </c>
      <c r="BI118">
        <v>91.18</v>
      </c>
      <c r="BJ118">
        <v>22.69</v>
      </c>
      <c r="BK118">
        <v>4</v>
      </c>
      <c r="BL118">
        <v>85</v>
      </c>
      <c r="BM118">
        <v>1.33</v>
      </c>
      <c r="BN118">
        <v>0</v>
      </c>
      <c r="BO118">
        <v>100</v>
      </c>
      <c r="BP118">
        <v>5.88</v>
      </c>
      <c r="BQ118">
        <v>100</v>
      </c>
      <c r="BR118">
        <v>7.14</v>
      </c>
      <c r="BS118">
        <v>85.71</v>
      </c>
      <c r="BT118">
        <v>0.92900000000000005</v>
      </c>
    </row>
    <row r="119" spans="1:72" x14ac:dyDescent="0.35">
      <c r="A119">
        <v>7</v>
      </c>
      <c r="B119" t="s">
        <v>44</v>
      </c>
      <c r="C119">
        <v>10</v>
      </c>
      <c r="D119">
        <v>4.24</v>
      </c>
      <c r="E119">
        <v>3</v>
      </c>
      <c r="F119">
        <v>6</v>
      </c>
      <c r="G119">
        <v>1</v>
      </c>
      <c r="H119">
        <v>3</v>
      </c>
      <c r="I119">
        <v>7</v>
      </c>
      <c r="J119">
        <v>0.35</v>
      </c>
      <c r="K119">
        <v>88.8</v>
      </c>
      <c r="L119">
        <v>27.32</v>
      </c>
      <c r="M119">
        <v>76.47</v>
      </c>
      <c r="N119">
        <v>72.41</v>
      </c>
      <c r="O119">
        <v>25.96</v>
      </c>
      <c r="P119">
        <v>73.61</v>
      </c>
      <c r="Q119">
        <v>51.92</v>
      </c>
      <c r="R119">
        <v>21.86</v>
      </c>
      <c r="S119">
        <v>70.37</v>
      </c>
      <c r="T119">
        <v>8.1999999999999993</v>
      </c>
      <c r="U119">
        <v>0</v>
      </c>
      <c r="V119">
        <v>100</v>
      </c>
      <c r="W119">
        <v>5.82</v>
      </c>
      <c r="X119">
        <v>2.4900000000000002</v>
      </c>
      <c r="Y119">
        <v>70.02</v>
      </c>
      <c r="Z119">
        <v>42.35</v>
      </c>
      <c r="AA119">
        <v>17.760000000000002</v>
      </c>
      <c r="AB119">
        <v>70.45</v>
      </c>
      <c r="AC119">
        <v>25.96</v>
      </c>
      <c r="AD119">
        <v>15.03</v>
      </c>
      <c r="AE119">
        <v>63.33</v>
      </c>
      <c r="AF119">
        <v>6.83</v>
      </c>
      <c r="AG119">
        <v>0</v>
      </c>
      <c r="AH119">
        <v>100</v>
      </c>
      <c r="AI119">
        <v>26.32</v>
      </c>
      <c r="AJ119">
        <v>100</v>
      </c>
      <c r="AK119">
        <v>15.03</v>
      </c>
      <c r="AL119">
        <v>9.56</v>
      </c>
      <c r="AM119">
        <v>61.11</v>
      </c>
      <c r="AN119">
        <v>9.56</v>
      </c>
      <c r="AO119">
        <v>8.1999999999999993</v>
      </c>
      <c r="AP119">
        <v>53.85</v>
      </c>
      <c r="AQ119">
        <v>2.73</v>
      </c>
      <c r="AR119">
        <v>0</v>
      </c>
      <c r="AS119">
        <v>100</v>
      </c>
      <c r="AT119">
        <v>28.57</v>
      </c>
      <c r="AU119">
        <v>100</v>
      </c>
      <c r="AV119">
        <v>27.32</v>
      </c>
      <c r="AW119">
        <v>8.1999999999999993</v>
      </c>
      <c r="AX119">
        <v>76.92</v>
      </c>
      <c r="AY119">
        <v>16.39</v>
      </c>
      <c r="AZ119">
        <v>6.83</v>
      </c>
      <c r="BA119">
        <v>70.59</v>
      </c>
      <c r="BB119">
        <v>4.0999999999999996</v>
      </c>
      <c r="BC119">
        <v>0</v>
      </c>
      <c r="BD119">
        <v>100</v>
      </c>
      <c r="BE119">
        <v>25</v>
      </c>
      <c r="BF119">
        <v>100</v>
      </c>
      <c r="BG119">
        <v>46.45</v>
      </c>
      <c r="BH119">
        <v>1.37</v>
      </c>
      <c r="BI119">
        <v>97.14</v>
      </c>
      <c r="BJ119">
        <v>25.96</v>
      </c>
      <c r="BK119">
        <v>0</v>
      </c>
      <c r="BL119">
        <v>100</v>
      </c>
      <c r="BM119">
        <v>1.37</v>
      </c>
      <c r="BN119">
        <v>0</v>
      </c>
      <c r="BO119">
        <v>100</v>
      </c>
      <c r="BP119">
        <v>5.26</v>
      </c>
      <c r="BQ119" t="s">
        <v>85</v>
      </c>
      <c r="BR119">
        <v>15.79</v>
      </c>
      <c r="BS119">
        <v>100</v>
      </c>
      <c r="BT119">
        <v>1.1579999999999999</v>
      </c>
    </row>
    <row r="120" spans="1:72" x14ac:dyDescent="0.35">
      <c r="A120">
        <v>8</v>
      </c>
      <c r="B120" t="s">
        <v>45</v>
      </c>
      <c r="C120">
        <v>10</v>
      </c>
      <c r="D120">
        <v>6.27</v>
      </c>
      <c r="E120">
        <v>4</v>
      </c>
      <c r="F120">
        <v>6</v>
      </c>
      <c r="G120">
        <v>0</v>
      </c>
      <c r="H120">
        <v>3</v>
      </c>
      <c r="I120">
        <v>8</v>
      </c>
      <c r="J120">
        <v>0.4</v>
      </c>
      <c r="K120">
        <v>69.819999999999993</v>
      </c>
      <c r="L120">
        <v>8.3800000000000008</v>
      </c>
      <c r="M120">
        <v>89.29</v>
      </c>
      <c r="N120">
        <v>51.2</v>
      </c>
      <c r="O120">
        <v>8.3800000000000008</v>
      </c>
      <c r="P120">
        <v>85.94</v>
      </c>
      <c r="Q120">
        <v>40.96</v>
      </c>
      <c r="R120">
        <v>8.3800000000000008</v>
      </c>
      <c r="S120">
        <v>83.02</v>
      </c>
      <c r="T120">
        <v>7.45</v>
      </c>
      <c r="U120">
        <v>0.93</v>
      </c>
      <c r="V120">
        <v>88.89</v>
      </c>
      <c r="W120">
        <v>4.51</v>
      </c>
      <c r="X120">
        <v>0.68</v>
      </c>
      <c r="Y120">
        <v>86.98</v>
      </c>
      <c r="Z120">
        <v>40.03</v>
      </c>
      <c r="AA120">
        <v>1.86</v>
      </c>
      <c r="AB120">
        <v>95.56</v>
      </c>
      <c r="AC120">
        <v>29.79</v>
      </c>
      <c r="AD120">
        <v>1.86</v>
      </c>
      <c r="AE120">
        <v>94.12</v>
      </c>
      <c r="AF120">
        <v>7.45</v>
      </c>
      <c r="AG120">
        <v>0.93</v>
      </c>
      <c r="AH120">
        <v>88.89</v>
      </c>
      <c r="AI120">
        <v>25</v>
      </c>
      <c r="AJ120">
        <v>50</v>
      </c>
      <c r="AK120">
        <v>15.83</v>
      </c>
      <c r="AL120">
        <v>1.86</v>
      </c>
      <c r="AM120">
        <v>89.47</v>
      </c>
      <c r="AN120">
        <v>13.96</v>
      </c>
      <c r="AO120">
        <v>1.86</v>
      </c>
      <c r="AP120">
        <v>88.24</v>
      </c>
      <c r="AQ120">
        <v>5.59</v>
      </c>
      <c r="AR120">
        <v>0.93</v>
      </c>
      <c r="AS120">
        <v>85.71</v>
      </c>
      <c r="AT120">
        <v>40</v>
      </c>
      <c r="AU120">
        <v>50</v>
      </c>
      <c r="AV120">
        <v>24.2</v>
      </c>
      <c r="AW120">
        <v>0</v>
      </c>
      <c r="AX120">
        <v>100</v>
      </c>
      <c r="AY120">
        <v>15.83</v>
      </c>
      <c r="AZ120">
        <v>0</v>
      </c>
      <c r="BA120">
        <v>100</v>
      </c>
      <c r="BB120">
        <v>1.86</v>
      </c>
      <c r="BC120">
        <v>0</v>
      </c>
      <c r="BD120">
        <v>100</v>
      </c>
      <c r="BE120">
        <v>11.76</v>
      </c>
      <c r="BF120" t="s">
        <v>85</v>
      </c>
      <c r="BG120">
        <v>27.93</v>
      </c>
      <c r="BH120">
        <v>4.6500000000000004</v>
      </c>
      <c r="BI120">
        <v>85.71</v>
      </c>
      <c r="BJ120">
        <v>11.17</v>
      </c>
      <c r="BK120">
        <v>4.6500000000000004</v>
      </c>
      <c r="BL120">
        <v>70.59</v>
      </c>
      <c r="BM120">
        <v>0</v>
      </c>
      <c r="BN120">
        <v>0</v>
      </c>
      <c r="BO120" t="s">
        <v>85</v>
      </c>
      <c r="BP120">
        <v>0</v>
      </c>
      <c r="BQ120">
        <v>100</v>
      </c>
      <c r="BR120">
        <v>18.18</v>
      </c>
      <c r="BS120">
        <v>88.89</v>
      </c>
      <c r="BT120">
        <v>1.071</v>
      </c>
    </row>
    <row r="121" spans="1:72" x14ac:dyDescent="0.35">
      <c r="A121">
        <v>9</v>
      </c>
      <c r="B121" t="s">
        <v>46</v>
      </c>
      <c r="C121">
        <v>10</v>
      </c>
      <c r="D121">
        <v>7.36</v>
      </c>
      <c r="E121">
        <v>6</v>
      </c>
      <c r="F121">
        <v>2</v>
      </c>
      <c r="G121">
        <v>2</v>
      </c>
      <c r="H121">
        <v>6</v>
      </c>
      <c r="I121">
        <v>14</v>
      </c>
      <c r="J121">
        <v>0.7</v>
      </c>
      <c r="K121">
        <v>91.89</v>
      </c>
      <c r="L121">
        <v>10.92</v>
      </c>
      <c r="M121">
        <v>89.38</v>
      </c>
      <c r="N121">
        <v>64.59</v>
      </c>
      <c r="O121">
        <v>9.1</v>
      </c>
      <c r="P121">
        <v>87.65</v>
      </c>
      <c r="Q121">
        <v>52.77</v>
      </c>
      <c r="R121">
        <v>7.28</v>
      </c>
      <c r="S121">
        <v>87.88</v>
      </c>
      <c r="T121">
        <v>6.37</v>
      </c>
      <c r="U121">
        <v>0</v>
      </c>
      <c r="V121">
        <v>100</v>
      </c>
      <c r="W121">
        <v>6.32</v>
      </c>
      <c r="X121">
        <v>0.36</v>
      </c>
      <c r="Y121">
        <v>94.63</v>
      </c>
      <c r="Z121">
        <v>46.4</v>
      </c>
      <c r="AA121">
        <v>3.64</v>
      </c>
      <c r="AB121">
        <v>92.73</v>
      </c>
      <c r="AC121">
        <v>31.84</v>
      </c>
      <c r="AD121">
        <v>2.73</v>
      </c>
      <c r="AE121">
        <v>92.11</v>
      </c>
      <c r="AF121">
        <v>6.37</v>
      </c>
      <c r="AG121">
        <v>0</v>
      </c>
      <c r="AH121">
        <v>100</v>
      </c>
      <c r="AI121">
        <v>20</v>
      </c>
      <c r="AJ121">
        <v>100</v>
      </c>
      <c r="AK121">
        <v>20.92</v>
      </c>
      <c r="AL121">
        <v>0.91</v>
      </c>
      <c r="AM121">
        <v>95.83</v>
      </c>
      <c r="AN121">
        <v>18.2</v>
      </c>
      <c r="AO121">
        <v>0.91</v>
      </c>
      <c r="AP121">
        <v>95.24</v>
      </c>
      <c r="AQ121">
        <v>5.46</v>
      </c>
      <c r="AR121">
        <v>0</v>
      </c>
      <c r="AS121">
        <v>100</v>
      </c>
      <c r="AT121">
        <v>30</v>
      </c>
      <c r="AU121">
        <v>100</v>
      </c>
      <c r="AV121">
        <v>25.47</v>
      </c>
      <c r="AW121">
        <v>2.73</v>
      </c>
      <c r="AX121">
        <v>90.32</v>
      </c>
      <c r="AY121">
        <v>13.65</v>
      </c>
      <c r="AZ121">
        <v>1.82</v>
      </c>
      <c r="BA121">
        <v>88.24</v>
      </c>
      <c r="BB121">
        <v>0.91</v>
      </c>
      <c r="BC121">
        <v>0</v>
      </c>
      <c r="BD121">
        <v>100</v>
      </c>
      <c r="BE121">
        <v>6.67</v>
      </c>
      <c r="BF121">
        <v>100</v>
      </c>
      <c r="BG121">
        <v>43.67</v>
      </c>
      <c r="BH121">
        <v>2.73</v>
      </c>
      <c r="BI121">
        <v>94.12</v>
      </c>
      <c r="BJ121">
        <v>20.92</v>
      </c>
      <c r="BK121">
        <v>0.91</v>
      </c>
      <c r="BL121">
        <v>95.83</v>
      </c>
      <c r="BM121">
        <v>0</v>
      </c>
      <c r="BN121">
        <v>0</v>
      </c>
      <c r="BO121" t="s">
        <v>85</v>
      </c>
      <c r="BP121">
        <v>0</v>
      </c>
      <c r="BQ121">
        <v>100</v>
      </c>
      <c r="BR121">
        <v>12.07</v>
      </c>
      <c r="BS121">
        <v>100</v>
      </c>
      <c r="BT121">
        <v>1.121</v>
      </c>
    </row>
    <row r="122" spans="1:72" x14ac:dyDescent="0.35">
      <c r="A122">
        <v>10</v>
      </c>
      <c r="B122" t="s">
        <v>47</v>
      </c>
      <c r="C122">
        <v>10</v>
      </c>
      <c r="D122">
        <v>5.47</v>
      </c>
      <c r="E122">
        <v>4</v>
      </c>
      <c r="F122">
        <v>5</v>
      </c>
      <c r="G122">
        <v>1</v>
      </c>
      <c r="H122">
        <v>3</v>
      </c>
      <c r="I122">
        <v>9</v>
      </c>
      <c r="J122">
        <v>0.45</v>
      </c>
      <c r="K122">
        <v>81.42</v>
      </c>
      <c r="L122">
        <v>16.28</v>
      </c>
      <c r="M122">
        <v>83.33</v>
      </c>
      <c r="N122">
        <v>61.38</v>
      </c>
      <c r="O122">
        <v>13.78</v>
      </c>
      <c r="P122">
        <v>81.67</v>
      </c>
      <c r="Q122">
        <v>48.85</v>
      </c>
      <c r="R122">
        <v>13.78</v>
      </c>
      <c r="S122">
        <v>78</v>
      </c>
      <c r="T122">
        <v>6.26</v>
      </c>
      <c r="U122">
        <v>1.25</v>
      </c>
      <c r="V122">
        <v>83.33</v>
      </c>
      <c r="W122">
        <v>5.63</v>
      </c>
      <c r="X122">
        <v>0.57999999999999996</v>
      </c>
      <c r="Y122">
        <v>90.71</v>
      </c>
      <c r="Z122">
        <v>38.83</v>
      </c>
      <c r="AA122">
        <v>7.52</v>
      </c>
      <c r="AB122">
        <v>83.78</v>
      </c>
      <c r="AC122">
        <v>26.3</v>
      </c>
      <c r="AD122">
        <v>5.01</v>
      </c>
      <c r="AE122">
        <v>84</v>
      </c>
      <c r="AF122">
        <v>6.26</v>
      </c>
      <c r="AG122">
        <v>1.25</v>
      </c>
      <c r="AH122">
        <v>83.33</v>
      </c>
      <c r="AI122">
        <v>23.81</v>
      </c>
      <c r="AJ122">
        <v>75</v>
      </c>
      <c r="AK122">
        <v>17.54</v>
      </c>
      <c r="AL122">
        <v>1.25</v>
      </c>
      <c r="AM122">
        <v>93.33</v>
      </c>
      <c r="AN122">
        <v>15.03</v>
      </c>
      <c r="AO122">
        <v>1.25</v>
      </c>
      <c r="AP122">
        <v>92.31</v>
      </c>
      <c r="AQ122">
        <v>6.26</v>
      </c>
      <c r="AR122">
        <v>1.25</v>
      </c>
      <c r="AS122">
        <v>83.33</v>
      </c>
      <c r="AT122">
        <v>41.67</v>
      </c>
      <c r="AU122">
        <v>0</v>
      </c>
      <c r="AV122">
        <v>21.29</v>
      </c>
      <c r="AW122">
        <v>6.26</v>
      </c>
      <c r="AX122">
        <v>77.27</v>
      </c>
      <c r="AY122">
        <v>11.27</v>
      </c>
      <c r="AZ122">
        <v>3.76</v>
      </c>
      <c r="BA122">
        <v>75</v>
      </c>
      <c r="BB122">
        <v>0</v>
      </c>
      <c r="BC122">
        <v>0</v>
      </c>
      <c r="BD122" t="s">
        <v>85</v>
      </c>
      <c r="BE122">
        <v>0</v>
      </c>
      <c r="BF122">
        <v>100</v>
      </c>
      <c r="BG122">
        <v>37.58</v>
      </c>
      <c r="BH122">
        <v>5.01</v>
      </c>
      <c r="BI122">
        <v>88.24</v>
      </c>
      <c r="BJ122">
        <v>21.29</v>
      </c>
      <c r="BK122">
        <v>5.01</v>
      </c>
      <c r="BL122">
        <v>80.95</v>
      </c>
      <c r="BM122">
        <v>0</v>
      </c>
      <c r="BN122">
        <v>0</v>
      </c>
      <c r="BO122" t="s">
        <v>85</v>
      </c>
      <c r="BP122">
        <v>0</v>
      </c>
      <c r="BQ122">
        <v>100</v>
      </c>
      <c r="BR122">
        <v>12.82</v>
      </c>
      <c r="BS122">
        <v>90.91</v>
      </c>
      <c r="BT122">
        <v>1.0369999999999999</v>
      </c>
    </row>
    <row r="123" spans="1:72" x14ac:dyDescent="0.35">
      <c r="A123">
        <v>11</v>
      </c>
      <c r="B123" t="s">
        <v>48</v>
      </c>
      <c r="C123">
        <v>10</v>
      </c>
      <c r="D123">
        <v>4.28</v>
      </c>
      <c r="E123">
        <v>3</v>
      </c>
      <c r="F123">
        <v>7</v>
      </c>
      <c r="G123">
        <v>0</v>
      </c>
      <c r="H123">
        <v>3</v>
      </c>
      <c r="I123">
        <v>6</v>
      </c>
      <c r="J123">
        <v>0.3</v>
      </c>
      <c r="K123">
        <v>88.76</v>
      </c>
      <c r="L123">
        <v>14.79</v>
      </c>
      <c r="M123">
        <v>85.71</v>
      </c>
      <c r="N123">
        <v>68.58</v>
      </c>
      <c r="O123">
        <v>14.79</v>
      </c>
      <c r="P123">
        <v>82.26</v>
      </c>
      <c r="Q123">
        <v>56.48</v>
      </c>
      <c r="R123">
        <v>13.45</v>
      </c>
      <c r="S123">
        <v>80.77</v>
      </c>
      <c r="T123">
        <v>5.38</v>
      </c>
      <c r="U123">
        <v>1.34</v>
      </c>
      <c r="V123">
        <v>80</v>
      </c>
      <c r="W123">
        <v>5.69</v>
      </c>
      <c r="X123">
        <v>1.0900000000000001</v>
      </c>
      <c r="Y123">
        <v>83.85</v>
      </c>
      <c r="Z123">
        <v>39</v>
      </c>
      <c r="AA123">
        <v>8.07</v>
      </c>
      <c r="AB123">
        <v>82.86</v>
      </c>
      <c r="AC123">
        <v>28.24</v>
      </c>
      <c r="AD123">
        <v>8.07</v>
      </c>
      <c r="AE123">
        <v>77.78</v>
      </c>
      <c r="AF123">
        <v>4.03</v>
      </c>
      <c r="AG123">
        <v>1.34</v>
      </c>
      <c r="AH123">
        <v>75</v>
      </c>
      <c r="AI123">
        <v>14.29</v>
      </c>
      <c r="AJ123">
        <v>83.33</v>
      </c>
      <c r="AK123">
        <v>12.1</v>
      </c>
      <c r="AL123">
        <v>4.03</v>
      </c>
      <c r="AM123">
        <v>75</v>
      </c>
      <c r="AN123">
        <v>10.76</v>
      </c>
      <c r="AO123">
        <v>4.03</v>
      </c>
      <c r="AP123">
        <v>72.73</v>
      </c>
      <c r="AQ123">
        <v>0</v>
      </c>
      <c r="AR123">
        <v>0</v>
      </c>
      <c r="AS123" t="s">
        <v>85</v>
      </c>
      <c r="AT123">
        <v>0</v>
      </c>
      <c r="AU123">
        <v>100</v>
      </c>
      <c r="AV123">
        <v>26.9</v>
      </c>
      <c r="AW123">
        <v>4.03</v>
      </c>
      <c r="AX123">
        <v>86.96</v>
      </c>
      <c r="AY123">
        <v>17.48</v>
      </c>
      <c r="AZ123">
        <v>4.03</v>
      </c>
      <c r="BA123">
        <v>81.25</v>
      </c>
      <c r="BB123">
        <v>4.03</v>
      </c>
      <c r="BC123">
        <v>1.34</v>
      </c>
      <c r="BD123">
        <v>75</v>
      </c>
      <c r="BE123">
        <v>23.08</v>
      </c>
      <c r="BF123">
        <v>66.67</v>
      </c>
      <c r="BG123">
        <v>45.72</v>
      </c>
      <c r="BH123">
        <v>4.03</v>
      </c>
      <c r="BI123">
        <v>91.89</v>
      </c>
      <c r="BJ123">
        <v>26.9</v>
      </c>
      <c r="BK123">
        <v>4.03</v>
      </c>
      <c r="BL123">
        <v>86.96</v>
      </c>
      <c r="BM123">
        <v>1.34</v>
      </c>
      <c r="BN123">
        <v>0</v>
      </c>
      <c r="BO123">
        <v>100</v>
      </c>
      <c r="BP123">
        <v>5</v>
      </c>
      <c r="BQ123">
        <v>100</v>
      </c>
      <c r="BR123">
        <v>9.52</v>
      </c>
      <c r="BS123">
        <v>90</v>
      </c>
      <c r="BT123">
        <v>0.995</v>
      </c>
    </row>
    <row r="124" spans="1:72" x14ac:dyDescent="0.35">
      <c r="A124">
        <v>12</v>
      </c>
      <c r="B124" t="s">
        <v>49</v>
      </c>
      <c r="C124">
        <v>10</v>
      </c>
      <c r="D124">
        <v>5.15</v>
      </c>
      <c r="E124">
        <v>7</v>
      </c>
      <c r="F124">
        <v>3</v>
      </c>
      <c r="G124">
        <v>0</v>
      </c>
      <c r="H124">
        <v>7</v>
      </c>
      <c r="I124">
        <v>14</v>
      </c>
      <c r="J124">
        <v>0.7</v>
      </c>
      <c r="K124">
        <v>106.29</v>
      </c>
      <c r="L124">
        <v>10.29</v>
      </c>
      <c r="M124">
        <v>91.18</v>
      </c>
      <c r="N124">
        <v>85.71</v>
      </c>
      <c r="O124">
        <v>10.29</v>
      </c>
      <c r="P124">
        <v>89.29</v>
      </c>
      <c r="Q124">
        <v>68.569999999999993</v>
      </c>
      <c r="R124">
        <v>6.86</v>
      </c>
      <c r="S124">
        <v>90.91</v>
      </c>
      <c r="T124">
        <v>10.29</v>
      </c>
      <c r="U124">
        <v>0</v>
      </c>
      <c r="V124">
        <v>100</v>
      </c>
      <c r="W124">
        <v>8.61</v>
      </c>
      <c r="X124">
        <v>0.52</v>
      </c>
      <c r="Y124">
        <v>94.29</v>
      </c>
      <c r="Z124">
        <v>66.290000000000006</v>
      </c>
      <c r="AA124">
        <v>2.29</v>
      </c>
      <c r="AB124">
        <v>96.67</v>
      </c>
      <c r="AC124">
        <v>43.43</v>
      </c>
      <c r="AD124">
        <v>2.29</v>
      </c>
      <c r="AE124">
        <v>95</v>
      </c>
      <c r="AF124">
        <v>8</v>
      </c>
      <c r="AG124">
        <v>0</v>
      </c>
      <c r="AH124">
        <v>100</v>
      </c>
      <c r="AI124">
        <v>18.420000000000002</v>
      </c>
      <c r="AJ124">
        <v>100</v>
      </c>
      <c r="AK124">
        <v>22.86</v>
      </c>
      <c r="AL124">
        <v>2.29</v>
      </c>
      <c r="AM124">
        <v>90.91</v>
      </c>
      <c r="AN124">
        <v>20.57</v>
      </c>
      <c r="AO124">
        <v>2.29</v>
      </c>
      <c r="AP124">
        <v>90</v>
      </c>
      <c r="AQ124">
        <v>5.71</v>
      </c>
      <c r="AR124">
        <v>0</v>
      </c>
      <c r="AS124">
        <v>100</v>
      </c>
      <c r="AT124">
        <v>27.78</v>
      </c>
      <c r="AU124">
        <v>100</v>
      </c>
      <c r="AV124">
        <v>43.43</v>
      </c>
      <c r="AW124">
        <v>0</v>
      </c>
      <c r="AX124">
        <v>100</v>
      </c>
      <c r="AY124">
        <v>22.86</v>
      </c>
      <c r="AZ124">
        <v>0</v>
      </c>
      <c r="BA124">
        <v>100</v>
      </c>
      <c r="BB124">
        <v>2.29</v>
      </c>
      <c r="BC124">
        <v>0</v>
      </c>
      <c r="BD124">
        <v>100</v>
      </c>
      <c r="BE124">
        <v>10</v>
      </c>
      <c r="BF124" t="s">
        <v>85</v>
      </c>
      <c r="BG124">
        <v>40</v>
      </c>
      <c r="BH124">
        <v>4.57</v>
      </c>
      <c r="BI124">
        <v>89.74</v>
      </c>
      <c r="BJ124">
        <v>25.14</v>
      </c>
      <c r="BK124">
        <v>2.29</v>
      </c>
      <c r="BL124">
        <v>91.67</v>
      </c>
      <c r="BM124">
        <v>2.29</v>
      </c>
      <c r="BN124">
        <v>0</v>
      </c>
      <c r="BO124">
        <v>100</v>
      </c>
      <c r="BP124">
        <v>9.09</v>
      </c>
      <c r="BQ124">
        <v>100</v>
      </c>
      <c r="BR124">
        <v>15</v>
      </c>
      <c r="BS124">
        <v>100</v>
      </c>
      <c r="BT124">
        <v>1.1499999999999999</v>
      </c>
    </row>
    <row r="125" spans="1:72" x14ac:dyDescent="0.35">
      <c r="A125">
        <v>13</v>
      </c>
      <c r="B125" t="s">
        <v>50</v>
      </c>
      <c r="C125">
        <v>10</v>
      </c>
      <c r="D125">
        <v>6.58</v>
      </c>
      <c r="E125">
        <v>6</v>
      </c>
      <c r="F125">
        <v>4</v>
      </c>
      <c r="G125">
        <v>0</v>
      </c>
      <c r="H125">
        <v>6</v>
      </c>
      <c r="I125">
        <v>12</v>
      </c>
      <c r="J125">
        <v>0.6</v>
      </c>
      <c r="K125">
        <v>99.61</v>
      </c>
      <c r="L125">
        <v>21.13</v>
      </c>
      <c r="M125">
        <v>82.5</v>
      </c>
      <c r="N125">
        <v>80.489999999999995</v>
      </c>
      <c r="O125">
        <v>19.12</v>
      </c>
      <c r="P125">
        <v>80.81</v>
      </c>
      <c r="Q125">
        <v>64.39</v>
      </c>
      <c r="R125">
        <v>17.100000000000001</v>
      </c>
      <c r="S125">
        <v>79.010000000000005</v>
      </c>
      <c r="T125">
        <v>12.07</v>
      </c>
      <c r="U125">
        <v>1.01</v>
      </c>
      <c r="V125">
        <v>92.31</v>
      </c>
      <c r="W125">
        <v>6.84</v>
      </c>
      <c r="X125">
        <v>1.37</v>
      </c>
      <c r="Y125">
        <v>83.28</v>
      </c>
      <c r="Z125">
        <v>49.3</v>
      </c>
      <c r="AA125">
        <v>11.07</v>
      </c>
      <c r="AB125">
        <v>81.67</v>
      </c>
      <c r="AC125">
        <v>35.22</v>
      </c>
      <c r="AD125">
        <v>8.0500000000000007</v>
      </c>
      <c r="AE125">
        <v>81.400000000000006</v>
      </c>
      <c r="AF125">
        <v>10.06</v>
      </c>
      <c r="AG125">
        <v>1.01</v>
      </c>
      <c r="AH125">
        <v>90.91</v>
      </c>
      <c r="AI125">
        <v>28.57</v>
      </c>
      <c r="AJ125">
        <v>87.5</v>
      </c>
      <c r="AK125">
        <v>19.12</v>
      </c>
      <c r="AL125">
        <v>6.04</v>
      </c>
      <c r="AM125">
        <v>76</v>
      </c>
      <c r="AN125">
        <v>16.100000000000001</v>
      </c>
      <c r="AO125">
        <v>5.03</v>
      </c>
      <c r="AP125">
        <v>76.19</v>
      </c>
      <c r="AQ125">
        <v>7.04</v>
      </c>
      <c r="AR125">
        <v>0</v>
      </c>
      <c r="AS125">
        <v>100</v>
      </c>
      <c r="AT125">
        <v>43.75</v>
      </c>
      <c r="AU125">
        <v>100</v>
      </c>
      <c r="AV125">
        <v>30.18</v>
      </c>
      <c r="AW125">
        <v>5.03</v>
      </c>
      <c r="AX125">
        <v>85.71</v>
      </c>
      <c r="AY125">
        <v>19.12</v>
      </c>
      <c r="AZ125">
        <v>3.02</v>
      </c>
      <c r="BA125">
        <v>86.36</v>
      </c>
      <c r="BB125">
        <v>3.02</v>
      </c>
      <c r="BC125">
        <v>1.01</v>
      </c>
      <c r="BD125">
        <v>75</v>
      </c>
      <c r="BE125">
        <v>15.79</v>
      </c>
      <c r="BF125">
        <v>66.67</v>
      </c>
      <c r="BG125">
        <v>49.3</v>
      </c>
      <c r="BH125">
        <v>3.02</v>
      </c>
      <c r="BI125">
        <v>94.23</v>
      </c>
      <c r="BJ125">
        <v>29.18</v>
      </c>
      <c r="BK125">
        <v>3.02</v>
      </c>
      <c r="BL125">
        <v>90.63</v>
      </c>
      <c r="BM125">
        <v>2.0099999999999998</v>
      </c>
      <c r="BN125">
        <v>0</v>
      </c>
      <c r="BO125">
        <v>100</v>
      </c>
      <c r="BP125">
        <v>6.9</v>
      </c>
      <c r="BQ125">
        <v>100</v>
      </c>
      <c r="BR125">
        <v>18.75</v>
      </c>
      <c r="BS125">
        <v>94.12</v>
      </c>
      <c r="BT125">
        <v>1.129</v>
      </c>
    </row>
    <row r="126" spans="1:72" x14ac:dyDescent="0.35">
      <c r="A126">
        <v>14</v>
      </c>
      <c r="B126" t="s">
        <v>51</v>
      </c>
      <c r="C126">
        <v>10</v>
      </c>
      <c r="D126">
        <v>6.31</v>
      </c>
      <c r="E126">
        <v>3</v>
      </c>
      <c r="F126">
        <v>5</v>
      </c>
      <c r="G126">
        <v>2</v>
      </c>
      <c r="H126">
        <v>3</v>
      </c>
      <c r="I126">
        <v>8</v>
      </c>
      <c r="J126">
        <v>0.4</v>
      </c>
      <c r="K126">
        <v>89.29</v>
      </c>
      <c r="L126">
        <v>23.96</v>
      </c>
      <c r="M126">
        <v>78.849999999999994</v>
      </c>
      <c r="N126">
        <v>58.8</v>
      </c>
      <c r="O126">
        <v>22.87</v>
      </c>
      <c r="P126">
        <v>72</v>
      </c>
      <c r="Q126">
        <v>46.82</v>
      </c>
      <c r="R126">
        <v>21.78</v>
      </c>
      <c r="S126">
        <v>68.25</v>
      </c>
      <c r="T126">
        <v>7.62</v>
      </c>
      <c r="U126">
        <v>1.0900000000000001</v>
      </c>
      <c r="V126">
        <v>87.5</v>
      </c>
      <c r="W126">
        <v>5.1100000000000003</v>
      </c>
      <c r="X126">
        <v>0.76</v>
      </c>
      <c r="Y126">
        <v>87.06</v>
      </c>
      <c r="Z126">
        <v>42.47</v>
      </c>
      <c r="AA126">
        <v>6.53</v>
      </c>
      <c r="AB126">
        <v>86.67</v>
      </c>
      <c r="AC126">
        <v>21.78</v>
      </c>
      <c r="AD126">
        <v>4.3600000000000003</v>
      </c>
      <c r="AE126">
        <v>83.33</v>
      </c>
      <c r="AF126">
        <v>4.3600000000000003</v>
      </c>
      <c r="AG126">
        <v>1.0900000000000001</v>
      </c>
      <c r="AH126">
        <v>80</v>
      </c>
      <c r="AI126">
        <v>20</v>
      </c>
      <c r="AJ126">
        <v>75</v>
      </c>
      <c r="AK126">
        <v>16.329999999999998</v>
      </c>
      <c r="AL126">
        <v>3.27</v>
      </c>
      <c r="AM126">
        <v>83.33</v>
      </c>
      <c r="AN126">
        <v>11.98</v>
      </c>
      <c r="AO126">
        <v>2.1800000000000002</v>
      </c>
      <c r="AP126">
        <v>84.62</v>
      </c>
      <c r="AQ126">
        <v>3.27</v>
      </c>
      <c r="AR126">
        <v>1.0900000000000001</v>
      </c>
      <c r="AS126">
        <v>75</v>
      </c>
      <c r="AT126">
        <v>27.27</v>
      </c>
      <c r="AU126">
        <v>50</v>
      </c>
      <c r="AV126">
        <v>26.13</v>
      </c>
      <c r="AW126">
        <v>3.27</v>
      </c>
      <c r="AX126">
        <v>88.89</v>
      </c>
      <c r="AY126">
        <v>9.8000000000000007</v>
      </c>
      <c r="AZ126">
        <v>2.1800000000000002</v>
      </c>
      <c r="BA126">
        <v>81.819999999999993</v>
      </c>
      <c r="BB126">
        <v>1.0900000000000001</v>
      </c>
      <c r="BC126">
        <v>0</v>
      </c>
      <c r="BD126">
        <v>100</v>
      </c>
      <c r="BE126">
        <v>11.11</v>
      </c>
      <c r="BF126">
        <v>100</v>
      </c>
      <c r="BG126">
        <v>44.65</v>
      </c>
      <c r="BH126">
        <v>4.3600000000000003</v>
      </c>
      <c r="BI126">
        <v>91.11</v>
      </c>
      <c r="BJ126">
        <v>25.05</v>
      </c>
      <c r="BK126">
        <v>4.3600000000000003</v>
      </c>
      <c r="BL126">
        <v>85.19</v>
      </c>
      <c r="BM126">
        <v>3.27</v>
      </c>
      <c r="BN126">
        <v>0</v>
      </c>
      <c r="BO126">
        <v>100</v>
      </c>
      <c r="BP126">
        <v>13.04</v>
      </c>
      <c r="BQ126">
        <v>100</v>
      </c>
      <c r="BR126">
        <v>16.28</v>
      </c>
      <c r="BS126">
        <v>95</v>
      </c>
      <c r="BT126">
        <v>1.113</v>
      </c>
    </row>
    <row r="127" spans="1:72" x14ac:dyDescent="0.35">
      <c r="A127">
        <v>15</v>
      </c>
      <c r="B127" t="s">
        <v>52</v>
      </c>
      <c r="C127">
        <v>10</v>
      </c>
      <c r="D127">
        <v>5.23</v>
      </c>
      <c r="E127">
        <v>5</v>
      </c>
      <c r="F127">
        <v>4</v>
      </c>
      <c r="G127">
        <v>1</v>
      </c>
      <c r="H127">
        <v>5</v>
      </c>
      <c r="I127">
        <v>11</v>
      </c>
      <c r="J127">
        <v>0.55000000000000004</v>
      </c>
      <c r="K127">
        <v>94.71</v>
      </c>
      <c r="L127">
        <v>13.37</v>
      </c>
      <c r="M127">
        <v>87.63</v>
      </c>
      <c r="N127">
        <v>74.650000000000006</v>
      </c>
      <c r="O127">
        <v>12.26</v>
      </c>
      <c r="P127">
        <v>85.9</v>
      </c>
      <c r="Q127">
        <v>50.14</v>
      </c>
      <c r="R127">
        <v>10.029999999999999</v>
      </c>
      <c r="S127">
        <v>83.33</v>
      </c>
      <c r="T127">
        <v>3.34</v>
      </c>
      <c r="U127">
        <v>0</v>
      </c>
      <c r="V127">
        <v>100</v>
      </c>
      <c r="W127">
        <v>6.58</v>
      </c>
      <c r="X127">
        <v>0.66</v>
      </c>
      <c r="Y127">
        <v>90.9</v>
      </c>
      <c r="Z127">
        <v>45.68</v>
      </c>
      <c r="AA127">
        <v>5.57</v>
      </c>
      <c r="AB127">
        <v>89.13</v>
      </c>
      <c r="AC127">
        <v>22.28</v>
      </c>
      <c r="AD127">
        <v>3.34</v>
      </c>
      <c r="AE127">
        <v>86.96</v>
      </c>
      <c r="AF127">
        <v>2.23</v>
      </c>
      <c r="AG127">
        <v>0</v>
      </c>
      <c r="AH127">
        <v>100</v>
      </c>
      <c r="AI127">
        <v>10</v>
      </c>
      <c r="AJ127">
        <v>100</v>
      </c>
      <c r="AK127">
        <v>20.059999999999999</v>
      </c>
      <c r="AL127">
        <v>3.34</v>
      </c>
      <c r="AM127">
        <v>85.71</v>
      </c>
      <c r="AN127">
        <v>13.37</v>
      </c>
      <c r="AO127">
        <v>2.23</v>
      </c>
      <c r="AP127">
        <v>85.71</v>
      </c>
      <c r="AQ127">
        <v>1.1100000000000001</v>
      </c>
      <c r="AR127">
        <v>0</v>
      </c>
      <c r="AS127">
        <v>100</v>
      </c>
      <c r="AT127">
        <v>8.33</v>
      </c>
      <c r="AU127">
        <v>100</v>
      </c>
      <c r="AV127">
        <v>25.63</v>
      </c>
      <c r="AW127">
        <v>2.23</v>
      </c>
      <c r="AX127">
        <v>92</v>
      </c>
      <c r="AY127">
        <v>8.91</v>
      </c>
      <c r="AZ127">
        <v>1.1100000000000001</v>
      </c>
      <c r="BA127">
        <v>88.89</v>
      </c>
      <c r="BB127">
        <v>1.1100000000000001</v>
      </c>
      <c r="BC127">
        <v>0</v>
      </c>
      <c r="BD127">
        <v>100</v>
      </c>
      <c r="BE127">
        <v>12.5</v>
      </c>
      <c r="BF127">
        <v>100</v>
      </c>
      <c r="BG127">
        <v>49.03</v>
      </c>
      <c r="BH127">
        <v>5.57</v>
      </c>
      <c r="BI127">
        <v>89.8</v>
      </c>
      <c r="BJ127">
        <v>27.86</v>
      </c>
      <c r="BK127">
        <v>4.46</v>
      </c>
      <c r="BL127">
        <v>86.21</v>
      </c>
      <c r="BM127">
        <v>1.1100000000000001</v>
      </c>
      <c r="BN127">
        <v>0</v>
      </c>
      <c r="BO127">
        <v>100</v>
      </c>
      <c r="BP127">
        <v>4</v>
      </c>
      <c r="BQ127">
        <v>100</v>
      </c>
      <c r="BR127">
        <v>6.67</v>
      </c>
      <c r="BS127">
        <v>100</v>
      </c>
      <c r="BT127">
        <v>1.0669999999999999</v>
      </c>
    </row>
    <row r="128" spans="1:72" x14ac:dyDescent="0.35">
      <c r="A128">
        <v>16</v>
      </c>
      <c r="B128" t="s">
        <v>53</v>
      </c>
      <c r="C128">
        <v>10</v>
      </c>
      <c r="D128">
        <v>5.59</v>
      </c>
      <c r="E128">
        <v>2</v>
      </c>
      <c r="F128">
        <v>3</v>
      </c>
      <c r="G128">
        <v>5</v>
      </c>
      <c r="H128">
        <v>2</v>
      </c>
      <c r="I128">
        <v>9</v>
      </c>
      <c r="J128">
        <v>0.45</v>
      </c>
      <c r="K128">
        <v>69.69</v>
      </c>
      <c r="L128">
        <v>9.61</v>
      </c>
      <c r="M128">
        <v>87.88</v>
      </c>
      <c r="N128">
        <v>56.48</v>
      </c>
      <c r="O128">
        <v>8.41</v>
      </c>
      <c r="P128">
        <v>87.04</v>
      </c>
      <c r="Q128">
        <v>42.06</v>
      </c>
      <c r="R128">
        <v>8.41</v>
      </c>
      <c r="S128">
        <v>83.33</v>
      </c>
      <c r="T128">
        <v>4.8099999999999996</v>
      </c>
      <c r="U128">
        <v>0</v>
      </c>
      <c r="V128">
        <v>100</v>
      </c>
      <c r="W128">
        <v>4.79</v>
      </c>
      <c r="X128">
        <v>0.4</v>
      </c>
      <c r="Y128">
        <v>92.24</v>
      </c>
      <c r="Z128">
        <v>36.049999999999997</v>
      </c>
      <c r="AA128">
        <v>4.8099999999999996</v>
      </c>
      <c r="AB128">
        <v>88.24</v>
      </c>
      <c r="AC128">
        <v>25.23</v>
      </c>
      <c r="AD128">
        <v>3.6</v>
      </c>
      <c r="AE128">
        <v>87.5</v>
      </c>
      <c r="AF128">
        <v>2.4</v>
      </c>
      <c r="AG128">
        <v>0</v>
      </c>
      <c r="AH128">
        <v>100</v>
      </c>
      <c r="AI128">
        <v>9.52</v>
      </c>
      <c r="AJ128">
        <v>100</v>
      </c>
      <c r="AK128">
        <v>15.62</v>
      </c>
      <c r="AL128">
        <v>2.4</v>
      </c>
      <c r="AM128">
        <v>86.67</v>
      </c>
      <c r="AN128">
        <v>12.02</v>
      </c>
      <c r="AO128">
        <v>2.4</v>
      </c>
      <c r="AP128">
        <v>83.33</v>
      </c>
      <c r="AQ128">
        <v>2.4</v>
      </c>
      <c r="AR128">
        <v>0</v>
      </c>
      <c r="AS128">
        <v>100</v>
      </c>
      <c r="AT128">
        <v>20</v>
      </c>
      <c r="AU128">
        <v>100</v>
      </c>
      <c r="AV128">
        <v>20.43</v>
      </c>
      <c r="AW128">
        <v>2.4</v>
      </c>
      <c r="AX128">
        <v>89.47</v>
      </c>
      <c r="AY128">
        <v>13.22</v>
      </c>
      <c r="AZ128">
        <v>1.2</v>
      </c>
      <c r="BA128">
        <v>91.67</v>
      </c>
      <c r="BB128">
        <v>0</v>
      </c>
      <c r="BC128">
        <v>0</v>
      </c>
      <c r="BD128" t="s">
        <v>85</v>
      </c>
      <c r="BE128">
        <v>0</v>
      </c>
      <c r="BF128">
        <v>100</v>
      </c>
      <c r="BG128">
        <v>30.04</v>
      </c>
      <c r="BH128">
        <v>2.4</v>
      </c>
      <c r="BI128">
        <v>92.59</v>
      </c>
      <c r="BJ128">
        <v>16.82</v>
      </c>
      <c r="BK128">
        <v>2.4</v>
      </c>
      <c r="BL128">
        <v>87.5</v>
      </c>
      <c r="BM128">
        <v>2.4</v>
      </c>
      <c r="BN128">
        <v>0</v>
      </c>
      <c r="BO128">
        <v>100</v>
      </c>
      <c r="BP128">
        <v>14.29</v>
      </c>
      <c r="BQ128">
        <v>100</v>
      </c>
      <c r="BR128">
        <v>11.43</v>
      </c>
      <c r="BS128">
        <v>100</v>
      </c>
      <c r="BT128">
        <v>1.1140000000000001</v>
      </c>
    </row>
    <row r="129" spans="1:72" x14ac:dyDescent="0.35">
      <c r="A129">
        <v>17</v>
      </c>
      <c r="B129" t="s">
        <v>54</v>
      </c>
      <c r="C129">
        <v>10</v>
      </c>
      <c r="D129">
        <v>5.0999999999999996</v>
      </c>
      <c r="E129">
        <v>7</v>
      </c>
      <c r="F129">
        <v>2</v>
      </c>
      <c r="G129">
        <v>1</v>
      </c>
      <c r="H129">
        <v>7</v>
      </c>
      <c r="I129">
        <v>15</v>
      </c>
      <c r="J129">
        <v>0.75</v>
      </c>
      <c r="K129">
        <v>73.180000000000007</v>
      </c>
      <c r="L129">
        <v>15.1</v>
      </c>
      <c r="M129">
        <v>82.89</v>
      </c>
      <c r="N129">
        <v>51.11</v>
      </c>
      <c r="O129">
        <v>15.1</v>
      </c>
      <c r="P129">
        <v>77.19</v>
      </c>
      <c r="Q129">
        <v>33.69</v>
      </c>
      <c r="R129">
        <v>10.45</v>
      </c>
      <c r="S129">
        <v>76.319999999999993</v>
      </c>
      <c r="T129">
        <v>4.6500000000000004</v>
      </c>
      <c r="U129">
        <v>0</v>
      </c>
      <c r="V129">
        <v>100</v>
      </c>
      <c r="W129">
        <v>4.09</v>
      </c>
      <c r="X129">
        <v>0.85</v>
      </c>
      <c r="Y129">
        <v>82.73</v>
      </c>
      <c r="Z129">
        <v>32.53</v>
      </c>
      <c r="AA129">
        <v>9.2899999999999991</v>
      </c>
      <c r="AB129">
        <v>77.78</v>
      </c>
      <c r="AC129">
        <v>20.91</v>
      </c>
      <c r="AD129">
        <v>6.97</v>
      </c>
      <c r="AE129">
        <v>75</v>
      </c>
      <c r="AF129">
        <v>4.6500000000000004</v>
      </c>
      <c r="AG129">
        <v>0</v>
      </c>
      <c r="AH129">
        <v>100</v>
      </c>
      <c r="AI129">
        <v>22.22</v>
      </c>
      <c r="AJ129">
        <v>100</v>
      </c>
      <c r="AK129">
        <v>9.2899999999999991</v>
      </c>
      <c r="AL129">
        <v>3.48</v>
      </c>
      <c r="AM129">
        <v>72.73</v>
      </c>
      <c r="AN129">
        <v>6.97</v>
      </c>
      <c r="AO129">
        <v>3.48</v>
      </c>
      <c r="AP129">
        <v>66.67</v>
      </c>
      <c r="AQ129">
        <v>1.1599999999999999</v>
      </c>
      <c r="AR129">
        <v>0</v>
      </c>
      <c r="AS129">
        <v>100</v>
      </c>
      <c r="AT129">
        <v>16.670000000000002</v>
      </c>
      <c r="AU129">
        <v>100</v>
      </c>
      <c r="AV129">
        <v>23.23</v>
      </c>
      <c r="AW129">
        <v>5.81</v>
      </c>
      <c r="AX129">
        <v>80</v>
      </c>
      <c r="AY129">
        <v>13.94</v>
      </c>
      <c r="AZ129">
        <v>3.48</v>
      </c>
      <c r="BA129">
        <v>80</v>
      </c>
      <c r="BB129">
        <v>3.48</v>
      </c>
      <c r="BC129">
        <v>0</v>
      </c>
      <c r="BD129">
        <v>100</v>
      </c>
      <c r="BE129">
        <v>25</v>
      </c>
      <c r="BF129">
        <v>100</v>
      </c>
      <c r="BG129">
        <v>38.33</v>
      </c>
      <c r="BH129">
        <v>3.48</v>
      </c>
      <c r="BI129">
        <v>91.67</v>
      </c>
      <c r="BJ129">
        <v>12.78</v>
      </c>
      <c r="BK129">
        <v>1.1599999999999999</v>
      </c>
      <c r="BL129">
        <v>91.67</v>
      </c>
      <c r="BM129">
        <v>0</v>
      </c>
      <c r="BN129">
        <v>0</v>
      </c>
      <c r="BO129" t="s">
        <v>85</v>
      </c>
      <c r="BP129">
        <v>0</v>
      </c>
      <c r="BQ129">
        <v>100</v>
      </c>
      <c r="BR129">
        <v>13.79</v>
      </c>
      <c r="BS129">
        <v>100</v>
      </c>
      <c r="BT129">
        <v>1.1379999999999999</v>
      </c>
    </row>
    <row r="130" spans="1:72" x14ac:dyDescent="0.35">
      <c r="A130">
        <v>18</v>
      </c>
      <c r="B130" t="s">
        <v>55</v>
      </c>
      <c r="C130">
        <v>10</v>
      </c>
      <c r="D130">
        <v>5.52</v>
      </c>
      <c r="E130">
        <v>5</v>
      </c>
      <c r="F130">
        <v>4</v>
      </c>
      <c r="G130">
        <v>1</v>
      </c>
      <c r="H130">
        <v>3</v>
      </c>
      <c r="I130">
        <v>11</v>
      </c>
      <c r="J130">
        <v>0.55000000000000004</v>
      </c>
      <c r="K130">
        <v>86.18</v>
      </c>
      <c r="L130">
        <v>14.77</v>
      </c>
      <c r="M130">
        <v>85.37</v>
      </c>
      <c r="N130">
        <v>60.33</v>
      </c>
      <c r="O130">
        <v>13.54</v>
      </c>
      <c r="P130">
        <v>81.67</v>
      </c>
      <c r="Q130">
        <v>43.09</v>
      </c>
      <c r="R130">
        <v>8.6199999999999992</v>
      </c>
      <c r="S130">
        <v>83.33</v>
      </c>
      <c r="T130">
        <v>9.85</v>
      </c>
      <c r="U130">
        <v>0</v>
      </c>
      <c r="V130">
        <v>100</v>
      </c>
      <c r="W130">
        <v>4.6500000000000004</v>
      </c>
      <c r="X130">
        <v>0.66</v>
      </c>
      <c r="Y130">
        <v>87.62</v>
      </c>
      <c r="Z130">
        <v>30.78</v>
      </c>
      <c r="AA130">
        <v>8.6199999999999992</v>
      </c>
      <c r="AB130">
        <v>78.13</v>
      </c>
      <c r="AC130">
        <v>18.47</v>
      </c>
      <c r="AD130">
        <v>2.46</v>
      </c>
      <c r="AE130">
        <v>88.24</v>
      </c>
      <c r="AF130">
        <v>6.16</v>
      </c>
      <c r="AG130">
        <v>0</v>
      </c>
      <c r="AH130">
        <v>100</v>
      </c>
      <c r="AI130">
        <v>33.33</v>
      </c>
      <c r="AJ130">
        <v>100</v>
      </c>
      <c r="AK130">
        <v>9.85</v>
      </c>
      <c r="AL130">
        <v>2.46</v>
      </c>
      <c r="AM130">
        <v>80</v>
      </c>
      <c r="AN130">
        <v>6.16</v>
      </c>
      <c r="AO130">
        <v>1.23</v>
      </c>
      <c r="AP130">
        <v>83.33</v>
      </c>
      <c r="AQ130">
        <v>3.69</v>
      </c>
      <c r="AR130">
        <v>0</v>
      </c>
      <c r="AS130">
        <v>100</v>
      </c>
      <c r="AT130">
        <v>60</v>
      </c>
      <c r="AU130">
        <v>100</v>
      </c>
      <c r="AV130">
        <v>20.93</v>
      </c>
      <c r="AW130">
        <v>6.16</v>
      </c>
      <c r="AX130">
        <v>77.27</v>
      </c>
      <c r="AY130">
        <v>12.31</v>
      </c>
      <c r="AZ130">
        <v>1.23</v>
      </c>
      <c r="BA130">
        <v>90.91</v>
      </c>
      <c r="BB130">
        <v>2.46</v>
      </c>
      <c r="BC130">
        <v>0</v>
      </c>
      <c r="BD130">
        <v>100</v>
      </c>
      <c r="BE130">
        <v>20</v>
      </c>
      <c r="BF130">
        <v>100</v>
      </c>
      <c r="BG130">
        <v>52.94</v>
      </c>
      <c r="BH130">
        <v>1.23</v>
      </c>
      <c r="BI130">
        <v>97.73</v>
      </c>
      <c r="BJ130">
        <v>23.39</v>
      </c>
      <c r="BK130">
        <v>1.23</v>
      </c>
      <c r="BL130">
        <v>95</v>
      </c>
      <c r="BM130">
        <v>2.46</v>
      </c>
      <c r="BN130">
        <v>0</v>
      </c>
      <c r="BO130">
        <v>100</v>
      </c>
      <c r="BP130">
        <v>10.53</v>
      </c>
      <c r="BQ130">
        <v>100</v>
      </c>
      <c r="BR130">
        <v>22.86</v>
      </c>
      <c r="BS130">
        <v>100</v>
      </c>
      <c r="BT130">
        <v>1.2290000000000001</v>
      </c>
    </row>
    <row r="131" spans="1:72" x14ac:dyDescent="0.35">
      <c r="A131">
        <v>19</v>
      </c>
      <c r="B131" t="s">
        <v>56</v>
      </c>
      <c r="C131">
        <v>10</v>
      </c>
      <c r="D131">
        <v>4.54</v>
      </c>
      <c r="E131">
        <v>7</v>
      </c>
      <c r="F131">
        <v>3</v>
      </c>
      <c r="G131">
        <v>0</v>
      </c>
      <c r="H131">
        <v>6</v>
      </c>
      <c r="I131">
        <v>14</v>
      </c>
      <c r="J131">
        <v>0.7</v>
      </c>
      <c r="K131">
        <v>90.81</v>
      </c>
      <c r="L131">
        <v>6.16</v>
      </c>
      <c r="M131">
        <v>93.65</v>
      </c>
      <c r="N131">
        <v>67.72</v>
      </c>
      <c r="O131">
        <v>6.16</v>
      </c>
      <c r="P131">
        <v>91.67</v>
      </c>
      <c r="Q131">
        <v>58.49</v>
      </c>
      <c r="R131">
        <v>4.62</v>
      </c>
      <c r="S131">
        <v>92.68</v>
      </c>
      <c r="T131">
        <v>4.62</v>
      </c>
      <c r="U131">
        <v>0</v>
      </c>
      <c r="V131">
        <v>100</v>
      </c>
      <c r="W131">
        <v>7.22</v>
      </c>
      <c r="X131">
        <v>0.19</v>
      </c>
      <c r="Y131">
        <v>97.43</v>
      </c>
      <c r="Z131">
        <v>55.41</v>
      </c>
      <c r="AA131">
        <v>0</v>
      </c>
      <c r="AB131">
        <v>100</v>
      </c>
      <c r="AC131">
        <v>40.020000000000003</v>
      </c>
      <c r="AD131">
        <v>0</v>
      </c>
      <c r="AE131">
        <v>100</v>
      </c>
      <c r="AF131">
        <v>4.62</v>
      </c>
      <c r="AG131">
        <v>0</v>
      </c>
      <c r="AH131">
        <v>100</v>
      </c>
      <c r="AI131">
        <v>11.54</v>
      </c>
      <c r="AJ131" t="s">
        <v>85</v>
      </c>
      <c r="AK131">
        <v>24.63</v>
      </c>
      <c r="AL131">
        <v>0</v>
      </c>
      <c r="AM131">
        <v>100</v>
      </c>
      <c r="AN131">
        <v>21.55</v>
      </c>
      <c r="AO131">
        <v>0</v>
      </c>
      <c r="AP131">
        <v>100</v>
      </c>
      <c r="AQ131">
        <v>3.08</v>
      </c>
      <c r="AR131">
        <v>0</v>
      </c>
      <c r="AS131">
        <v>100</v>
      </c>
      <c r="AT131">
        <v>14.29</v>
      </c>
      <c r="AU131" t="s">
        <v>85</v>
      </c>
      <c r="AV131">
        <v>30.78</v>
      </c>
      <c r="AW131">
        <v>0</v>
      </c>
      <c r="AX131">
        <v>100</v>
      </c>
      <c r="AY131">
        <v>18.47</v>
      </c>
      <c r="AZ131">
        <v>0</v>
      </c>
      <c r="BA131">
        <v>100</v>
      </c>
      <c r="BB131">
        <v>1.54</v>
      </c>
      <c r="BC131">
        <v>0</v>
      </c>
      <c r="BD131">
        <v>100</v>
      </c>
      <c r="BE131">
        <v>8.33</v>
      </c>
      <c r="BF131" t="s">
        <v>85</v>
      </c>
      <c r="BG131">
        <v>33.86</v>
      </c>
      <c r="BH131">
        <v>4.62</v>
      </c>
      <c r="BI131">
        <v>88</v>
      </c>
      <c r="BJ131">
        <v>18.47</v>
      </c>
      <c r="BK131">
        <v>3.08</v>
      </c>
      <c r="BL131">
        <v>85.71</v>
      </c>
      <c r="BM131">
        <v>0</v>
      </c>
      <c r="BN131">
        <v>0</v>
      </c>
      <c r="BO131" t="s">
        <v>85</v>
      </c>
      <c r="BP131">
        <v>0</v>
      </c>
      <c r="BQ131">
        <v>100</v>
      </c>
      <c r="BR131">
        <v>7.89</v>
      </c>
      <c r="BS131">
        <v>100</v>
      </c>
      <c r="BT131">
        <v>1.079</v>
      </c>
    </row>
    <row r="132" spans="1:72" x14ac:dyDescent="0.35">
      <c r="A132">
        <v>20</v>
      </c>
      <c r="B132" t="s">
        <v>57</v>
      </c>
      <c r="C132">
        <v>10</v>
      </c>
      <c r="D132">
        <v>6.16</v>
      </c>
      <c r="E132">
        <v>5</v>
      </c>
      <c r="F132">
        <v>5</v>
      </c>
      <c r="G132">
        <v>0</v>
      </c>
      <c r="H132">
        <v>5</v>
      </c>
      <c r="I132">
        <v>10</v>
      </c>
      <c r="J132">
        <v>0.5</v>
      </c>
      <c r="K132">
        <v>81.47</v>
      </c>
      <c r="L132">
        <v>18.21</v>
      </c>
      <c r="M132">
        <v>81.73</v>
      </c>
      <c r="N132">
        <v>69.010000000000005</v>
      </c>
      <c r="O132">
        <v>18.21</v>
      </c>
      <c r="P132">
        <v>79.12</v>
      </c>
      <c r="Q132">
        <v>43.13</v>
      </c>
      <c r="R132">
        <v>13.42</v>
      </c>
      <c r="S132">
        <v>76.27</v>
      </c>
      <c r="T132">
        <v>6.71</v>
      </c>
      <c r="U132">
        <v>1.92</v>
      </c>
      <c r="V132">
        <v>77.78</v>
      </c>
      <c r="W132">
        <v>6.61</v>
      </c>
      <c r="X132">
        <v>0.56999999999999995</v>
      </c>
      <c r="Y132">
        <v>92</v>
      </c>
      <c r="Z132">
        <v>46.01</v>
      </c>
      <c r="AA132">
        <v>5.75</v>
      </c>
      <c r="AB132">
        <v>88.89</v>
      </c>
      <c r="AC132">
        <v>25.88</v>
      </c>
      <c r="AD132">
        <v>2.88</v>
      </c>
      <c r="AE132">
        <v>90</v>
      </c>
      <c r="AF132">
        <v>6.71</v>
      </c>
      <c r="AG132">
        <v>1.92</v>
      </c>
      <c r="AH132">
        <v>77.78</v>
      </c>
      <c r="AI132">
        <v>25.93</v>
      </c>
      <c r="AJ132">
        <v>33.33</v>
      </c>
      <c r="AK132">
        <v>24.92</v>
      </c>
      <c r="AL132">
        <v>2.88</v>
      </c>
      <c r="AM132">
        <v>89.66</v>
      </c>
      <c r="AN132">
        <v>13.42</v>
      </c>
      <c r="AO132">
        <v>1.92</v>
      </c>
      <c r="AP132">
        <v>87.5</v>
      </c>
      <c r="AQ132">
        <v>4.79</v>
      </c>
      <c r="AR132">
        <v>1.92</v>
      </c>
      <c r="AS132">
        <v>71.430000000000007</v>
      </c>
      <c r="AT132">
        <v>35.71</v>
      </c>
      <c r="AU132">
        <v>0</v>
      </c>
      <c r="AV132">
        <v>21.09</v>
      </c>
      <c r="AW132">
        <v>2.88</v>
      </c>
      <c r="AX132">
        <v>88</v>
      </c>
      <c r="AY132">
        <v>12.46</v>
      </c>
      <c r="AZ132">
        <v>0.96</v>
      </c>
      <c r="BA132">
        <v>92.86</v>
      </c>
      <c r="BB132">
        <v>1.92</v>
      </c>
      <c r="BC132">
        <v>0</v>
      </c>
      <c r="BD132">
        <v>100</v>
      </c>
      <c r="BE132">
        <v>15.38</v>
      </c>
      <c r="BF132">
        <v>100</v>
      </c>
      <c r="BG132">
        <v>32.590000000000003</v>
      </c>
      <c r="BH132">
        <v>3.83</v>
      </c>
      <c r="BI132">
        <v>89.47</v>
      </c>
      <c r="BJ132">
        <v>16.29</v>
      </c>
      <c r="BK132">
        <v>1.92</v>
      </c>
      <c r="BL132">
        <v>89.47</v>
      </c>
      <c r="BM132">
        <v>0</v>
      </c>
      <c r="BN132">
        <v>0</v>
      </c>
      <c r="BO132" t="s">
        <v>85</v>
      </c>
      <c r="BP132">
        <v>0</v>
      </c>
      <c r="BQ132">
        <v>100</v>
      </c>
      <c r="BR132">
        <v>15.56</v>
      </c>
      <c r="BS132">
        <v>85.71</v>
      </c>
      <c r="BT132">
        <v>1.0129999999999999</v>
      </c>
    </row>
    <row r="133" spans="1:72" x14ac:dyDescent="0.35">
      <c r="A133">
        <v>21</v>
      </c>
      <c r="B133" t="s">
        <v>58</v>
      </c>
      <c r="C133">
        <v>10</v>
      </c>
      <c r="D133">
        <v>4.18</v>
      </c>
      <c r="E133">
        <v>3</v>
      </c>
      <c r="F133">
        <v>7</v>
      </c>
      <c r="G133">
        <v>0</v>
      </c>
      <c r="H133">
        <v>2</v>
      </c>
      <c r="I133">
        <v>6</v>
      </c>
      <c r="J133">
        <v>0.3</v>
      </c>
      <c r="K133">
        <v>73.81</v>
      </c>
      <c r="L133">
        <v>22.28</v>
      </c>
      <c r="M133">
        <v>76.81</v>
      </c>
      <c r="N133">
        <v>50.14</v>
      </c>
      <c r="O133">
        <v>20.89</v>
      </c>
      <c r="P133">
        <v>70.59</v>
      </c>
      <c r="Q133">
        <v>33.42</v>
      </c>
      <c r="R133">
        <v>20.89</v>
      </c>
      <c r="S133">
        <v>61.54</v>
      </c>
      <c r="T133">
        <v>2.79</v>
      </c>
      <c r="U133">
        <v>0</v>
      </c>
      <c r="V133">
        <v>100</v>
      </c>
      <c r="W133">
        <v>4.01</v>
      </c>
      <c r="X133">
        <v>1.19</v>
      </c>
      <c r="Y133">
        <v>77.150000000000006</v>
      </c>
      <c r="Z133">
        <v>44.56</v>
      </c>
      <c r="AA133">
        <v>15.32</v>
      </c>
      <c r="AB133">
        <v>74.42</v>
      </c>
      <c r="AC133">
        <v>25.07</v>
      </c>
      <c r="AD133">
        <v>13.93</v>
      </c>
      <c r="AE133">
        <v>64.290000000000006</v>
      </c>
      <c r="AF133">
        <v>2.79</v>
      </c>
      <c r="AG133">
        <v>0</v>
      </c>
      <c r="AH133">
        <v>100</v>
      </c>
      <c r="AI133">
        <v>11.11</v>
      </c>
      <c r="AJ133">
        <v>100</v>
      </c>
      <c r="AK133">
        <v>16.71</v>
      </c>
      <c r="AL133">
        <v>5.57</v>
      </c>
      <c r="AM133">
        <v>75</v>
      </c>
      <c r="AN133">
        <v>11.14</v>
      </c>
      <c r="AO133">
        <v>5.57</v>
      </c>
      <c r="AP133">
        <v>66.67</v>
      </c>
      <c r="AQ133">
        <v>1.39</v>
      </c>
      <c r="AR133">
        <v>0</v>
      </c>
      <c r="AS133">
        <v>100</v>
      </c>
      <c r="AT133">
        <v>12.5</v>
      </c>
      <c r="AU133">
        <v>100</v>
      </c>
      <c r="AV133">
        <v>27.85</v>
      </c>
      <c r="AW133">
        <v>9.75</v>
      </c>
      <c r="AX133">
        <v>74.069999999999993</v>
      </c>
      <c r="AY133">
        <v>13.93</v>
      </c>
      <c r="AZ133">
        <v>8.36</v>
      </c>
      <c r="BA133">
        <v>62.5</v>
      </c>
      <c r="BB133">
        <v>1.39</v>
      </c>
      <c r="BC133">
        <v>0</v>
      </c>
      <c r="BD133">
        <v>100</v>
      </c>
      <c r="BE133">
        <v>10</v>
      </c>
      <c r="BF133">
        <v>100</v>
      </c>
      <c r="BG133">
        <v>29.25</v>
      </c>
      <c r="BH133">
        <v>2.79</v>
      </c>
      <c r="BI133">
        <v>91.3</v>
      </c>
      <c r="BJ133">
        <v>8.36</v>
      </c>
      <c r="BK133">
        <v>2.79</v>
      </c>
      <c r="BL133">
        <v>75</v>
      </c>
      <c r="BM133">
        <v>0</v>
      </c>
      <c r="BN133">
        <v>0</v>
      </c>
      <c r="BO133" t="s">
        <v>85</v>
      </c>
      <c r="BP133">
        <v>0</v>
      </c>
      <c r="BQ133">
        <v>100</v>
      </c>
      <c r="BR133">
        <v>8.33</v>
      </c>
      <c r="BS133">
        <v>100</v>
      </c>
      <c r="BT133">
        <v>1.083</v>
      </c>
    </row>
    <row r="134" spans="1:72" x14ac:dyDescent="0.35">
      <c r="A134">
        <v>22</v>
      </c>
      <c r="B134" t="s">
        <v>59</v>
      </c>
      <c r="C134">
        <v>10</v>
      </c>
      <c r="D134">
        <v>6.56</v>
      </c>
      <c r="E134">
        <v>5</v>
      </c>
      <c r="F134">
        <v>5</v>
      </c>
      <c r="G134">
        <v>0</v>
      </c>
      <c r="H134">
        <v>5</v>
      </c>
      <c r="I134">
        <v>10</v>
      </c>
      <c r="J134">
        <v>0.5</v>
      </c>
      <c r="K134">
        <v>90.03</v>
      </c>
      <c r="L134">
        <v>14.16</v>
      </c>
      <c r="M134">
        <v>86.41</v>
      </c>
      <c r="N134">
        <v>75.86</v>
      </c>
      <c r="O134">
        <v>9.1</v>
      </c>
      <c r="P134">
        <v>89.29</v>
      </c>
      <c r="Q134">
        <v>58.67</v>
      </c>
      <c r="R134">
        <v>9.1</v>
      </c>
      <c r="S134">
        <v>86.57</v>
      </c>
      <c r="T134">
        <v>5.0599999999999996</v>
      </c>
      <c r="U134">
        <v>1.01</v>
      </c>
      <c r="V134">
        <v>83.33</v>
      </c>
      <c r="W134">
        <v>6.16</v>
      </c>
      <c r="X134">
        <v>0.38</v>
      </c>
      <c r="Y134">
        <v>94.21</v>
      </c>
      <c r="Z134">
        <v>41.47</v>
      </c>
      <c r="AA134">
        <v>5.0599999999999996</v>
      </c>
      <c r="AB134">
        <v>89.13</v>
      </c>
      <c r="AC134">
        <v>31.36</v>
      </c>
      <c r="AD134">
        <v>3.03</v>
      </c>
      <c r="AE134">
        <v>91.18</v>
      </c>
      <c r="AF134">
        <v>4.05</v>
      </c>
      <c r="AG134">
        <v>1.01</v>
      </c>
      <c r="AH134">
        <v>80</v>
      </c>
      <c r="AI134">
        <v>12.9</v>
      </c>
      <c r="AJ134">
        <v>66.67</v>
      </c>
      <c r="AK134">
        <v>23.26</v>
      </c>
      <c r="AL134">
        <v>3.03</v>
      </c>
      <c r="AM134">
        <v>88.46</v>
      </c>
      <c r="AN134">
        <v>22.25</v>
      </c>
      <c r="AO134">
        <v>2.02</v>
      </c>
      <c r="AP134">
        <v>91.67</v>
      </c>
      <c r="AQ134">
        <v>2.02</v>
      </c>
      <c r="AR134">
        <v>1.01</v>
      </c>
      <c r="AS134">
        <v>66.67</v>
      </c>
      <c r="AT134">
        <v>9.09</v>
      </c>
      <c r="AU134">
        <v>50</v>
      </c>
      <c r="AV134">
        <v>18.21</v>
      </c>
      <c r="AW134">
        <v>2.02</v>
      </c>
      <c r="AX134">
        <v>90</v>
      </c>
      <c r="AY134">
        <v>9.1</v>
      </c>
      <c r="AZ134">
        <v>1.01</v>
      </c>
      <c r="BA134">
        <v>90</v>
      </c>
      <c r="BB134">
        <v>2.02</v>
      </c>
      <c r="BC134">
        <v>0</v>
      </c>
      <c r="BD134">
        <v>100</v>
      </c>
      <c r="BE134">
        <v>22.22</v>
      </c>
      <c r="BF134">
        <v>100</v>
      </c>
      <c r="BG134">
        <v>47.54</v>
      </c>
      <c r="BH134">
        <v>3.03</v>
      </c>
      <c r="BI134">
        <v>94</v>
      </c>
      <c r="BJ134">
        <v>27.31</v>
      </c>
      <c r="BK134">
        <v>2.02</v>
      </c>
      <c r="BL134">
        <v>93.1</v>
      </c>
      <c r="BM134">
        <v>1.01</v>
      </c>
      <c r="BN134">
        <v>0</v>
      </c>
      <c r="BO134">
        <v>100</v>
      </c>
      <c r="BP134">
        <v>3.7</v>
      </c>
      <c r="BQ134">
        <v>100</v>
      </c>
      <c r="BR134">
        <v>8.6199999999999992</v>
      </c>
      <c r="BS134">
        <v>88.89</v>
      </c>
      <c r="BT134">
        <v>0.97499999999999998</v>
      </c>
    </row>
    <row r="135" spans="1:72" x14ac:dyDescent="0.35">
      <c r="A135">
        <v>23</v>
      </c>
      <c r="B135" t="s">
        <v>60</v>
      </c>
      <c r="C135">
        <v>10</v>
      </c>
      <c r="D135">
        <v>4.42</v>
      </c>
      <c r="E135">
        <v>6</v>
      </c>
      <c r="F135">
        <v>4</v>
      </c>
      <c r="G135">
        <v>0</v>
      </c>
      <c r="H135">
        <v>5</v>
      </c>
      <c r="I135">
        <v>12</v>
      </c>
      <c r="J135">
        <v>0.6</v>
      </c>
      <c r="K135">
        <v>84.32</v>
      </c>
      <c r="L135">
        <v>11.35</v>
      </c>
      <c r="M135">
        <v>88.14</v>
      </c>
      <c r="N135">
        <v>68.11</v>
      </c>
      <c r="O135">
        <v>11.35</v>
      </c>
      <c r="P135">
        <v>85.71</v>
      </c>
      <c r="Q135">
        <v>51.89</v>
      </c>
      <c r="R135">
        <v>9.73</v>
      </c>
      <c r="S135">
        <v>84.21</v>
      </c>
      <c r="T135">
        <v>9.73</v>
      </c>
      <c r="U135">
        <v>0</v>
      </c>
      <c r="V135">
        <v>100</v>
      </c>
      <c r="W135">
        <v>6.74</v>
      </c>
      <c r="X135">
        <v>1.08</v>
      </c>
      <c r="Y135">
        <v>86.14</v>
      </c>
      <c r="Z135">
        <v>55.14</v>
      </c>
      <c r="AA135">
        <v>9.73</v>
      </c>
      <c r="AB135">
        <v>85</v>
      </c>
      <c r="AC135">
        <v>38.92</v>
      </c>
      <c r="AD135">
        <v>9.73</v>
      </c>
      <c r="AE135">
        <v>80</v>
      </c>
      <c r="AF135">
        <v>9.73</v>
      </c>
      <c r="AG135">
        <v>0</v>
      </c>
      <c r="AH135">
        <v>100</v>
      </c>
      <c r="AI135">
        <v>25</v>
      </c>
      <c r="AJ135">
        <v>100</v>
      </c>
      <c r="AK135">
        <v>25.95</v>
      </c>
      <c r="AL135">
        <v>6.49</v>
      </c>
      <c r="AM135">
        <v>80</v>
      </c>
      <c r="AN135">
        <v>21.08</v>
      </c>
      <c r="AO135">
        <v>6.49</v>
      </c>
      <c r="AP135">
        <v>76.47</v>
      </c>
      <c r="AQ135">
        <v>6.49</v>
      </c>
      <c r="AR135">
        <v>0</v>
      </c>
      <c r="AS135">
        <v>100</v>
      </c>
      <c r="AT135">
        <v>30.77</v>
      </c>
      <c r="AU135">
        <v>100</v>
      </c>
      <c r="AV135">
        <v>29.19</v>
      </c>
      <c r="AW135">
        <v>3.24</v>
      </c>
      <c r="AX135">
        <v>90</v>
      </c>
      <c r="AY135">
        <v>17.84</v>
      </c>
      <c r="AZ135">
        <v>3.24</v>
      </c>
      <c r="BA135">
        <v>84.62</v>
      </c>
      <c r="BB135">
        <v>3.24</v>
      </c>
      <c r="BC135">
        <v>0</v>
      </c>
      <c r="BD135">
        <v>100</v>
      </c>
      <c r="BE135">
        <v>18.18</v>
      </c>
      <c r="BF135">
        <v>100</v>
      </c>
      <c r="BG135">
        <v>25.95</v>
      </c>
      <c r="BH135">
        <v>1.62</v>
      </c>
      <c r="BI135">
        <v>94.12</v>
      </c>
      <c r="BJ135">
        <v>12.97</v>
      </c>
      <c r="BK135">
        <v>0</v>
      </c>
      <c r="BL135">
        <v>100</v>
      </c>
      <c r="BM135">
        <v>0</v>
      </c>
      <c r="BN135">
        <v>0</v>
      </c>
      <c r="BO135" t="s">
        <v>85</v>
      </c>
      <c r="BP135">
        <v>0</v>
      </c>
      <c r="BQ135" t="s">
        <v>85</v>
      </c>
      <c r="BR135">
        <v>18.75</v>
      </c>
      <c r="BS135">
        <v>100</v>
      </c>
      <c r="BT135">
        <v>1.1879999999999999</v>
      </c>
    </row>
    <row r="136" spans="1:72" x14ac:dyDescent="0.35">
      <c r="A136">
        <v>24</v>
      </c>
      <c r="B136" t="s">
        <v>61</v>
      </c>
      <c r="C136">
        <v>10</v>
      </c>
      <c r="D136">
        <v>3.21</v>
      </c>
      <c r="E136">
        <v>5</v>
      </c>
      <c r="F136">
        <v>3</v>
      </c>
      <c r="G136">
        <v>2</v>
      </c>
      <c r="H136">
        <v>3</v>
      </c>
      <c r="I136">
        <v>12</v>
      </c>
      <c r="J136">
        <v>0.6</v>
      </c>
      <c r="K136">
        <v>82.51</v>
      </c>
      <c r="L136">
        <v>17.940000000000001</v>
      </c>
      <c r="M136">
        <v>82.14</v>
      </c>
      <c r="N136">
        <v>64.569999999999993</v>
      </c>
      <c r="O136">
        <v>14.35</v>
      </c>
      <c r="P136">
        <v>81.819999999999993</v>
      </c>
      <c r="Q136">
        <v>41.26</v>
      </c>
      <c r="R136">
        <v>12.56</v>
      </c>
      <c r="S136">
        <v>76.67</v>
      </c>
      <c r="T136">
        <v>7.17</v>
      </c>
      <c r="U136">
        <v>0</v>
      </c>
      <c r="V136">
        <v>100</v>
      </c>
      <c r="W136">
        <v>6.84</v>
      </c>
      <c r="X136">
        <v>0.56000000000000005</v>
      </c>
      <c r="Y136">
        <v>92.38</v>
      </c>
      <c r="Z136">
        <v>48.43</v>
      </c>
      <c r="AA136">
        <v>5.38</v>
      </c>
      <c r="AB136">
        <v>90</v>
      </c>
      <c r="AC136">
        <v>25.11</v>
      </c>
      <c r="AD136">
        <v>5.38</v>
      </c>
      <c r="AE136">
        <v>82.35</v>
      </c>
      <c r="AF136">
        <v>5.38</v>
      </c>
      <c r="AG136">
        <v>0</v>
      </c>
      <c r="AH136">
        <v>100</v>
      </c>
      <c r="AI136">
        <v>21.43</v>
      </c>
      <c r="AJ136">
        <v>100</v>
      </c>
      <c r="AK136">
        <v>17.940000000000001</v>
      </c>
      <c r="AL136">
        <v>1.79</v>
      </c>
      <c r="AM136">
        <v>90.91</v>
      </c>
      <c r="AN136">
        <v>16.14</v>
      </c>
      <c r="AO136">
        <v>1.79</v>
      </c>
      <c r="AP136">
        <v>90</v>
      </c>
      <c r="AQ136">
        <v>3.59</v>
      </c>
      <c r="AR136">
        <v>0</v>
      </c>
      <c r="AS136">
        <v>100</v>
      </c>
      <c r="AT136">
        <v>22.22</v>
      </c>
      <c r="AU136">
        <v>100</v>
      </c>
      <c r="AV136">
        <v>30.49</v>
      </c>
      <c r="AW136">
        <v>3.59</v>
      </c>
      <c r="AX136">
        <v>89.47</v>
      </c>
      <c r="AY136">
        <v>8.9700000000000006</v>
      </c>
      <c r="AZ136">
        <v>3.59</v>
      </c>
      <c r="BA136">
        <v>71.430000000000007</v>
      </c>
      <c r="BB136">
        <v>1.79</v>
      </c>
      <c r="BC136">
        <v>0</v>
      </c>
      <c r="BD136">
        <v>100</v>
      </c>
      <c r="BE136">
        <v>20</v>
      </c>
      <c r="BF136">
        <v>100</v>
      </c>
      <c r="BG136">
        <v>32.29</v>
      </c>
      <c r="BH136">
        <v>5.38</v>
      </c>
      <c r="BI136">
        <v>85.71</v>
      </c>
      <c r="BJ136">
        <v>16.14</v>
      </c>
      <c r="BK136">
        <v>1.79</v>
      </c>
      <c r="BL136">
        <v>90</v>
      </c>
      <c r="BM136">
        <v>1.79</v>
      </c>
      <c r="BN136">
        <v>0</v>
      </c>
      <c r="BO136">
        <v>100</v>
      </c>
      <c r="BP136">
        <v>11.11</v>
      </c>
      <c r="BQ136">
        <v>100</v>
      </c>
      <c r="BR136">
        <v>17.39</v>
      </c>
      <c r="BS136">
        <v>100</v>
      </c>
      <c r="BT136">
        <v>1.1739999999999999</v>
      </c>
    </row>
    <row r="137" spans="1:72" x14ac:dyDescent="0.35">
      <c r="A137">
        <v>25</v>
      </c>
      <c r="B137" t="s">
        <v>62</v>
      </c>
      <c r="C137">
        <v>10</v>
      </c>
      <c r="D137">
        <v>4.33</v>
      </c>
      <c r="E137">
        <v>6</v>
      </c>
      <c r="F137">
        <v>2</v>
      </c>
      <c r="G137">
        <v>2</v>
      </c>
      <c r="H137">
        <v>5</v>
      </c>
      <c r="I137">
        <v>14</v>
      </c>
      <c r="J137">
        <v>0.7</v>
      </c>
      <c r="K137">
        <v>84.31</v>
      </c>
      <c r="L137">
        <v>15.18</v>
      </c>
      <c r="M137">
        <v>84.75</v>
      </c>
      <c r="N137">
        <v>65.760000000000005</v>
      </c>
      <c r="O137">
        <v>11.8</v>
      </c>
      <c r="P137">
        <v>84.78</v>
      </c>
      <c r="Q137">
        <v>43.84</v>
      </c>
      <c r="R137">
        <v>8.43</v>
      </c>
      <c r="S137">
        <v>83.87</v>
      </c>
      <c r="T137">
        <v>13.49</v>
      </c>
      <c r="U137">
        <v>0</v>
      </c>
      <c r="V137">
        <v>100</v>
      </c>
      <c r="W137">
        <v>5.35</v>
      </c>
      <c r="X137">
        <v>1.18</v>
      </c>
      <c r="Y137">
        <v>81.99</v>
      </c>
      <c r="Z137">
        <v>38.78</v>
      </c>
      <c r="AA137">
        <v>8.43</v>
      </c>
      <c r="AB137">
        <v>82.14</v>
      </c>
      <c r="AC137">
        <v>26.98</v>
      </c>
      <c r="AD137">
        <v>5.0599999999999996</v>
      </c>
      <c r="AE137">
        <v>84.21</v>
      </c>
      <c r="AF137">
        <v>11.8</v>
      </c>
      <c r="AG137">
        <v>0</v>
      </c>
      <c r="AH137">
        <v>100</v>
      </c>
      <c r="AI137">
        <v>43.75</v>
      </c>
      <c r="AJ137">
        <v>100</v>
      </c>
      <c r="AK137">
        <v>18.55</v>
      </c>
      <c r="AL137">
        <v>8.43</v>
      </c>
      <c r="AM137">
        <v>68.75</v>
      </c>
      <c r="AN137">
        <v>15.18</v>
      </c>
      <c r="AO137">
        <v>5.0599999999999996</v>
      </c>
      <c r="AP137">
        <v>75</v>
      </c>
      <c r="AQ137">
        <v>8.43</v>
      </c>
      <c r="AR137">
        <v>0</v>
      </c>
      <c r="AS137">
        <v>100</v>
      </c>
      <c r="AT137">
        <v>55.56</v>
      </c>
      <c r="AU137">
        <v>100</v>
      </c>
      <c r="AV137">
        <v>20.23</v>
      </c>
      <c r="AW137">
        <v>0</v>
      </c>
      <c r="AX137">
        <v>100</v>
      </c>
      <c r="AY137">
        <v>11.8</v>
      </c>
      <c r="AZ137">
        <v>0</v>
      </c>
      <c r="BA137">
        <v>100</v>
      </c>
      <c r="BB137">
        <v>3.37</v>
      </c>
      <c r="BC137">
        <v>0</v>
      </c>
      <c r="BD137">
        <v>100</v>
      </c>
      <c r="BE137">
        <v>28.57</v>
      </c>
      <c r="BF137" t="s">
        <v>85</v>
      </c>
      <c r="BG137">
        <v>43.84</v>
      </c>
      <c r="BH137">
        <v>3.37</v>
      </c>
      <c r="BI137">
        <v>92.86</v>
      </c>
      <c r="BJ137">
        <v>16.86</v>
      </c>
      <c r="BK137">
        <v>0</v>
      </c>
      <c r="BL137">
        <v>100</v>
      </c>
      <c r="BM137">
        <v>1.69</v>
      </c>
      <c r="BN137">
        <v>0</v>
      </c>
      <c r="BO137">
        <v>100</v>
      </c>
      <c r="BP137">
        <v>10</v>
      </c>
      <c r="BQ137" t="s">
        <v>85</v>
      </c>
      <c r="BR137">
        <v>30.77</v>
      </c>
      <c r="BS137">
        <v>100</v>
      </c>
      <c r="BT137">
        <v>1.3080000000000001</v>
      </c>
    </row>
    <row r="138" spans="1:72" x14ac:dyDescent="0.35">
      <c r="A138">
        <v>26</v>
      </c>
      <c r="B138" t="s">
        <v>63</v>
      </c>
      <c r="C138">
        <v>10</v>
      </c>
      <c r="D138">
        <v>6.52</v>
      </c>
      <c r="E138">
        <v>7</v>
      </c>
      <c r="F138">
        <v>2</v>
      </c>
      <c r="G138">
        <v>1</v>
      </c>
      <c r="H138">
        <v>6</v>
      </c>
      <c r="I138">
        <v>15</v>
      </c>
      <c r="J138">
        <v>0.75</v>
      </c>
      <c r="K138">
        <v>106.39</v>
      </c>
      <c r="L138">
        <v>15.35</v>
      </c>
      <c r="M138">
        <v>87.39</v>
      </c>
      <c r="N138">
        <v>81.84</v>
      </c>
      <c r="O138">
        <v>12.28</v>
      </c>
      <c r="P138">
        <v>86.96</v>
      </c>
      <c r="Q138">
        <v>53.2</v>
      </c>
      <c r="R138">
        <v>12.28</v>
      </c>
      <c r="S138">
        <v>81.25</v>
      </c>
      <c r="T138">
        <v>11.25</v>
      </c>
      <c r="U138">
        <v>1.02</v>
      </c>
      <c r="V138">
        <v>91.67</v>
      </c>
      <c r="W138">
        <v>7.25</v>
      </c>
      <c r="X138">
        <v>0.83</v>
      </c>
      <c r="Y138">
        <v>89.76</v>
      </c>
      <c r="Z138">
        <v>58.31</v>
      </c>
      <c r="AA138">
        <v>10.23</v>
      </c>
      <c r="AB138">
        <v>85.07</v>
      </c>
      <c r="AC138">
        <v>33.76</v>
      </c>
      <c r="AD138">
        <v>8.18</v>
      </c>
      <c r="AE138">
        <v>80.489999999999995</v>
      </c>
      <c r="AF138">
        <v>9.2100000000000009</v>
      </c>
      <c r="AG138">
        <v>1.02</v>
      </c>
      <c r="AH138">
        <v>90</v>
      </c>
      <c r="AI138">
        <v>27.27</v>
      </c>
      <c r="AJ138">
        <v>87.5</v>
      </c>
      <c r="AK138">
        <v>17.39</v>
      </c>
      <c r="AL138">
        <v>4.09</v>
      </c>
      <c r="AM138">
        <v>80.95</v>
      </c>
      <c r="AN138">
        <v>12.28</v>
      </c>
      <c r="AO138">
        <v>4.09</v>
      </c>
      <c r="AP138">
        <v>75</v>
      </c>
      <c r="AQ138">
        <v>4.09</v>
      </c>
      <c r="AR138">
        <v>0</v>
      </c>
      <c r="AS138">
        <v>100</v>
      </c>
      <c r="AT138">
        <v>33.33</v>
      </c>
      <c r="AU138">
        <v>100</v>
      </c>
      <c r="AV138">
        <v>40.92</v>
      </c>
      <c r="AW138">
        <v>6.14</v>
      </c>
      <c r="AX138">
        <v>86.96</v>
      </c>
      <c r="AY138">
        <v>21.48</v>
      </c>
      <c r="AZ138">
        <v>4.09</v>
      </c>
      <c r="BA138">
        <v>84</v>
      </c>
      <c r="BB138">
        <v>5.12</v>
      </c>
      <c r="BC138">
        <v>1.02</v>
      </c>
      <c r="BD138">
        <v>83.33</v>
      </c>
      <c r="BE138">
        <v>23.81</v>
      </c>
      <c r="BF138">
        <v>75</v>
      </c>
      <c r="BG138">
        <v>45.01</v>
      </c>
      <c r="BH138">
        <v>0</v>
      </c>
      <c r="BI138">
        <v>100</v>
      </c>
      <c r="BJ138">
        <v>19.440000000000001</v>
      </c>
      <c r="BK138">
        <v>0</v>
      </c>
      <c r="BL138">
        <v>100</v>
      </c>
      <c r="BM138">
        <v>2.0499999999999998</v>
      </c>
      <c r="BN138">
        <v>0</v>
      </c>
      <c r="BO138">
        <v>100</v>
      </c>
      <c r="BP138">
        <v>10.53</v>
      </c>
      <c r="BQ138" t="s">
        <v>85</v>
      </c>
      <c r="BR138">
        <v>21.15</v>
      </c>
      <c r="BS138">
        <v>91.67</v>
      </c>
      <c r="BT138">
        <v>1.1279999999999999</v>
      </c>
    </row>
    <row r="139" spans="1:72" x14ac:dyDescent="0.35">
      <c r="A139">
        <v>27</v>
      </c>
      <c r="B139" t="s">
        <v>64</v>
      </c>
      <c r="C139">
        <v>10</v>
      </c>
      <c r="D139">
        <v>4.3899999999999997</v>
      </c>
      <c r="E139">
        <v>6</v>
      </c>
      <c r="F139">
        <v>3</v>
      </c>
      <c r="G139">
        <v>1</v>
      </c>
      <c r="H139">
        <v>6</v>
      </c>
      <c r="I139">
        <v>13</v>
      </c>
      <c r="J139">
        <v>0.65</v>
      </c>
      <c r="K139">
        <v>113.27</v>
      </c>
      <c r="L139">
        <v>19.7</v>
      </c>
      <c r="M139">
        <v>85.19</v>
      </c>
      <c r="N139">
        <v>95.21</v>
      </c>
      <c r="O139">
        <v>16.420000000000002</v>
      </c>
      <c r="P139">
        <v>85.29</v>
      </c>
      <c r="Q139">
        <v>73.87</v>
      </c>
      <c r="R139">
        <v>14.77</v>
      </c>
      <c r="S139">
        <v>83.33</v>
      </c>
      <c r="T139">
        <v>16.420000000000002</v>
      </c>
      <c r="U139">
        <v>0</v>
      </c>
      <c r="V139">
        <v>100</v>
      </c>
      <c r="W139">
        <v>9.2799999999999994</v>
      </c>
      <c r="X139">
        <v>0.71</v>
      </c>
      <c r="Y139">
        <v>92.88</v>
      </c>
      <c r="Z139">
        <v>73.87</v>
      </c>
      <c r="AA139">
        <v>8.2100000000000009</v>
      </c>
      <c r="AB139">
        <v>90</v>
      </c>
      <c r="AC139">
        <v>49.25</v>
      </c>
      <c r="AD139">
        <v>6.57</v>
      </c>
      <c r="AE139">
        <v>88.24</v>
      </c>
      <c r="AF139">
        <v>11.49</v>
      </c>
      <c r="AG139">
        <v>0</v>
      </c>
      <c r="AH139">
        <v>100</v>
      </c>
      <c r="AI139">
        <v>23.33</v>
      </c>
      <c r="AJ139">
        <v>100</v>
      </c>
      <c r="AK139">
        <v>36.11</v>
      </c>
      <c r="AL139">
        <v>4.92</v>
      </c>
      <c r="AM139">
        <v>88</v>
      </c>
      <c r="AN139">
        <v>26.27</v>
      </c>
      <c r="AO139">
        <v>4.92</v>
      </c>
      <c r="AP139">
        <v>84.21</v>
      </c>
      <c r="AQ139">
        <v>8.2100000000000009</v>
      </c>
      <c r="AR139">
        <v>0</v>
      </c>
      <c r="AS139">
        <v>100</v>
      </c>
      <c r="AT139">
        <v>31.25</v>
      </c>
      <c r="AU139">
        <v>100</v>
      </c>
      <c r="AV139">
        <v>37.76</v>
      </c>
      <c r="AW139">
        <v>3.28</v>
      </c>
      <c r="AX139">
        <v>92</v>
      </c>
      <c r="AY139">
        <v>22.98</v>
      </c>
      <c r="AZ139">
        <v>1.64</v>
      </c>
      <c r="BA139">
        <v>93.33</v>
      </c>
      <c r="BB139">
        <v>3.28</v>
      </c>
      <c r="BC139">
        <v>0</v>
      </c>
      <c r="BD139">
        <v>100</v>
      </c>
      <c r="BE139">
        <v>14.29</v>
      </c>
      <c r="BF139">
        <v>100</v>
      </c>
      <c r="BG139">
        <v>39.4</v>
      </c>
      <c r="BH139">
        <v>4.92</v>
      </c>
      <c r="BI139">
        <v>88.89</v>
      </c>
      <c r="BJ139">
        <v>24.62</v>
      </c>
      <c r="BK139">
        <v>1.64</v>
      </c>
      <c r="BL139">
        <v>93.75</v>
      </c>
      <c r="BM139">
        <v>4.92</v>
      </c>
      <c r="BN139">
        <v>0</v>
      </c>
      <c r="BO139">
        <v>100</v>
      </c>
      <c r="BP139">
        <v>20</v>
      </c>
      <c r="BQ139">
        <v>100</v>
      </c>
      <c r="BR139">
        <v>22.22</v>
      </c>
      <c r="BS139">
        <v>100</v>
      </c>
      <c r="BT139">
        <v>1.222</v>
      </c>
    </row>
    <row r="140" spans="1:72" x14ac:dyDescent="0.35">
      <c r="A140">
        <v>28</v>
      </c>
      <c r="B140" t="s">
        <v>65</v>
      </c>
      <c r="C140">
        <v>10</v>
      </c>
      <c r="D140">
        <v>4.57</v>
      </c>
      <c r="E140">
        <v>5</v>
      </c>
      <c r="F140">
        <v>4</v>
      </c>
      <c r="G140">
        <v>1</v>
      </c>
      <c r="H140">
        <v>4</v>
      </c>
      <c r="I140">
        <v>11</v>
      </c>
      <c r="J140">
        <v>0.55000000000000004</v>
      </c>
      <c r="K140">
        <v>82.03</v>
      </c>
      <c r="L140">
        <v>13.67</v>
      </c>
      <c r="M140">
        <v>85.71</v>
      </c>
      <c r="N140">
        <v>56.2</v>
      </c>
      <c r="O140">
        <v>13.67</v>
      </c>
      <c r="P140">
        <v>80.430000000000007</v>
      </c>
      <c r="Q140">
        <v>41.01</v>
      </c>
      <c r="R140">
        <v>10.63</v>
      </c>
      <c r="S140">
        <v>79.41</v>
      </c>
      <c r="T140">
        <v>9.11</v>
      </c>
      <c r="U140">
        <v>0</v>
      </c>
      <c r="V140">
        <v>100</v>
      </c>
      <c r="W140">
        <v>3.71</v>
      </c>
      <c r="X140">
        <v>0.77</v>
      </c>
      <c r="Y140">
        <v>82.85</v>
      </c>
      <c r="Z140">
        <v>44.05</v>
      </c>
      <c r="AA140">
        <v>10.63</v>
      </c>
      <c r="AB140">
        <v>80.56</v>
      </c>
      <c r="AC140">
        <v>22.78</v>
      </c>
      <c r="AD140">
        <v>9.11</v>
      </c>
      <c r="AE140">
        <v>71.430000000000007</v>
      </c>
      <c r="AF140">
        <v>6.08</v>
      </c>
      <c r="AG140">
        <v>0</v>
      </c>
      <c r="AH140">
        <v>100</v>
      </c>
      <c r="AI140">
        <v>26.67</v>
      </c>
      <c r="AJ140">
        <v>100</v>
      </c>
      <c r="AK140">
        <v>7.59</v>
      </c>
      <c r="AL140">
        <v>0</v>
      </c>
      <c r="AM140">
        <v>100</v>
      </c>
      <c r="AN140">
        <v>4.5599999999999996</v>
      </c>
      <c r="AO140">
        <v>0</v>
      </c>
      <c r="AP140">
        <v>100</v>
      </c>
      <c r="AQ140">
        <v>3.04</v>
      </c>
      <c r="AR140">
        <v>0</v>
      </c>
      <c r="AS140">
        <v>100</v>
      </c>
      <c r="AT140">
        <v>66.67</v>
      </c>
      <c r="AU140" t="s">
        <v>85</v>
      </c>
      <c r="AV140">
        <v>36.46</v>
      </c>
      <c r="AW140">
        <v>10.63</v>
      </c>
      <c r="AX140">
        <v>77.42</v>
      </c>
      <c r="AY140">
        <v>18.23</v>
      </c>
      <c r="AZ140">
        <v>9.11</v>
      </c>
      <c r="BA140">
        <v>66.67</v>
      </c>
      <c r="BB140">
        <v>3.04</v>
      </c>
      <c r="BC140">
        <v>0</v>
      </c>
      <c r="BD140">
        <v>100</v>
      </c>
      <c r="BE140">
        <v>16.670000000000002</v>
      </c>
      <c r="BF140">
        <v>100</v>
      </c>
      <c r="BG140">
        <v>37.97</v>
      </c>
      <c r="BH140">
        <v>1.52</v>
      </c>
      <c r="BI140">
        <v>96.15</v>
      </c>
      <c r="BJ140">
        <v>18.23</v>
      </c>
      <c r="BK140">
        <v>1.52</v>
      </c>
      <c r="BL140">
        <v>92.31</v>
      </c>
      <c r="BM140">
        <v>3.04</v>
      </c>
      <c r="BN140">
        <v>0</v>
      </c>
      <c r="BO140">
        <v>100</v>
      </c>
      <c r="BP140">
        <v>16.670000000000002</v>
      </c>
      <c r="BQ140">
        <v>100</v>
      </c>
      <c r="BR140">
        <v>22.22</v>
      </c>
      <c r="BS140">
        <v>100</v>
      </c>
      <c r="BT140">
        <v>1.222</v>
      </c>
    </row>
    <row r="141" spans="1:72" x14ac:dyDescent="0.35">
      <c r="A141">
        <v>29</v>
      </c>
      <c r="B141" t="s">
        <v>68</v>
      </c>
      <c r="C141">
        <v>10</v>
      </c>
      <c r="D141">
        <v>5.09</v>
      </c>
      <c r="E141">
        <v>7</v>
      </c>
      <c r="F141">
        <v>3</v>
      </c>
      <c r="G141">
        <v>0</v>
      </c>
      <c r="H141">
        <v>7</v>
      </c>
      <c r="I141">
        <v>14</v>
      </c>
      <c r="J141">
        <v>0.7</v>
      </c>
      <c r="K141">
        <v>86.33</v>
      </c>
      <c r="L141">
        <v>15.17</v>
      </c>
      <c r="M141">
        <v>85.06</v>
      </c>
      <c r="N141">
        <v>61.83</v>
      </c>
      <c r="O141">
        <v>11.67</v>
      </c>
      <c r="P141">
        <v>84.13</v>
      </c>
      <c r="Q141">
        <v>45.5</v>
      </c>
      <c r="R141">
        <v>11.67</v>
      </c>
      <c r="S141">
        <v>79.59</v>
      </c>
      <c r="T141">
        <v>2.33</v>
      </c>
      <c r="U141">
        <v>0</v>
      </c>
      <c r="V141">
        <v>100</v>
      </c>
      <c r="W141">
        <v>4.24</v>
      </c>
      <c r="X141">
        <v>0.74</v>
      </c>
      <c r="Y141">
        <v>85.12</v>
      </c>
      <c r="Z141">
        <v>38.5</v>
      </c>
      <c r="AA141">
        <v>7</v>
      </c>
      <c r="AB141">
        <v>84.62</v>
      </c>
      <c r="AC141">
        <v>19.829999999999998</v>
      </c>
      <c r="AD141">
        <v>4.67</v>
      </c>
      <c r="AE141">
        <v>80.95</v>
      </c>
      <c r="AF141">
        <v>2.33</v>
      </c>
      <c r="AG141">
        <v>0</v>
      </c>
      <c r="AH141">
        <v>100</v>
      </c>
      <c r="AI141">
        <v>11.76</v>
      </c>
      <c r="AJ141">
        <v>100</v>
      </c>
      <c r="AK141">
        <v>5.83</v>
      </c>
      <c r="AL141">
        <v>2.33</v>
      </c>
      <c r="AM141">
        <v>71.430000000000007</v>
      </c>
      <c r="AN141">
        <v>3.5</v>
      </c>
      <c r="AO141">
        <v>2.33</v>
      </c>
      <c r="AP141">
        <v>60</v>
      </c>
      <c r="AQ141">
        <v>1.17</v>
      </c>
      <c r="AR141">
        <v>0</v>
      </c>
      <c r="AS141">
        <v>100</v>
      </c>
      <c r="AT141">
        <v>33.33</v>
      </c>
      <c r="AU141">
        <v>100</v>
      </c>
      <c r="AV141">
        <v>32.659999999999997</v>
      </c>
      <c r="AW141">
        <v>4.67</v>
      </c>
      <c r="AX141">
        <v>87.5</v>
      </c>
      <c r="AY141">
        <v>16.329999999999998</v>
      </c>
      <c r="AZ141">
        <v>2.33</v>
      </c>
      <c r="BA141">
        <v>87.5</v>
      </c>
      <c r="BB141">
        <v>1.17</v>
      </c>
      <c r="BC141">
        <v>0</v>
      </c>
      <c r="BD141">
        <v>100</v>
      </c>
      <c r="BE141">
        <v>7.14</v>
      </c>
      <c r="BF141">
        <v>100</v>
      </c>
      <c r="BG141">
        <v>43.16</v>
      </c>
      <c r="BH141">
        <v>3.5</v>
      </c>
      <c r="BI141">
        <v>92.5</v>
      </c>
      <c r="BJ141">
        <v>25.66</v>
      </c>
      <c r="BK141">
        <v>2.33</v>
      </c>
      <c r="BL141">
        <v>91.67</v>
      </c>
      <c r="BM141">
        <v>0</v>
      </c>
      <c r="BN141">
        <v>0</v>
      </c>
      <c r="BO141" t="s">
        <v>85</v>
      </c>
      <c r="BP141">
        <v>0</v>
      </c>
      <c r="BQ141">
        <v>100</v>
      </c>
      <c r="BR141">
        <v>5.13</v>
      </c>
      <c r="BS141">
        <v>100</v>
      </c>
      <c r="BT141">
        <v>1.0509999999999999</v>
      </c>
    </row>
    <row r="142" spans="1:72" x14ac:dyDescent="0.35">
      <c r="A142">
        <v>30</v>
      </c>
      <c r="B142" t="s">
        <v>66</v>
      </c>
      <c r="C142">
        <v>10</v>
      </c>
      <c r="D142">
        <v>4.5199999999999996</v>
      </c>
      <c r="E142">
        <v>6</v>
      </c>
      <c r="F142">
        <v>3</v>
      </c>
      <c r="G142">
        <v>1</v>
      </c>
      <c r="H142">
        <v>6</v>
      </c>
      <c r="I142">
        <v>13</v>
      </c>
      <c r="J142">
        <v>0.65</v>
      </c>
      <c r="K142">
        <v>107.02</v>
      </c>
      <c r="L142">
        <v>13.96</v>
      </c>
      <c r="M142">
        <v>88.46</v>
      </c>
      <c r="N142">
        <v>85.31</v>
      </c>
      <c r="O142">
        <v>12.41</v>
      </c>
      <c r="P142">
        <v>87.3</v>
      </c>
      <c r="Q142">
        <v>62.04</v>
      </c>
      <c r="R142">
        <v>12.41</v>
      </c>
      <c r="S142">
        <v>83.33</v>
      </c>
      <c r="T142">
        <v>12.41</v>
      </c>
      <c r="U142">
        <v>1.55</v>
      </c>
      <c r="V142">
        <v>88.89</v>
      </c>
      <c r="W142">
        <v>7.25</v>
      </c>
      <c r="X142">
        <v>1.08</v>
      </c>
      <c r="Y142">
        <v>87.04</v>
      </c>
      <c r="Z142">
        <v>54.29</v>
      </c>
      <c r="AA142">
        <v>10.86</v>
      </c>
      <c r="AB142">
        <v>83.33</v>
      </c>
      <c r="AC142">
        <v>35.67</v>
      </c>
      <c r="AD142">
        <v>9.31</v>
      </c>
      <c r="AE142">
        <v>79.31</v>
      </c>
      <c r="AF142">
        <v>10.86</v>
      </c>
      <c r="AG142">
        <v>1.55</v>
      </c>
      <c r="AH142">
        <v>87.5</v>
      </c>
      <c r="AI142">
        <v>30.43</v>
      </c>
      <c r="AJ142">
        <v>83.33</v>
      </c>
      <c r="AK142">
        <v>20.16</v>
      </c>
      <c r="AL142">
        <v>4.6500000000000004</v>
      </c>
      <c r="AM142">
        <v>81.25</v>
      </c>
      <c r="AN142">
        <v>18.61</v>
      </c>
      <c r="AO142">
        <v>4.6500000000000004</v>
      </c>
      <c r="AP142">
        <v>80</v>
      </c>
      <c r="AQ142">
        <v>6.2</v>
      </c>
      <c r="AR142">
        <v>0</v>
      </c>
      <c r="AS142">
        <v>100</v>
      </c>
      <c r="AT142">
        <v>33.33</v>
      </c>
      <c r="AU142">
        <v>100</v>
      </c>
      <c r="AV142">
        <v>34.119999999999997</v>
      </c>
      <c r="AW142">
        <v>6.2</v>
      </c>
      <c r="AX142">
        <v>84.62</v>
      </c>
      <c r="AY142">
        <v>17.059999999999999</v>
      </c>
      <c r="AZ142">
        <v>4.6500000000000004</v>
      </c>
      <c r="BA142">
        <v>78.569999999999993</v>
      </c>
      <c r="BB142">
        <v>4.6500000000000004</v>
      </c>
      <c r="BC142">
        <v>1.55</v>
      </c>
      <c r="BD142">
        <v>75</v>
      </c>
      <c r="BE142">
        <v>27.27</v>
      </c>
      <c r="BF142">
        <v>66.67</v>
      </c>
      <c r="BG142">
        <v>49.63</v>
      </c>
      <c r="BH142">
        <v>0</v>
      </c>
      <c r="BI142">
        <v>100</v>
      </c>
      <c r="BJ142">
        <v>24.82</v>
      </c>
      <c r="BK142">
        <v>0</v>
      </c>
      <c r="BL142">
        <v>100</v>
      </c>
      <c r="BM142">
        <v>1.55</v>
      </c>
      <c r="BN142">
        <v>0</v>
      </c>
      <c r="BO142">
        <v>100</v>
      </c>
      <c r="BP142">
        <v>6.25</v>
      </c>
      <c r="BQ142" t="s">
        <v>85</v>
      </c>
      <c r="BR142">
        <v>20</v>
      </c>
      <c r="BS142">
        <v>87.5</v>
      </c>
      <c r="BT142">
        <v>1.075</v>
      </c>
    </row>
    <row r="143" spans="1:72" x14ac:dyDescent="0.35">
      <c r="A143">
        <v>31</v>
      </c>
      <c r="B143" t="s">
        <v>67</v>
      </c>
      <c r="C143">
        <v>10</v>
      </c>
      <c r="D143">
        <v>5.32</v>
      </c>
      <c r="E143">
        <v>8</v>
      </c>
      <c r="F143">
        <v>2</v>
      </c>
      <c r="G143">
        <v>0</v>
      </c>
      <c r="H143">
        <v>7</v>
      </c>
      <c r="I143">
        <v>16</v>
      </c>
      <c r="J143">
        <v>0.8</v>
      </c>
      <c r="K143">
        <v>104.6</v>
      </c>
      <c r="L143">
        <v>7.94</v>
      </c>
      <c r="M143">
        <v>92.94</v>
      </c>
      <c r="N143">
        <v>82.09</v>
      </c>
      <c r="O143">
        <v>7.94</v>
      </c>
      <c r="P143">
        <v>91.18</v>
      </c>
      <c r="Q143">
        <v>62.23</v>
      </c>
      <c r="R143">
        <v>7.94</v>
      </c>
      <c r="S143">
        <v>88.68</v>
      </c>
      <c r="T143">
        <v>2.65</v>
      </c>
      <c r="U143">
        <v>0</v>
      </c>
      <c r="V143">
        <v>100</v>
      </c>
      <c r="W143">
        <v>6.63</v>
      </c>
      <c r="X143">
        <v>0.37</v>
      </c>
      <c r="Y143">
        <v>94.77</v>
      </c>
      <c r="Z143">
        <v>48.99</v>
      </c>
      <c r="AA143">
        <v>3.97</v>
      </c>
      <c r="AB143">
        <v>92.5</v>
      </c>
      <c r="AC143">
        <v>29.13</v>
      </c>
      <c r="AD143">
        <v>3.97</v>
      </c>
      <c r="AE143">
        <v>88</v>
      </c>
      <c r="AF143">
        <v>0</v>
      </c>
      <c r="AG143">
        <v>0</v>
      </c>
      <c r="AH143" t="s">
        <v>85</v>
      </c>
      <c r="AI143">
        <v>0</v>
      </c>
      <c r="AJ143">
        <v>100</v>
      </c>
      <c r="AK143">
        <v>15.89</v>
      </c>
      <c r="AL143">
        <v>2.65</v>
      </c>
      <c r="AM143">
        <v>85.71</v>
      </c>
      <c r="AN143">
        <v>13.24</v>
      </c>
      <c r="AO143">
        <v>2.65</v>
      </c>
      <c r="AP143">
        <v>83.33</v>
      </c>
      <c r="AQ143">
        <v>0</v>
      </c>
      <c r="AR143">
        <v>0</v>
      </c>
      <c r="AS143" t="s">
        <v>85</v>
      </c>
      <c r="AT143">
        <v>0</v>
      </c>
      <c r="AU143">
        <v>100</v>
      </c>
      <c r="AV143">
        <v>33.1</v>
      </c>
      <c r="AW143">
        <v>1.32</v>
      </c>
      <c r="AX143">
        <v>96.15</v>
      </c>
      <c r="AY143">
        <v>15.89</v>
      </c>
      <c r="AZ143">
        <v>1.32</v>
      </c>
      <c r="BA143">
        <v>92.31</v>
      </c>
      <c r="BB143">
        <v>0</v>
      </c>
      <c r="BC143">
        <v>0</v>
      </c>
      <c r="BD143" t="s">
        <v>85</v>
      </c>
      <c r="BE143">
        <v>0</v>
      </c>
      <c r="BF143">
        <v>100</v>
      </c>
      <c r="BG143">
        <v>52.96</v>
      </c>
      <c r="BH143">
        <v>0</v>
      </c>
      <c r="BI143">
        <v>100</v>
      </c>
      <c r="BJ143">
        <v>33.1</v>
      </c>
      <c r="BK143">
        <v>0</v>
      </c>
      <c r="BL143">
        <v>100</v>
      </c>
      <c r="BM143">
        <v>2.65</v>
      </c>
      <c r="BN143">
        <v>0</v>
      </c>
      <c r="BO143">
        <v>100</v>
      </c>
      <c r="BP143">
        <v>8</v>
      </c>
      <c r="BQ143" t="s">
        <v>85</v>
      </c>
      <c r="BR143">
        <v>4.26</v>
      </c>
      <c r="BS143">
        <v>100</v>
      </c>
      <c r="BT143">
        <v>1.0429999999999999</v>
      </c>
    </row>
    <row r="147" spans="1:72" ht="36" x14ac:dyDescent="0.8">
      <c r="A147" s="10" t="s">
        <v>122</v>
      </c>
    </row>
    <row r="148" spans="1:72" x14ac:dyDescent="0.35">
      <c r="A148" t="s">
        <v>79</v>
      </c>
      <c r="B148" t="s">
        <v>0</v>
      </c>
      <c r="C148" t="s">
        <v>1</v>
      </c>
      <c r="D148" t="s">
        <v>90</v>
      </c>
      <c r="E148" t="s">
        <v>2</v>
      </c>
      <c r="F148" t="s">
        <v>3</v>
      </c>
      <c r="G148" t="s">
        <v>4</v>
      </c>
      <c r="H148" t="s">
        <v>5</v>
      </c>
      <c r="I148" t="s">
        <v>6</v>
      </c>
      <c r="J148" t="s">
        <v>7</v>
      </c>
      <c r="K148" t="s">
        <v>91</v>
      </c>
      <c r="L148" t="s">
        <v>92</v>
      </c>
      <c r="M148" t="s">
        <v>8</v>
      </c>
      <c r="N148" t="s">
        <v>93</v>
      </c>
      <c r="O148" t="s">
        <v>94</v>
      </c>
      <c r="P148" t="s">
        <v>9</v>
      </c>
      <c r="Q148" t="s">
        <v>95</v>
      </c>
      <c r="R148" t="s">
        <v>71</v>
      </c>
      <c r="S148" t="s">
        <v>10</v>
      </c>
      <c r="T148" t="s">
        <v>96</v>
      </c>
      <c r="U148" t="s">
        <v>97</v>
      </c>
      <c r="V148" t="s">
        <v>11</v>
      </c>
      <c r="W148" t="s">
        <v>98</v>
      </c>
      <c r="X148" t="s">
        <v>99</v>
      </c>
      <c r="Y148" t="s">
        <v>14</v>
      </c>
      <c r="Z148" t="s">
        <v>100</v>
      </c>
      <c r="AA148" t="s">
        <v>101</v>
      </c>
      <c r="AB148" t="s">
        <v>15</v>
      </c>
      <c r="AC148" t="s">
        <v>102</v>
      </c>
      <c r="AD148" t="s">
        <v>103</v>
      </c>
      <c r="AE148" t="s">
        <v>16</v>
      </c>
      <c r="AF148" t="s">
        <v>104</v>
      </c>
      <c r="AG148" t="s">
        <v>105</v>
      </c>
      <c r="AH148" t="s">
        <v>17</v>
      </c>
      <c r="AI148" t="s">
        <v>18</v>
      </c>
      <c r="AJ148" t="s">
        <v>19</v>
      </c>
      <c r="AK148" t="s">
        <v>106</v>
      </c>
      <c r="AL148" t="s">
        <v>107</v>
      </c>
      <c r="AM148" t="s">
        <v>20</v>
      </c>
      <c r="AN148" t="s">
        <v>108</v>
      </c>
      <c r="AO148" t="s">
        <v>72</v>
      </c>
      <c r="AP148" t="s">
        <v>21</v>
      </c>
      <c r="AQ148" t="s">
        <v>109</v>
      </c>
      <c r="AR148" t="s">
        <v>73</v>
      </c>
      <c r="AS148" t="s">
        <v>22</v>
      </c>
      <c r="AT148" t="s">
        <v>23</v>
      </c>
      <c r="AU148" t="s">
        <v>24</v>
      </c>
      <c r="AV148" t="s">
        <v>110</v>
      </c>
      <c r="AW148" t="s">
        <v>111</v>
      </c>
      <c r="AX148" t="s">
        <v>25</v>
      </c>
      <c r="AY148" t="s">
        <v>112</v>
      </c>
      <c r="AZ148" t="s">
        <v>77</v>
      </c>
      <c r="BA148" t="s">
        <v>26</v>
      </c>
      <c r="BB148" t="s">
        <v>113</v>
      </c>
      <c r="BC148" t="s">
        <v>74</v>
      </c>
      <c r="BD148" t="s">
        <v>27</v>
      </c>
      <c r="BE148" t="s">
        <v>28</v>
      </c>
      <c r="BF148" t="s">
        <v>29</v>
      </c>
      <c r="BG148" t="s">
        <v>114</v>
      </c>
      <c r="BH148" t="s">
        <v>115</v>
      </c>
      <c r="BI148" t="s">
        <v>30</v>
      </c>
      <c r="BJ148" t="s">
        <v>116</v>
      </c>
      <c r="BK148" t="s">
        <v>75</v>
      </c>
      <c r="BL148" t="s">
        <v>31</v>
      </c>
      <c r="BM148" t="s">
        <v>117</v>
      </c>
      <c r="BN148" t="s">
        <v>76</v>
      </c>
      <c r="BO148" t="s">
        <v>32</v>
      </c>
      <c r="BP148" t="s">
        <v>33</v>
      </c>
      <c r="BQ148" t="s">
        <v>34</v>
      </c>
      <c r="BR148" t="s">
        <v>35</v>
      </c>
      <c r="BS148" t="s">
        <v>36</v>
      </c>
      <c r="BT148" t="s">
        <v>37</v>
      </c>
    </row>
    <row r="149" spans="1:72" x14ac:dyDescent="0.35">
      <c r="A149">
        <v>1</v>
      </c>
      <c r="B149" t="s">
        <v>38</v>
      </c>
      <c r="C149">
        <v>10</v>
      </c>
      <c r="D149">
        <v>5.45</v>
      </c>
      <c r="E149">
        <v>2</v>
      </c>
      <c r="F149">
        <v>7</v>
      </c>
      <c r="G149">
        <v>1</v>
      </c>
      <c r="H149">
        <v>2</v>
      </c>
      <c r="I149">
        <v>5</v>
      </c>
      <c r="J149">
        <v>0.25</v>
      </c>
      <c r="K149">
        <v>17.68</v>
      </c>
      <c r="L149">
        <v>77.03</v>
      </c>
      <c r="M149">
        <v>18.670000000000002</v>
      </c>
      <c r="N149">
        <v>16.420000000000002</v>
      </c>
      <c r="O149">
        <v>61.87</v>
      </c>
      <c r="P149">
        <v>20.97</v>
      </c>
      <c r="Q149">
        <v>15.15</v>
      </c>
      <c r="R149">
        <v>41.67</v>
      </c>
      <c r="S149">
        <v>26.67</v>
      </c>
      <c r="T149">
        <v>1.26</v>
      </c>
      <c r="U149">
        <v>15.15</v>
      </c>
      <c r="V149">
        <v>7.69</v>
      </c>
      <c r="W149">
        <v>0.94</v>
      </c>
      <c r="X149">
        <v>6.17</v>
      </c>
      <c r="Y149">
        <v>13.25</v>
      </c>
      <c r="Z149">
        <v>6.31</v>
      </c>
      <c r="AA149">
        <v>45.46</v>
      </c>
      <c r="AB149">
        <v>12.2</v>
      </c>
      <c r="AC149">
        <v>6.31</v>
      </c>
      <c r="AD149">
        <v>26.52</v>
      </c>
      <c r="AE149">
        <v>19.23</v>
      </c>
      <c r="AF149">
        <v>1.26</v>
      </c>
      <c r="AG149">
        <v>11.36</v>
      </c>
      <c r="AH149">
        <v>10</v>
      </c>
      <c r="AI149">
        <v>20</v>
      </c>
      <c r="AJ149">
        <v>57.14</v>
      </c>
      <c r="AK149">
        <v>5.05</v>
      </c>
      <c r="AL149">
        <v>21.47</v>
      </c>
      <c r="AM149">
        <v>19.05</v>
      </c>
      <c r="AN149">
        <v>5.05</v>
      </c>
      <c r="AO149">
        <v>16.420000000000002</v>
      </c>
      <c r="AP149">
        <v>23.53</v>
      </c>
      <c r="AQ149">
        <v>1.26</v>
      </c>
      <c r="AR149">
        <v>8.84</v>
      </c>
      <c r="AS149">
        <v>12.5</v>
      </c>
      <c r="AT149">
        <v>25</v>
      </c>
      <c r="AU149">
        <v>46.15</v>
      </c>
      <c r="AV149">
        <v>1.26</v>
      </c>
      <c r="AW149">
        <v>23.99</v>
      </c>
      <c r="AX149">
        <v>5</v>
      </c>
      <c r="AY149">
        <v>1.26</v>
      </c>
      <c r="AZ149">
        <v>10.1</v>
      </c>
      <c r="BA149">
        <v>11.11</v>
      </c>
      <c r="BB149">
        <v>0</v>
      </c>
      <c r="BC149">
        <v>2.5299999999999998</v>
      </c>
      <c r="BD149">
        <v>0</v>
      </c>
      <c r="BE149">
        <v>0</v>
      </c>
      <c r="BF149">
        <v>75</v>
      </c>
      <c r="BG149">
        <v>2.5299999999999998</v>
      </c>
      <c r="BH149">
        <v>31.57</v>
      </c>
      <c r="BI149">
        <v>7.41</v>
      </c>
      <c r="BJ149">
        <v>1.26</v>
      </c>
      <c r="BK149">
        <v>15.15</v>
      </c>
      <c r="BL149">
        <v>7.69</v>
      </c>
      <c r="BM149">
        <v>0</v>
      </c>
      <c r="BN149">
        <v>3.79</v>
      </c>
      <c r="BO149">
        <v>0</v>
      </c>
      <c r="BP149">
        <v>0</v>
      </c>
      <c r="BQ149">
        <v>75</v>
      </c>
      <c r="BR149">
        <v>8.33</v>
      </c>
      <c r="BS149">
        <v>63.64</v>
      </c>
      <c r="BT149">
        <v>0.72</v>
      </c>
    </row>
    <row r="150" spans="1:72" x14ac:dyDescent="0.35">
      <c r="A150">
        <v>2</v>
      </c>
      <c r="B150" t="s">
        <v>39</v>
      </c>
      <c r="C150">
        <v>10</v>
      </c>
      <c r="D150">
        <v>5.26</v>
      </c>
      <c r="E150">
        <v>4</v>
      </c>
      <c r="F150">
        <v>5</v>
      </c>
      <c r="G150">
        <v>1</v>
      </c>
      <c r="H150">
        <v>2</v>
      </c>
      <c r="I150">
        <v>9</v>
      </c>
      <c r="J150">
        <v>0.45</v>
      </c>
      <c r="K150">
        <v>8.85</v>
      </c>
      <c r="L150">
        <v>111.67</v>
      </c>
      <c r="M150">
        <v>7.34</v>
      </c>
      <c r="N150">
        <v>7.74</v>
      </c>
      <c r="O150">
        <v>87.35</v>
      </c>
      <c r="P150">
        <v>8.14</v>
      </c>
      <c r="Q150">
        <v>5.53</v>
      </c>
      <c r="R150">
        <v>59.71</v>
      </c>
      <c r="S150">
        <v>8.4700000000000006</v>
      </c>
      <c r="T150">
        <v>0</v>
      </c>
      <c r="U150">
        <v>6.63</v>
      </c>
      <c r="V150">
        <v>0</v>
      </c>
      <c r="W150">
        <v>0.45</v>
      </c>
      <c r="X150">
        <v>9.3800000000000008</v>
      </c>
      <c r="Y150">
        <v>4.5999999999999996</v>
      </c>
      <c r="Z150">
        <v>5.53</v>
      </c>
      <c r="AA150">
        <v>60.81</v>
      </c>
      <c r="AB150">
        <v>8.33</v>
      </c>
      <c r="AC150">
        <v>2.21</v>
      </c>
      <c r="AD150">
        <v>38.700000000000003</v>
      </c>
      <c r="AE150">
        <v>5.41</v>
      </c>
      <c r="AF150">
        <v>0</v>
      </c>
      <c r="AG150">
        <v>6.63</v>
      </c>
      <c r="AH150">
        <v>0</v>
      </c>
      <c r="AI150">
        <v>0</v>
      </c>
      <c r="AJ150">
        <v>82.86</v>
      </c>
      <c r="AK150">
        <v>2.21</v>
      </c>
      <c r="AL150">
        <v>27.64</v>
      </c>
      <c r="AM150">
        <v>7.41</v>
      </c>
      <c r="AN150">
        <v>1.1100000000000001</v>
      </c>
      <c r="AO150">
        <v>21.01</v>
      </c>
      <c r="AP150">
        <v>5</v>
      </c>
      <c r="AQ150">
        <v>0</v>
      </c>
      <c r="AR150">
        <v>5.53</v>
      </c>
      <c r="AS150">
        <v>0</v>
      </c>
      <c r="AT150">
        <v>0</v>
      </c>
      <c r="AU150">
        <v>73.680000000000007</v>
      </c>
      <c r="AV150">
        <v>3.32</v>
      </c>
      <c r="AW150">
        <v>33.17</v>
      </c>
      <c r="AX150">
        <v>9.09</v>
      </c>
      <c r="AY150">
        <v>1.1100000000000001</v>
      </c>
      <c r="AZ150">
        <v>17.690000000000001</v>
      </c>
      <c r="BA150">
        <v>5.88</v>
      </c>
      <c r="BB150">
        <v>0</v>
      </c>
      <c r="BC150">
        <v>1.1100000000000001</v>
      </c>
      <c r="BD150">
        <v>0</v>
      </c>
      <c r="BE150">
        <v>0</v>
      </c>
      <c r="BF150">
        <v>93.75</v>
      </c>
      <c r="BG150">
        <v>1.1100000000000001</v>
      </c>
      <c r="BH150">
        <v>50.86</v>
      </c>
      <c r="BI150">
        <v>2.13</v>
      </c>
      <c r="BJ150">
        <v>1.1100000000000001</v>
      </c>
      <c r="BK150">
        <v>21.01</v>
      </c>
      <c r="BL150">
        <v>5</v>
      </c>
      <c r="BM150">
        <v>0</v>
      </c>
      <c r="BN150">
        <v>0</v>
      </c>
      <c r="BO150" t="s">
        <v>85</v>
      </c>
      <c r="BP150">
        <v>0</v>
      </c>
      <c r="BQ150">
        <v>100</v>
      </c>
      <c r="BR150">
        <v>0</v>
      </c>
      <c r="BS150">
        <v>88.89</v>
      </c>
      <c r="BT150">
        <v>0.88900000000000001</v>
      </c>
    </row>
    <row r="151" spans="1:72" x14ac:dyDescent="0.35">
      <c r="A151">
        <v>3</v>
      </c>
      <c r="B151" t="s">
        <v>40</v>
      </c>
      <c r="C151">
        <v>10</v>
      </c>
      <c r="D151">
        <v>6.12</v>
      </c>
      <c r="E151">
        <v>6</v>
      </c>
      <c r="F151">
        <v>3</v>
      </c>
      <c r="G151">
        <v>1</v>
      </c>
      <c r="H151">
        <v>6</v>
      </c>
      <c r="I151">
        <v>13</v>
      </c>
      <c r="J151">
        <v>0.65</v>
      </c>
      <c r="K151">
        <v>24.19</v>
      </c>
      <c r="L151">
        <v>80.3</v>
      </c>
      <c r="M151">
        <v>23.15</v>
      </c>
      <c r="N151">
        <v>23.22</v>
      </c>
      <c r="O151">
        <v>60.95</v>
      </c>
      <c r="P151">
        <v>27.59</v>
      </c>
      <c r="Q151">
        <v>21.28</v>
      </c>
      <c r="R151">
        <v>43.54</v>
      </c>
      <c r="S151">
        <v>32.840000000000003</v>
      </c>
      <c r="T151">
        <v>1.93</v>
      </c>
      <c r="U151">
        <v>0.97</v>
      </c>
      <c r="V151">
        <v>66.67</v>
      </c>
      <c r="W151">
        <v>1.01</v>
      </c>
      <c r="X151">
        <v>4.54</v>
      </c>
      <c r="Y151">
        <v>18.21</v>
      </c>
      <c r="Z151">
        <v>11.61</v>
      </c>
      <c r="AA151">
        <v>37.729999999999997</v>
      </c>
      <c r="AB151">
        <v>23.53</v>
      </c>
      <c r="AC151">
        <v>9.67</v>
      </c>
      <c r="AD151">
        <v>21.28</v>
      </c>
      <c r="AE151">
        <v>31.25</v>
      </c>
      <c r="AF151">
        <v>1.93</v>
      </c>
      <c r="AG151">
        <v>0.97</v>
      </c>
      <c r="AH151">
        <v>66.67</v>
      </c>
      <c r="AI151">
        <v>20</v>
      </c>
      <c r="AJ151">
        <v>95.45</v>
      </c>
      <c r="AK151">
        <v>5.8</v>
      </c>
      <c r="AL151">
        <v>11.61</v>
      </c>
      <c r="AM151">
        <v>33.33</v>
      </c>
      <c r="AN151">
        <v>4.84</v>
      </c>
      <c r="AO151">
        <v>8.7100000000000009</v>
      </c>
      <c r="AP151">
        <v>35.71</v>
      </c>
      <c r="AQ151">
        <v>0.97</v>
      </c>
      <c r="AR151">
        <v>0</v>
      </c>
      <c r="AS151">
        <v>100</v>
      </c>
      <c r="AT151">
        <v>20</v>
      </c>
      <c r="AU151">
        <v>100</v>
      </c>
      <c r="AV151">
        <v>5.8</v>
      </c>
      <c r="AW151">
        <v>26.12</v>
      </c>
      <c r="AX151">
        <v>18.18</v>
      </c>
      <c r="AY151">
        <v>4.84</v>
      </c>
      <c r="AZ151">
        <v>12.58</v>
      </c>
      <c r="BA151">
        <v>27.78</v>
      </c>
      <c r="BB151">
        <v>0.97</v>
      </c>
      <c r="BC151">
        <v>0.97</v>
      </c>
      <c r="BD151">
        <v>50</v>
      </c>
      <c r="BE151">
        <v>20</v>
      </c>
      <c r="BF151">
        <v>92.31</v>
      </c>
      <c r="BG151">
        <v>3.87</v>
      </c>
      <c r="BH151">
        <v>41.6</v>
      </c>
      <c r="BI151">
        <v>8.51</v>
      </c>
      <c r="BJ151">
        <v>2.9</v>
      </c>
      <c r="BK151">
        <v>22.25</v>
      </c>
      <c r="BL151">
        <v>11.54</v>
      </c>
      <c r="BM151">
        <v>0</v>
      </c>
      <c r="BN151">
        <v>0</v>
      </c>
      <c r="BO151" t="s">
        <v>85</v>
      </c>
      <c r="BP151">
        <v>0</v>
      </c>
      <c r="BQ151">
        <v>100</v>
      </c>
      <c r="BR151">
        <v>9.09</v>
      </c>
      <c r="BS151">
        <v>97.78</v>
      </c>
      <c r="BT151">
        <v>1.069</v>
      </c>
    </row>
    <row r="152" spans="1:72" x14ac:dyDescent="0.35">
      <c r="A152">
        <v>4</v>
      </c>
      <c r="B152" t="s">
        <v>41</v>
      </c>
      <c r="C152">
        <v>10</v>
      </c>
      <c r="D152">
        <v>5.49</v>
      </c>
      <c r="E152">
        <v>0</v>
      </c>
      <c r="F152">
        <v>9</v>
      </c>
      <c r="G152">
        <v>1</v>
      </c>
      <c r="H152">
        <v>0</v>
      </c>
      <c r="I152">
        <v>1</v>
      </c>
      <c r="J152">
        <v>0.05</v>
      </c>
      <c r="K152">
        <v>7.48</v>
      </c>
      <c r="L152">
        <v>89.78</v>
      </c>
      <c r="M152">
        <v>7.69</v>
      </c>
      <c r="N152">
        <v>6.23</v>
      </c>
      <c r="O152">
        <v>68.58</v>
      </c>
      <c r="P152">
        <v>8.33</v>
      </c>
      <c r="Q152">
        <v>4.99</v>
      </c>
      <c r="R152">
        <v>54.87</v>
      </c>
      <c r="S152">
        <v>8.33</v>
      </c>
      <c r="T152">
        <v>1.25</v>
      </c>
      <c r="U152">
        <v>7.48</v>
      </c>
      <c r="V152">
        <v>14.29</v>
      </c>
      <c r="W152">
        <v>0.31</v>
      </c>
      <c r="X152">
        <v>5.76</v>
      </c>
      <c r="Y152">
        <v>5.0999999999999996</v>
      </c>
      <c r="Z152">
        <v>1.25</v>
      </c>
      <c r="AA152">
        <v>39.9</v>
      </c>
      <c r="AB152">
        <v>3.03</v>
      </c>
      <c r="AC152">
        <v>1.25</v>
      </c>
      <c r="AD152">
        <v>29.93</v>
      </c>
      <c r="AE152">
        <v>4</v>
      </c>
      <c r="AF152">
        <v>0</v>
      </c>
      <c r="AG152">
        <v>6.23</v>
      </c>
      <c r="AH152">
        <v>0</v>
      </c>
      <c r="AI152">
        <v>0</v>
      </c>
      <c r="AJ152">
        <v>79.17</v>
      </c>
      <c r="AK152">
        <v>1.25</v>
      </c>
      <c r="AL152">
        <v>18.7</v>
      </c>
      <c r="AM152">
        <v>6.25</v>
      </c>
      <c r="AN152">
        <v>1.25</v>
      </c>
      <c r="AO152">
        <v>18.7</v>
      </c>
      <c r="AP152">
        <v>6.25</v>
      </c>
      <c r="AQ152">
        <v>0</v>
      </c>
      <c r="AR152">
        <v>4.99</v>
      </c>
      <c r="AS152">
        <v>0</v>
      </c>
      <c r="AT152">
        <v>0</v>
      </c>
      <c r="AU152">
        <v>73.33</v>
      </c>
      <c r="AV152">
        <v>0</v>
      </c>
      <c r="AW152">
        <v>21.2</v>
      </c>
      <c r="AX152">
        <v>0</v>
      </c>
      <c r="AY152">
        <v>0</v>
      </c>
      <c r="AZ152">
        <v>11.22</v>
      </c>
      <c r="BA152">
        <v>0</v>
      </c>
      <c r="BB152">
        <v>0</v>
      </c>
      <c r="BC152">
        <v>1.25</v>
      </c>
      <c r="BD152">
        <v>0</v>
      </c>
      <c r="BE152" t="s">
        <v>85</v>
      </c>
      <c r="BF152">
        <v>88.89</v>
      </c>
      <c r="BG152">
        <v>3.74</v>
      </c>
      <c r="BH152">
        <v>49.88</v>
      </c>
      <c r="BI152">
        <v>6.98</v>
      </c>
      <c r="BJ152">
        <v>2.4900000000000002</v>
      </c>
      <c r="BK152">
        <v>24.94</v>
      </c>
      <c r="BL152">
        <v>9.09</v>
      </c>
      <c r="BM152">
        <v>1.25</v>
      </c>
      <c r="BN152">
        <v>1.25</v>
      </c>
      <c r="BO152">
        <v>50</v>
      </c>
      <c r="BP152">
        <v>50</v>
      </c>
      <c r="BQ152">
        <v>95</v>
      </c>
      <c r="BR152">
        <v>25</v>
      </c>
      <c r="BS152">
        <v>86.36</v>
      </c>
      <c r="BT152">
        <v>1.1140000000000001</v>
      </c>
    </row>
    <row r="153" spans="1:72" x14ac:dyDescent="0.35">
      <c r="A153">
        <v>5</v>
      </c>
      <c r="B153" t="s">
        <v>42</v>
      </c>
      <c r="C153">
        <v>10</v>
      </c>
      <c r="D153">
        <v>6.33</v>
      </c>
      <c r="E153">
        <v>6</v>
      </c>
      <c r="F153">
        <v>1</v>
      </c>
      <c r="G153">
        <v>3</v>
      </c>
      <c r="H153">
        <v>6</v>
      </c>
      <c r="I153">
        <v>15</v>
      </c>
      <c r="J153">
        <v>0.75</v>
      </c>
      <c r="K153">
        <v>16.2</v>
      </c>
      <c r="L153">
        <v>82.06</v>
      </c>
      <c r="M153">
        <v>16.48</v>
      </c>
      <c r="N153">
        <v>14.04</v>
      </c>
      <c r="O153">
        <v>61.55</v>
      </c>
      <c r="P153">
        <v>18.57</v>
      </c>
      <c r="Q153">
        <v>11.88</v>
      </c>
      <c r="R153">
        <v>47.51</v>
      </c>
      <c r="S153">
        <v>20</v>
      </c>
      <c r="T153">
        <v>1.08</v>
      </c>
      <c r="U153">
        <v>4.32</v>
      </c>
      <c r="V153">
        <v>20</v>
      </c>
      <c r="W153">
        <v>1.6</v>
      </c>
      <c r="X153">
        <v>6</v>
      </c>
      <c r="Y153">
        <v>21.04</v>
      </c>
      <c r="Z153">
        <v>9.7200000000000006</v>
      </c>
      <c r="AA153">
        <v>37.79</v>
      </c>
      <c r="AB153">
        <v>20.45</v>
      </c>
      <c r="AC153">
        <v>6.48</v>
      </c>
      <c r="AD153">
        <v>26.99</v>
      </c>
      <c r="AE153">
        <v>19.350000000000001</v>
      </c>
      <c r="AF153">
        <v>1.08</v>
      </c>
      <c r="AG153">
        <v>4.32</v>
      </c>
      <c r="AH153">
        <v>20</v>
      </c>
      <c r="AI153">
        <v>16.670000000000002</v>
      </c>
      <c r="AJ153">
        <v>84</v>
      </c>
      <c r="AK153">
        <v>4.32</v>
      </c>
      <c r="AL153">
        <v>16.2</v>
      </c>
      <c r="AM153">
        <v>21.05</v>
      </c>
      <c r="AN153">
        <v>3.24</v>
      </c>
      <c r="AO153">
        <v>10.8</v>
      </c>
      <c r="AP153">
        <v>23.08</v>
      </c>
      <c r="AQ153">
        <v>0</v>
      </c>
      <c r="AR153">
        <v>1.08</v>
      </c>
      <c r="AS153">
        <v>0</v>
      </c>
      <c r="AT153">
        <v>0</v>
      </c>
      <c r="AU153">
        <v>90</v>
      </c>
      <c r="AV153">
        <v>5.4</v>
      </c>
      <c r="AW153">
        <v>21.6</v>
      </c>
      <c r="AX153">
        <v>20</v>
      </c>
      <c r="AY153">
        <v>3.24</v>
      </c>
      <c r="AZ153">
        <v>16.2</v>
      </c>
      <c r="BA153">
        <v>16.670000000000002</v>
      </c>
      <c r="BB153">
        <v>1.08</v>
      </c>
      <c r="BC153">
        <v>3.24</v>
      </c>
      <c r="BD153">
        <v>25</v>
      </c>
      <c r="BE153">
        <v>33.33</v>
      </c>
      <c r="BF153">
        <v>80</v>
      </c>
      <c r="BG153">
        <v>2.16</v>
      </c>
      <c r="BH153">
        <v>38.869999999999997</v>
      </c>
      <c r="BI153">
        <v>5.26</v>
      </c>
      <c r="BJ153">
        <v>2.16</v>
      </c>
      <c r="BK153">
        <v>19.440000000000001</v>
      </c>
      <c r="BL153">
        <v>10</v>
      </c>
      <c r="BM153">
        <v>0</v>
      </c>
      <c r="BN153">
        <v>0</v>
      </c>
      <c r="BO153" t="s">
        <v>85</v>
      </c>
      <c r="BP153">
        <v>0</v>
      </c>
      <c r="BQ153">
        <v>100</v>
      </c>
      <c r="BR153">
        <v>9.09</v>
      </c>
      <c r="BS153">
        <v>90.91</v>
      </c>
      <c r="BT153">
        <v>1</v>
      </c>
    </row>
    <row r="154" spans="1:72" x14ac:dyDescent="0.35">
      <c r="A154">
        <v>6</v>
      </c>
      <c r="B154" t="s">
        <v>43</v>
      </c>
      <c r="C154">
        <v>10</v>
      </c>
      <c r="D154">
        <v>4.5599999999999996</v>
      </c>
      <c r="E154">
        <v>3</v>
      </c>
      <c r="F154">
        <v>4</v>
      </c>
      <c r="G154">
        <v>3</v>
      </c>
      <c r="H154">
        <v>3</v>
      </c>
      <c r="I154">
        <v>9</v>
      </c>
      <c r="J154">
        <v>0.45</v>
      </c>
      <c r="K154">
        <v>24.46</v>
      </c>
      <c r="L154">
        <v>103.95</v>
      </c>
      <c r="M154">
        <v>19.05</v>
      </c>
      <c r="N154">
        <v>22.93</v>
      </c>
      <c r="O154">
        <v>74.900000000000006</v>
      </c>
      <c r="P154">
        <v>23.44</v>
      </c>
      <c r="Q154">
        <v>21.4</v>
      </c>
      <c r="R154">
        <v>55.03</v>
      </c>
      <c r="S154">
        <v>28</v>
      </c>
      <c r="T154">
        <v>3.06</v>
      </c>
      <c r="U154">
        <v>10.7</v>
      </c>
      <c r="V154">
        <v>22.22</v>
      </c>
      <c r="W154">
        <v>1</v>
      </c>
      <c r="X154">
        <v>5.83</v>
      </c>
      <c r="Y154">
        <v>14.67</v>
      </c>
      <c r="Z154">
        <v>9.17</v>
      </c>
      <c r="AA154">
        <v>38.22</v>
      </c>
      <c r="AB154">
        <v>19.350000000000001</v>
      </c>
      <c r="AC154">
        <v>7.64</v>
      </c>
      <c r="AD154">
        <v>25.99</v>
      </c>
      <c r="AE154">
        <v>22.73</v>
      </c>
      <c r="AF154">
        <v>3.06</v>
      </c>
      <c r="AG154">
        <v>9.17</v>
      </c>
      <c r="AH154">
        <v>25</v>
      </c>
      <c r="AI154">
        <v>40</v>
      </c>
      <c r="AJ154">
        <v>64.709999999999994</v>
      </c>
      <c r="AK154">
        <v>6.11</v>
      </c>
      <c r="AL154">
        <v>10.7</v>
      </c>
      <c r="AM154">
        <v>36.36</v>
      </c>
      <c r="AN154">
        <v>6.11</v>
      </c>
      <c r="AO154">
        <v>10.7</v>
      </c>
      <c r="AP154">
        <v>36.36</v>
      </c>
      <c r="AQ154">
        <v>1.53</v>
      </c>
      <c r="AR154">
        <v>4.59</v>
      </c>
      <c r="AS154">
        <v>25</v>
      </c>
      <c r="AT154">
        <v>25</v>
      </c>
      <c r="AU154">
        <v>57.14</v>
      </c>
      <c r="AV154">
        <v>3.06</v>
      </c>
      <c r="AW154">
        <v>27.52</v>
      </c>
      <c r="AX154">
        <v>10</v>
      </c>
      <c r="AY154">
        <v>1.53</v>
      </c>
      <c r="AZ154">
        <v>15.29</v>
      </c>
      <c r="BA154">
        <v>9.09</v>
      </c>
      <c r="BB154">
        <v>1.53</v>
      </c>
      <c r="BC154">
        <v>4.59</v>
      </c>
      <c r="BD154">
        <v>25</v>
      </c>
      <c r="BE154">
        <v>100</v>
      </c>
      <c r="BF154">
        <v>70</v>
      </c>
      <c r="BG154">
        <v>9.17</v>
      </c>
      <c r="BH154">
        <v>62.68</v>
      </c>
      <c r="BI154">
        <v>12.77</v>
      </c>
      <c r="BJ154">
        <v>7.64</v>
      </c>
      <c r="BK154">
        <v>29.04</v>
      </c>
      <c r="BL154">
        <v>20.83</v>
      </c>
      <c r="BM154">
        <v>0</v>
      </c>
      <c r="BN154">
        <v>1.53</v>
      </c>
      <c r="BO154">
        <v>0</v>
      </c>
      <c r="BP154">
        <v>0</v>
      </c>
      <c r="BQ154">
        <v>94.74</v>
      </c>
      <c r="BR154">
        <v>14.29</v>
      </c>
      <c r="BS154">
        <v>80.56</v>
      </c>
      <c r="BT154">
        <v>0.94799999999999995</v>
      </c>
    </row>
    <row r="155" spans="1:72" x14ac:dyDescent="0.35">
      <c r="A155">
        <v>7</v>
      </c>
      <c r="B155" t="s">
        <v>44</v>
      </c>
      <c r="C155">
        <v>10</v>
      </c>
      <c r="D155">
        <v>4.58</v>
      </c>
      <c r="E155">
        <v>6</v>
      </c>
      <c r="F155">
        <v>3</v>
      </c>
      <c r="G155">
        <v>1</v>
      </c>
      <c r="H155">
        <v>6</v>
      </c>
      <c r="I155">
        <v>13</v>
      </c>
      <c r="J155">
        <v>0.65</v>
      </c>
      <c r="K155">
        <v>7.57</v>
      </c>
      <c r="L155">
        <v>110.56</v>
      </c>
      <c r="M155">
        <v>6.41</v>
      </c>
      <c r="N155">
        <v>7.57</v>
      </c>
      <c r="O155">
        <v>83.3</v>
      </c>
      <c r="P155">
        <v>8.33</v>
      </c>
      <c r="Q155">
        <v>7.57</v>
      </c>
      <c r="R155">
        <v>60.58</v>
      </c>
      <c r="S155">
        <v>11.11</v>
      </c>
      <c r="T155">
        <v>0</v>
      </c>
      <c r="U155">
        <v>9.09</v>
      </c>
      <c r="V155">
        <v>0</v>
      </c>
      <c r="W155">
        <v>0.3</v>
      </c>
      <c r="X155">
        <v>7.13</v>
      </c>
      <c r="Y155">
        <v>3.99</v>
      </c>
      <c r="Z155">
        <v>3.03</v>
      </c>
      <c r="AA155">
        <v>65.12</v>
      </c>
      <c r="AB155">
        <v>4.4400000000000004</v>
      </c>
      <c r="AC155">
        <v>3.03</v>
      </c>
      <c r="AD155">
        <v>40.89</v>
      </c>
      <c r="AE155">
        <v>6.9</v>
      </c>
      <c r="AF155">
        <v>0</v>
      </c>
      <c r="AG155">
        <v>7.57</v>
      </c>
      <c r="AH155">
        <v>0</v>
      </c>
      <c r="AI155">
        <v>0</v>
      </c>
      <c r="AJ155">
        <v>81.48</v>
      </c>
      <c r="AK155">
        <v>3.03</v>
      </c>
      <c r="AL155">
        <v>22.72</v>
      </c>
      <c r="AM155">
        <v>11.76</v>
      </c>
      <c r="AN155">
        <v>3.03</v>
      </c>
      <c r="AO155">
        <v>18.170000000000002</v>
      </c>
      <c r="AP155">
        <v>14.29</v>
      </c>
      <c r="AQ155">
        <v>0</v>
      </c>
      <c r="AR155">
        <v>3.03</v>
      </c>
      <c r="AS155">
        <v>0</v>
      </c>
      <c r="AT155">
        <v>0</v>
      </c>
      <c r="AU155">
        <v>83.33</v>
      </c>
      <c r="AV155">
        <v>0</v>
      </c>
      <c r="AW155">
        <v>42.41</v>
      </c>
      <c r="AX155">
        <v>0</v>
      </c>
      <c r="AY155">
        <v>0</v>
      </c>
      <c r="AZ155">
        <v>22.72</v>
      </c>
      <c r="BA155">
        <v>0</v>
      </c>
      <c r="BB155">
        <v>0</v>
      </c>
      <c r="BC155">
        <v>4.54</v>
      </c>
      <c r="BD155">
        <v>0</v>
      </c>
      <c r="BE155" t="s">
        <v>85</v>
      </c>
      <c r="BF155">
        <v>80</v>
      </c>
      <c r="BG155">
        <v>1.51</v>
      </c>
      <c r="BH155">
        <v>45.44</v>
      </c>
      <c r="BI155">
        <v>3.23</v>
      </c>
      <c r="BJ155">
        <v>1.51</v>
      </c>
      <c r="BK155">
        <v>19.690000000000001</v>
      </c>
      <c r="BL155">
        <v>7.14</v>
      </c>
      <c r="BM155">
        <v>0</v>
      </c>
      <c r="BN155">
        <v>1.51</v>
      </c>
      <c r="BO155">
        <v>0</v>
      </c>
      <c r="BP155">
        <v>0</v>
      </c>
      <c r="BQ155">
        <v>92.31</v>
      </c>
      <c r="BR155">
        <v>0</v>
      </c>
      <c r="BS155">
        <v>85</v>
      </c>
      <c r="BT155">
        <v>0.85</v>
      </c>
    </row>
    <row r="156" spans="1:72" x14ac:dyDescent="0.35">
      <c r="A156">
        <v>8</v>
      </c>
      <c r="B156" t="s">
        <v>45</v>
      </c>
      <c r="C156">
        <v>10</v>
      </c>
      <c r="D156">
        <v>4.59</v>
      </c>
      <c r="E156">
        <v>5</v>
      </c>
      <c r="F156">
        <v>3</v>
      </c>
      <c r="G156">
        <v>2</v>
      </c>
      <c r="H156">
        <v>4</v>
      </c>
      <c r="I156">
        <v>12</v>
      </c>
      <c r="J156">
        <v>0.6</v>
      </c>
      <c r="K156">
        <v>22.59</v>
      </c>
      <c r="L156">
        <v>103.93</v>
      </c>
      <c r="M156">
        <v>17.86</v>
      </c>
      <c r="N156">
        <v>21.09</v>
      </c>
      <c r="O156">
        <v>72.3</v>
      </c>
      <c r="P156">
        <v>22.58</v>
      </c>
      <c r="Q156">
        <v>21.09</v>
      </c>
      <c r="R156">
        <v>58.74</v>
      </c>
      <c r="S156">
        <v>26.42</v>
      </c>
      <c r="T156">
        <v>1.51</v>
      </c>
      <c r="U156">
        <v>15.06</v>
      </c>
      <c r="V156">
        <v>9.09</v>
      </c>
      <c r="W156">
        <v>2.1800000000000002</v>
      </c>
      <c r="X156">
        <v>6.58</v>
      </c>
      <c r="Y156">
        <v>24.88</v>
      </c>
      <c r="Z156">
        <v>19.579999999999998</v>
      </c>
      <c r="AA156">
        <v>61.76</v>
      </c>
      <c r="AB156">
        <v>24.07</v>
      </c>
      <c r="AC156">
        <v>19.579999999999998</v>
      </c>
      <c r="AD156">
        <v>36.15</v>
      </c>
      <c r="AE156">
        <v>35.14</v>
      </c>
      <c r="AF156">
        <v>1.51</v>
      </c>
      <c r="AG156">
        <v>9.0399999999999991</v>
      </c>
      <c r="AH156">
        <v>14.29</v>
      </c>
      <c r="AI156">
        <v>7.69</v>
      </c>
      <c r="AJ156">
        <v>75</v>
      </c>
      <c r="AK156">
        <v>12.05</v>
      </c>
      <c r="AL156">
        <v>21.09</v>
      </c>
      <c r="AM156">
        <v>36.36</v>
      </c>
      <c r="AN156">
        <v>12.05</v>
      </c>
      <c r="AO156">
        <v>13.56</v>
      </c>
      <c r="AP156">
        <v>47.06</v>
      </c>
      <c r="AQ156">
        <v>0</v>
      </c>
      <c r="AR156">
        <v>6.03</v>
      </c>
      <c r="AS156">
        <v>0</v>
      </c>
      <c r="AT156">
        <v>0</v>
      </c>
      <c r="AU156">
        <v>55.56</v>
      </c>
      <c r="AV156">
        <v>7.53</v>
      </c>
      <c r="AW156">
        <v>40.67</v>
      </c>
      <c r="AX156">
        <v>15.63</v>
      </c>
      <c r="AY156">
        <v>7.53</v>
      </c>
      <c r="AZ156">
        <v>22.59</v>
      </c>
      <c r="BA156">
        <v>25</v>
      </c>
      <c r="BB156">
        <v>1.51</v>
      </c>
      <c r="BC156">
        <v>3.01</v>
      </c>
      <c r="BD156">
        <v>33.33</v>
      </c>
      <c r="BE156">
        <v>20</v>
      </c>
      <c r="BF156">
        <v>86.67</v>
      </c>
      <c r="BG156">
        <v>1.51</v>
      </c>
      <c r="BH156">
        <v>40.67</v>
      </c>
      <c r="BI156">
        <v>3.57</v>
      </c>
      <c r="BJ156">
        <v>1.51</v>
      </c>
      <c r="BK156">
        <v>22.59</v>
      </c>
      <c r="BL156">
        <v>6.25</v>
      </c>
      <c r="BM156">
        <v>0</v>
      </c>
      <c r="BN156">
        <v>6.03</v>
      </c>
      <c r="BO156">
        <v>0</v>
      </c>
      <c r="BP156">
        <v>0</v>
      </c>
      <c r="BQ156">
        <v>73.33</v>
      </c>
      <c r="BR156">
        <v>7.14</v>
      </c>
      <c r="BS156">
        <v>74.36</v>
      </c>
      <c r="BT156">
        <v>0.81499999999999995</v>
      </c>
    </row>
    <row r="157" spans="1:72" x14ac:dyDescent="0.35">
      <c r="A157">
        <v>9</v>
      </c>
      <c r="B157" t="s">
        <v>46</v>
      </c>
      <c r="C157">
        <v>10</v>
      </c>
      <c r="D157">
        <v>5.58</v>
      </c>
      <c r="E157">
        <v>7</v>
      </c>
      <c r="F157">
        <v>2</v>
      </c>
      <c r="G157">
        <v>1</v>
      </c>
      <c r="H157">
        <v>7</v>
      </c>
      <c r="I157">
        <v>15</v>
      </c>
      <c r="J157">
        <v>0.75</v>
      </c>
      <c r="K157">
        <v>18.100000000000001</v>
      </c>
      <c r="L157">
        <v>90.48</v>
      </c>
      <c r="M157">
        <v>16.670000000000002</v>
      </c>
      <c r="N157">
        <v>18.100000000000001</v>
      </c>
      <c r="O157">
        <v>60.32</v>
      </c>
      <c r="P157">
        <v>23.08</v>
      </c>
      <c r="Q157">
        <v>15.68</v>
      </c>
      <c r="R157">
        <v>48.26</v>
      </c>
      <c r="S157">
        <v>24.53</v>
      </c>
      <c r="T157">
        <v>0</v>
      </c>
      <c r="U157">
        <v>4.83</v>
      </c>
      <c r="V157">
        <v>0</v>
      </c>
      <c r="W157">
        <v>0.97</v>
      </c>
      <c r="X157">
        <v>4.1399999999999997</v>
      </c>
      <c r="Y157">
        <v>18.920000000000002</v>
      </c>
      <c r="Z157">
        <v>7.24</v>
      </c>
      <c r="AA157">
        <v>39.81</v>
      </c>
      <c r="AB157">
        <v>15.38</v>
      </c>
      <c r="AC157">
        <v>4.83</v>
      </c>
      <c r="AD157">
        <v>18.100000000000001</v>
      </c>
      <c r="AE157">
        <v>21.05</v>
      </c>
      <c r="AF157">
        <v>0</v>
      </c>
      <c r="AG157">
        <v>3.62</v>
      </c>
      <c r="AH157">
        <v>0</v>
      </c>
      <c r="AI157">
        <v>0</v>
      </c>
      <c r="AJ157">
        <v>80</v>
      </c>
      <c r="AK157">
        <v>6.03</v>
      </c>
      <c r="AL157">
        <v>10.86</v>
      </c>
      <c r="AM157">
        <v>35.71</v>
      </c>
      <c r="AN157">
        <v>3.62</v>
      </c>
      <c r="AO157">
        <v>7.24</v>
      </c>
      <c r="AP157">
        <v>33.33</v>
      </c>
      <c r="AQ157">
        <v>0</v>
      </c>
      <c r="AR157">
        <v>1.21</v>
      </c>
      <c r="AS157">
        <v>0</v>
      </c>
      <c r="AT157">
        <v>0</v>
      </c>
      <c r="AU157">
        <v>83.33</v>
      </c>
      <c r="AV157">
        <v>1.21</v>
      </c>
      <c r="AW157">
        <v>28.95</v>
      </c>
      <c r="AX157">
        <v>4</v>
      </c>
      <c r="AY157">
        <v>1.21</v>
      </c>
      <c r="AZ157">
        <v>10.86</v>
      </c>
      <c r="BA157">
        <v>10</v>
      </c>
      <c r="BB157">
        <v>0</v>
      </c>
      <c r="BC157">
        <v>2.41</v>
      </c>
      <c r="BD157">
        <v>0</v>
      </c>
      <c r="BE157">
        <v>0</v>
      </c>
      <c r="BF157">
        <v>77.78</v>
      </c>
      <c r="BG157">
        <v>3.62</v>
      </c>
      <c r="BH157">
        <v>50.67</v>
      </c>
      <c r="BI157">
        <v>6.67</v>
      </c>
      <c r="BJ157">
        <v>3.62</v>
      </c>
      <c r="BK157">
        <v>30.16</v>
      </c>
      <c r="BL157">
        <v>10.71</v>
      </c>
      <c r="BM157">
        <v>0</v>
      </c>
      <c r="BN157">
        <v>1.21</v>
      </c>
      <c r="BO157">
        <v>0</v>
      </c>
      <c r="BP157">
        <v>0</v>
      </c>
      <c r="BQ157">
        <v>96</v>
      </c>
      <c r="BR157">
        <v>0</v>
      </c>
      <c r="BS157">
        <v>90</v>
      </c>
      <c r="BT157">
        <v>0.9</v>
      </c>
    </row>
    <row r="158" spans="1:72" x14ac:dyDescent="0.35">
      <c r="A158">
        <v>10</v>
      </c>
      <c r="B158" t="s">
        <v>47</v>
      </c>
      <c r="C158">
        <v>10</v>
      </c>
      <c r="D158">
        <v>5.18</v>
      </c>
      <c r="E158">
        <v>2</v>
      </c>
      <c r="F158">
        <v>4</v>
      </c>
      <c r="G158">
        <v>4</v>
      </c>
      <c r="H158">
        <v>2</v>
      </c>
      <c r="I158">
        <v>8</v>
      </c>
      <c r="J158">
        <v>0.4</v>
      </c>
      <c r="K158">
        <v>15.84</v>
      </c>
      <c r="L158">
        <v>80.33</v>
      </c>
      <c r="M158">
        <v>16.47</v>
      </c>
      <c r="N158">
        <v>13.58</v>
      </c>
      <c r="O158">
        <v>56.57</v>
      </c>
      <c r="P158">
        <v>19.350000000000001</v>
      </c>
      <c r="Q158">
        <v>12.45</v>
      </c>
      <c r="R158">
        <v>37.340000000000003</v>
      </c>
      <c r="S158">
        <v>25</v>
      </c>
      <c r="T158">
        <v>1.1299999999999999</v>
      </c>
      <c r="U158">
        <v>10.18</v>
      </c>
      <c r="V158">
        <v>10</v>
      </c>
      <c r="W158">
        <v>0.42</v>
      </c>
      <c r="X158">
        <v>4.34</v>
      </c>
      <c r="Y158">
        <v>8.7899999999999991</v>
      </c>
      <c r="Z158">
        <v>5.66</v>
      </c>
      <c r="AA158">
        <v>42.99</v>
      </c>
      <c r="AB158">
        <v>11.63</v>
      </c>
      <c r="AC158">
        <v>3.39</v>
      </c>
      <c r="AD158">
        <v>24.89</v>
      </c>
      <c r="AE158">
        <v>12</v>
      </c>
      <c r="AF158">
        <v>1.1299999999999999</v>
      </c>
      <c r="AG158">
        <v>9.0500000000000007</v>
      </c>
      <c r="AH158">
        <v>11.11</v>
      </c>
      <c r="AI158">
        <v>33.33</v>
      </c>
      <c r="AJ158">
        <v>63.64</v>
      </c>
      <c r="AK158">
        <v>0</v>
      </c>
      <c r="AL158">
        <v>9.0500000000000007</v>
      </c>
      <c r="AM158">
        <v>0</v>
      </c>
      <c r="AN158">
        <v>0</v>
      </c>
      <c r="AO158">
        <v>7.92</v>
      </c>
      <c r="AP158">
        <v>0</v>
      </c>
      <c r="AQ158">
        <v>0</v>
      </c>
      <c r="AR158">
        <v>4.53</v>
      </c>
      <c r="AS158">
        <v>0</v>
      </c>
      <c r="AT158" t="s">
        <v>85</v>
      </c>
      <c r="AU158">
        <v>42.86</v>
      </c>
      <c r="AV158">
        <v>5.66</v>
      </c>
      <c r="AW158">
        <v>33.94</v>
      </c>
      <c r="AX158">
        <v>14.29</v>
      </c>
      <c r="AY158">
        <v>3.39</v>
      </c>
      <c r="AZ158">
        <v>16.97</v>
      </c>
      <c r="BA158">
        <v>16.670000000000002</v>
      </c>
      <c r="BB158">
        <v>1.1299999999999999</v>
      </c>
      <c r="BC158">
        <v>4.53</v>
      </c>
      <c r="BD158">
        <v>20</v>
      </c>
      <c r="BE158">
        <v>33.33</v>
      </c>
      <c r="BF158">
        <v>73.33</v>
      </c>
      <c r="BG158">
        <v>2.2599999999999998</v>
      </c>
      <c r="BH158">
        <v>35.07</v>
      </c>
      <c r="BI158">
        <v>6.06</v>
      </c>
      <c r="BJ158">
        <v>1.1299999999999999</v>
      </c>
      <c r="BK158">
        <v>12.45</v>
      </c>
      <c r="BL158">
        <v>8.33</v>
      </c>
      <c r="BM158">
        <v>0</v>
      </c>
      <c r="BN158">
        <v>1.1299999999999999</v>
      </c>
      <c r="BO158">
        <v>0</v>
      </c>
      <c r="BP158">
        <v>0</v>
      </c>
      <c r="BQ158">
        <v>90.91</v>
      </c>
      <c r="BR158">
        <v>9.09</v>
      </c>
      <c r="BS158">
        <v>72.73</v>
      </c>
      <c r="BT158">
        <v>0.81799999999999995</v>
      </c>
    </row>
    <row r="159" spans="1:72" x14ac:dyDescent="0.35">
      <c r="A159">
        <v>11</v>
      </c>
      <c r="B159" t="s">
        <v>48</v>
      </c>
      <c r="C159">
        <v>10</v>
      </c>
      <c r="D159">
        <v>5.08</v>
      </c>
      <c r="E159">
        <v>5</v>
      </c>
      <c r="F159">
        <v>4</v>
      </c>
      <c r="G159">
        <v>1</v>
      </c>
      <c r="H159">
        <v>5</v>
      </c>
      <c r="I159">
        <v>11</v>
      </c>
      <c r="J159">
        <v>0.55000000000000004</v>
      </c>
      <c r="K159">
        <v>15.2</v>
      </c>
      <c r="L159">
        <v>101.72</v>
      </c>
      <c r="M159">
        <v>13</v>
      </c>
      <c r="N159">
        <v>14.03</v>
      </c>
      <c r="O159">
        <v>83.01</v>
      </c>
      <c r="P159">
        <v>14.46</v>
      </c>
      <c r="Q159">
        <v>11.69</v>
      </c>
      <c r="R159">
        <v>64.31</v>
      </c>
      <c r="S159">
        <v>15.38</v>
      </c>
      <c r="T159">
        <v>0</v>
      </c>
      <c r="U159">
        <v>10.52</v>
      </c>
      <c r="V159">
        <v>0</v>
      </c>
      <c r="W159">
        <v>0.55000000000000004</v>
      </c>
      <c r="X159">
        <v>6.94</v>
      </c>
      <c r="Y159">
        <v>7.39</v>
      </c>
      <c r="Z159">
        <v>5.85</v>
      </c>
      <c r="AA159">
        <v>44.43</v>
      </c>
      <c r="AB159">
        <v>11.63</v>
      </c>
      <c r="AC159">
        <v>2.34</v>
      </c>
      <c r="AD159">
        <v>30.4</v>
      </c>
      <c r="AE159">
        <v>7.14</v>
      </c>
      <c r="AF159">
        <v>0</v>
      </c>
      <c r="AG159">
        <v>9.35</v>
      </c>
      <c r="AH159">
        <v>0</v>
      </c>
      <c r="AI159">
        <v>0</v>
      </c>
      <c r="AJ159">
        <v>69.23</v>
      </c>
      <c r="AK159">
        <v>1.17</v>
      </c>
      <c r="AL159">
        <v>15.2</v>
      </c>
      <c r="AM159">
        <v>7.14</v>
      </c>
      <c r="AN159">
        <v>1.17</v>
      </c>
      <c r="AO159">
        <v>14.03</v>
      </c>
      <c r="AP159">
        <v>7.69</v>
      </c>
      <c r="AQ159">
        <v>0</v>
      </c>
      <c r="AR159">
        <v>7.02</v>
      </c>
      <c r="AS159">
        <v>0</v>
      </c>
      <c r="AT159">
        <v>0</v>
      </c>
      <c r="AU159">
        <v>50</v>
      </c>
      <c r="AV159">
        <v>4.68</v>
      </c>
      <c r="AW159">
        <v>29.23</v>
      </c>
      <c r="AX159">
        <v>13.79</v>
      </c>
      <c r="AY159">
        <v>1.17</v>
      </c>
      <c r="AZ159">
        <v>16.37</v>
      </c>
      <c r="BA159">
        <v>6.67</v>
      </c>
      <c r="BB159">
        <v>0</v>
      </c>
      <c r="BC159">
        <v>2.34</v>
      </c>
      <c r="BD159">
        <v>0</v>
      </c>
      <c r="BE159">
        <v>0</v>
      </c>
      <c r="BF159">
        <v>85.71</v>
      </c>
      <c r="BG159">
        <v>5.85</v>
      </c>
      <c r="BH159">
        <v>57.29</v>
      </c>
      <c r="BI159">
        <v>9.26</v>
      </c>
      <c r="BJ159">
        <v>5.85</v>
      </c>
      <c r="BK159">
        <v>33.909999999999997</v>
      </c>
      <c r="BL159">
        <v>14.71</v>
      </c>
      <c r="BM159">
        <v>0</v>
      </c>
      <c r="BN159">
        <v>1.17</v>
      </c>
      <c r="BO159">
        <v>0</v>
      </c>
      <c r="BP159">
        <v>0</v>
      </c>
      <c r="BQ159">
        <v>96.55</v>
      </c>
      <c r="BR159">
        <v>0</v>
      </c>
      <c r="BS159">
        <v>83.64</v>
      </c>
      <c r="BT159">
        <v>0.83599999999999997</v>
      </c>
    </row>
    <row r="160" spans="1:72" x14ac:dyDescent="0.35">
      <c r="A160">
        <v>12</v>
      </c>
      <c r="B160" t="s">
        <v>49</v>
      </c>
      <c r="C160">
        <v>10</v>
      </c>
      <c r="D160">
        <v>4.59</v>
      </c>
      <c r="E160">
        <v>7</v>
      </c>
      <c r="F160">
        <v>3</v>
      </c>
      <c r="G160">
        <v>0</v>
      </c>
      <c r="H160">
        <v>7</v>
      </c>
      <c r="I160">
        <v>14</v>
      </c>
      <c r="J160">
        <v>0.7</v>
      </c>
      <c r="K160">
        <v>15.02</v>
      </c>
      <c r="L160">
        <v>118.65</v>
      </c>
      <c r="M160">
        <v>11.24</v>
      </c>
      <c r="N160">
        <v>13.52</v>
      </c>
      <c r="O160">
        <v>90.11</v>
      </c>
      <c r="P160">
        <v>13.04</v>
      </c>
      <c r="Q160">
        <v>10.51</v>
      </c>
      <c r="R160">
        <v>64.58</v>
      </c>
      <c r="S160">
        <v>14</v>
      </c>
      <c r="T160">
        <v>0</v>
      </c>
      <c r="U160">
        <v>12.02</v>
      </c>
      <c r="V160">
        <v>0</v>
      </c>
      <c r="W160">
        <v>2.11</v>
      </c>
      <c r="X160">
        <v>8.7200000000000006</v>
      </c>
      <c r="Y160">
        <v>19.46</v>
      </c>
      <c r="Z160">
        <v>10.51</v>
      </c>
      <c r="AA160">
        <v>64.58</v>
      </c>
      <c r="AB160">
        <v>14</v>
      </c>
      <c r="AC160">
        <v>7.51</v>
      </c>
      <c r="AD160">
        <v>36.049999999999997</v>
      </c>
      <c r="AE160">
        <v>17.239999999999998</v>
      </c>
      <c r="AF160">
        <v>0</v>
      </c>
      <c r="AG160">
        <v>10.51</v>
      </c>
      <c r="AH160">
        <v>0</v>
      </c>
      <c r="AI160">
        <v>0</v>
      </c>
      <c r="AJ160">
        <v>70.83</v>
      </c>
      <c r="AK160">
        <v>4.51</v>
      </c>
      <c r="AL160">
        <v>27.03</v>
      </c>
      <c r="AM160">
        <v>14.29</v>
      </c>
      <c r="AN160">
        <v>4.51</v>
      </c>
      <c r="AO160">
        <v>19.52</v>
      </c>
      <c r="AP160">
        <v>18.75</v>
      </c>
      <c r="AQ160">
        <v>0</v>
      </c>
      <c r="AR160">
        <v>7.51</v>
      </c>
      <c r="AS160">
        <v>0</v>
      </c>
      <c r="AT160">
        <v>0</v>
      </c>
      <c r="AU160">
        <v>61.54</v>
      </c>
      <c r="AV160">
        <v>6.01</v>
      </c>
      <c r="AW160">
        <v>37.549999999999997</v>
      </c>
      <c r="AX160">
        <v>13.79</v>
      </c>
      <c r="AY160">
        <v>3</v>
      </c>
      <c r="AZ160">
        <v>16.52</v>
      </c>
      <c r="BA160">
        <v>15.38</v>
      </c>
      <c r="BB160">
        <v>0</v>
      </c>
      <c r="BC160">
        <v>3</v>
      </c>
      <c r="BD160">
        <v>0</v>
      </c>
      <c r="BE160">
        <v>0</v>
      </c>
      <c r="BF160">
        <v>81.819999999999993</v>
      </c>
      <c r="BG160">
        <v>3</v>
      </c>
      <c r="BH160">
        <v>49.56</v>
      </c>
      <c r="BI160">
        <v>5.71</v>
      </c>
      <c r="BJ160">
        <v>1.5</v>
      </c>
      <c r="BK160">
        <v>27.03</v>
      </c>
      <c r="BL160">
        <v>5.26</v>
      </c>
      <c r="BM160">
        <v>0</v>
      </c>
      <c r="BN160">
        <v>1.5</v>
      </c>
      <c r="BO160">
        <v>0</v>
      </c>
      <c r="BP160">
        <v>0</v>
      </c>
      <c r="BQ160">
        <v>94.44</v>
      </c>
      <c r="BR160">
        <v>0</v>
      </c>
      <c r="BS160">
        <v>81.400000000000006</v>
      </c>
      <c r="BT160">
        <v>0.81399999999999995</v>
      </c>
    </row>
    <row r="161" spans="1:72" x14ac:dyDescent="0.35">
      <c r="A161">
        <v>13</v>
      </c>
      <c r="B161" t="s">
        <v>50</v>
      </c>
      <c r="C161">
        <v>10</v>
      </c>
      <c r="D161">
        <v>5.14</v>
      </c>
      <c r="E161">
        <v>5</v>
      </c>
      <c r="F161">
        <v>3</v>
      </c>
      <c r="G161">
        <v>2</v>
      </c>
      <c r="H161">
        <v>5</v>
      </c>
      <c r="I161">
        <v>12</v>
      </c>
      <c r="J161">
        <v>0.6</v>
      </c>
      <c r="K161">
        <v>19.5</v>
      </c>
      <c r="L161">
        <v>79.16</v>
      </c>
      <c r="M161">
        <v>19.77</v>
      </c>
      <c r="N161">
        <v>17.21</v>
      </c>
      <c r="O161">
        <v>66.540000000000006</v>
      </c>
      <c r="P161">
        <v>20.55</v>
      </c>
      <c r="Q161">
        <v>14.91</v>
      </c>
      <c r="R161">
        <v>51.63</v>
      </c>
      <c r="S161">
        <v>22.41</v>
      </c>
      <c r="T161">
        <v>1.1499999999999999</v>
      </c>
      <c r="U161">
        <v>5.74</v>
      </c>
      <c r="V161">
        <v>16.670000000000002</v>
      </c>
      <c r="W161">
        <v>1.08</v>
      </c>
      <c r="X161">
        <v>5.53</v>
      </c>
      <c r="Y161">
        <v>16.29</v>
      </c>
      <c r="Z161">
        <v>10.33</v>
      </c>
      <c r="AA161">
        <v>37.86</v>
      </c>
      <c r="AB161">
        <v>21.43</v>
      </c>
      <c r="AC161">
        <v>6.88</v>
      </c>
      <c r="AD161">
        <v>28.68</v>
      </c>
      <c r="AE161">
        <v>19.350000000000001</v>
      </c>
      <c r="AF161">
        <v>1.1499999999999999</v>
      </c>
      <c r="AG161">
        <v>2.29</v>
      </c>
      <c r="AH161">
        <v>33.33</v>
      </c>
      <c r="AI161">
        <v>16.670000000000002</v>
      </c>
      <c r="AJ161">
        <v>92</v>
      </c>
      <c r="AK161">
        <v>4.59</v>
      </c>
      <c r="AL161">
        <v>14.91</v>
      </c>
      <c r="AM161">
        <v>23.53</v>
      </c>
      <c r="AN161">
        <v>3.44</v>
      </c>
      <c r="AO161">
        <v>12.62</v>
      </c>
      <c r="AP161">
        <v>21.43</v>
      </c>
      <c r="AQ161">
        <v>1.1499999999999999</v>
      </c>
      <c r="AR161">
        <v>2.29</v>
      </c>
      <c r="AS161">
        <v>33.33</v>
      </c>
      <c r="AT161">
        <v>33.33</v>
      </c>
      <c r="AU161">
        <v>81.819999999999993</v>
      </c>
      <c r="AV161">
        <v>5.74</v>
      </c>
      <c r="AW161">
        <v>22.94</v>
      </c>
      <c r="AX161">
        <v>20</v>
      </c>
      <c r="AY161">
        <v>3.44</v>
      </c>
      <c r="AZ161">
        <v>16.059999999999999</v>
      </c>
      <c r="BA161">
        <v>17.649999999999999</v>
      </c>
      <c r="BB161">
        <v>0</v>
      </c>
      <c r="BC161">
        <v>0</v>
      </c>
      <c r="BD161" t="s">
        <v>85</v>
      </c>
      <c r="BE161">
        <v>0</v>
      </c>
      <c r="BF161">
        <v>100</v>
      </c>
      <c r="BG161">
        <v>6.88</v>
      </c>
      <c r="BH161">
        <v>40.15</v>
      </c>
      <c r="BI161">
        <v>14.63</v>
      </c>
      <c r="BJ161">
        <v>6.88</v>
      </c>
      <c r="BK161">
        <v>22.94</v>
      </c>
      <c r="BL161">
        <v>23.08</v>
      </c>
      <c r="BM161">
        <v>0</v>
      </c>
      <c r="BN161">
        <v>3.44</v>
      </c>
      <c r="BO161">
        <v>0</v>
      </c>
      <c r="BP161">
        <v>0</v>
      </c>
      <c r="BQ161">
        <v>85</v>
      </c>
      <c r="BR161">
        <v>7.69</v>
      </c>
      <c r="BS161">
        <v>88.89</v>
      </c>
      <c r="BT161">
        <v>0.96599999999999997</v>
      </c>
    </row>
    <row r="162" spans="1:72" x14ac:dyDescent="0.35">
      <c r="A162">
        <v>14</v>
      </c>
      <c r="B162" t="s">
        <v>51</v>
      </c>
      <c r="C162">
        <v>10</v>
      </c>
      <c r="D162">
        <v>3.28</v>
      </c>
      <c r="E162">
        <v>5</v>
      </c>
      <c r="F162">
        <v>3</v>
      </c>
      <c r="G162">
        <v>2</v>
      </c>
      <c r="H162">
        <v>5</v>
      </c>
      <c r="I162">
        <v>12</v>
      </c>
      <c r="J162">
        <v>0.6</v>
      </c>
      <c r="K162">
        <v>5.19</v>
      </c>
      <c r="L162">
        <v>105.58</v>
      </c>
      <c r="M162">
        <v>4.6900000000000004</v>
      </c>
      <c r="N162">
        <v>3.46</v>
      </c>
      <c r="O162">
        <v>84.81</v>
      </c>
      <c r="P162">
        <v>3.92</v>
      </c>
      <c r="Q162">
        <v>1.73</v>
      </c>
      <c r="R162">
        <v>58.85</v>
      </c>
      <c r="S162">
        <v>2.86</v>
      </c>
      <c r="T162">
        <v>0</v>
      </c>
      <c r="U162">
        <v>8.65</v>
      </c>
      <c r="V162">
        <v>0</v>
      </c>
      <c r="W162">
        <v>0.18</v>
      </c>
      <c r="X162">
        <v>6.7</v>
      </c>
      <c r="Y162">
        <v>2.61</v>
      </c>
      <c r="Z162">
        <v>1.73</v>
      </c>
      <c r="AA162">
        <v>51.92</v>
      </c>
      <c r="AB162">
        <v>3.23</v>
      </c>
      <c r="AC162">
        <v>1.73</v>
      </c>
      <c r="AD162">
        <v>32.880000000000003</v>
      </c>
      <c r="AE162">
        <v>5</v>
      </c>
      <c r="AF162">
        <v>0</v>
      </c>
      <c r="AG162">
        <v>6.92</v>
      </c>
      <c r="AH162">
        <v>0</v>
      </c>
      <c r="AI162">
        <v>0</v>
      </c>
      <c r="AJ162">
        <v>78.95</v>
      </c>
      <c r="AK162">
        <v>0</v>
      </c>
      <c r="AL162">
        <v>19.04</v>
      </c>
      <c r="AM162">
        <v>0</v>
      </c>
      <c r="AN162">
        <v>0</v>
      </c>
      <c r="AO162">
        <v>13.85</v>
      </c>
      <c r="AP162">
        <v>0</v>
      </c>
      <c r="AQ162">
        <v>0</v>
      </c>
      <c r="AR162">
        <v>3.46</v>
      </c>
      <c r="AS162">
        <v>0</v>
      </c>
      <c r="AT162" t="s">
        <v>85</v>
      </c>
      <c r="AU162">
        <v>75</v>
      </c>
      <c r="AV162">
        <v>1.73</v>
      </c>
      <c r="AW162">
        <v>32.880000000000003</v>
      </c>
      <c r="AX162">
        <v>5</v>
      </c>
      <c r="AY162">
        <v>1.73</v>
      </c>
      <c r="AZ162">
        <v>19.04</v>
      </c>
      <c r="BA162">
        <v>8.33</v>
      </c>
      <c r="BB162">
        <v>0</v>
      </c>
      <c r="BC162">
        <v>3.46</v>
      </c>
      <c r="BD162">
        <v>0</v>
      </c>
      <c r="BE162">
        <v>0</v>
      </c>
      <c r="BF162">
        <v>81.819999999999993</v>
      </c>
      <c r="BG162">
        <v>3.46</v>
      </c>
      <c r="BH162">
        <v>53.65</v>
      </c>
      <c r="BI162">
        <v>6.06</v>
      </c>
      <c r="BJ162">
        <v>0</v>
      </c>
      <c r="BK162">
        <v>25.96</v>
      </c>
      <c r="BL162">
        <v>0</v>
      </c>
      <c r="BM162">
        <v>0</v>
      </c>
      <c r="BN162">
        <v>1.73</v>
      </c>
      <c r="BO162">
        <v>0</v>
      </c>
      <c r="BP162" t="s">
        <v>85</v>
      </c>
      <c r="BQ162">
        <v>93.33</v>
      </c>
      <c r="BR162">
        <v>0</v>
      </c>
      <c r="BS162">
        <v>85.29</v>
      </c>
      <c r="BT162">
        <v>0.85299999999999998</v>
      </c>
    </row>
    <row r="163" spans="1:72" x14ac:dyDescent="0.35">
      <c r="A163">
        <v>15</v>
      </c>
      <c r="B163" t="s">
        <v>52</v>
      </c>
      <c r="C163">
        <v>10</v>
      </c>
      <c r="D163">
        <v>6.51</v>
      </c>
      <c r="E163">
        <v>10</v>
      </c>
      <c r="F163">
        <v>0</v>
      </c>
      <c r="G163">
        <v>0</v>
      </c>
      <c r="H163">
        <v>10</v>
      </c>
      <c r="I163">
        <v>20</v>
      </c>
      <c r="J163">
        <v>1</v>
      </c>
      <c r="K163">
        <v>10.24</v>
      </c>
      <c r="L163">
        <v>69.64</v>
      </c>
      <c r="M163">
        <v>12.82</v>
      </c>
      <c r="N163">
        <v>9.2200000000000006</v>
      </c>
      <c r="O163">
        <v>47.11</v>
      </c>
      <c r="P163">
        <v>16.36</v>
      </c>
      <c r="Q163">
        <v>9.2200000000000006</v>
      </c>
      <c r="R163">
        <v>31.75</v>
      </c>
      <c r="S163">
        <v>22.5</v>
      </c>
      <c r="T163">
        <v>0</v>
      </c>
      <c r="U163">
        <v>2.0499999999999998</v>
      </c>
      <c r="V163">
        <v>0</v>
      </c>
      <c r="W163">
        <v>0.65</v>
      </c>
      <c r="X163">
        <v>3.36</v>
      </c>
      <c r="Y163">
        <v>16.16</v>
      </c>
      <c r="Z163">
        <v>6.15</v>
      </c>
      <c r="AA163">
        <v>22.53</v>
      </c>
      <c r="AB163">
        <v>21.43</v>
      </c>
      <c r="AC163">
        <v>5.12</v>
      </c>
      <c r="AD163">
        <v>9.2200000000000006</v>
      </c>
      <c r="AE163">
        <v>35.71</v>
      </c>
      <c r="AF163">
        <v>0</v>
      </c>
      <c r="AG163">
        <v>1.02</v>
      </c>
      <c r="AH163">
        <v>0</v>
      </c>
      <c r="AI163">
        <v>0</v>
      </c>
      <c r="AJ163">
        <v>88.89</v>
      </c>
      <c r="AK163">
        <v>1.02</v>
      </c>
      <c r="AL163">
        <v>7.17</v>
      </c>
      <c r="AM163">
        <v>12.5</v>
      </c>
      <c r="AN163">
        <v>1.02</v>
      </c>
      <c r="AO163">
        <v>4.0999999999999996</v>
      </c>
      <c r="AP163">
        <v>20</v>
      </c>
      <c r="AQ163">
        <v>0</v>
      </c>
      <c r="AR163">
        <v>0</v>
      </c>
      <c r="AS163" t="s">
        <v>85</v>
      </c>
      <c r="AT163">
        <v>0</v>
      </c>
      <c r="AU163">
        <v>100</v>
      </c>
      <c r="AV163">
        <v>5.12</v>
      </c>
      <c r="AW163">
        <v>15.36</v>
      </c>
      <c r="AX163">
        <v>25</v>
      </c>
      <c r="AY163">
        <v>4.0999999999999996</v>
      </c>
      <c r="AZ163">
        <v>5.12</v>
      </c>
      <c r="BA163">
        <v>44.44</v>
      </c>
      <c r="BB163">
        <v>0</v>
      </c>
      <c r="BC163">
        <v>1.02</v>
      </c>
      <c r="BD163">
        <v>0</v>
      </c>
      <c r="BE163">
        <v>0</v>
      </c>
      <c r="BF163">
        <v>80</v>
      </c>
      <c r="BG163">
        <v>1.02</v>
      </c>
      <c r="BH163">
        <v>44.04</v>
      </c>
      <c r="BI163">
        <v>2.27</v>
      </c>
      <c r="BJ163">
        <v>1.02</v>
      </c>
      <c r="BK163">
        <v>22.53</v>
      </c>
      <c r="BL163">
        <v>4.3499999999999996</v>
      </c>
      <c r="BM163">
        <v>0</v>
      </c>
      <c r="BN163">
        <v>1.02</v>
      </c>
      <c r="BO163">
        <v>0</v>
      </c>
      <c r="BP163">
        <v>0</v>
      </c>
      <c r="BQ163">
        <v>95.45</v>
      </c>
      <c r="BR163">
        <v>0</v>
      </c>
      <c r="BS163">
        <v>93.55</v>
      </c>
      <c r="BT163">
        <v>0.93500000000000005</v>
      </c>
    </row>
    <row r="164" spans="1:72" x14ac:dyDescent="0.35">
      <c r="A164">
        <v>16</v>
      </c>
      <c r="B164" t="s">
        <v>53</v>
      </c>
      <c r="C164">
        <v>10</v>
      </c>
      <c r="D164">
        <v>4.54</v>
      </c>
      <c r="E164">
        <v>4</v>
      </c>
      <c r="F164">
        <v>4</v>
      </c>
      <c r="G164">
        <v>2</v>
      </c>
      <c r="H164">
        <v>3</v>
      </c>
      <c r="I164">
        <v>10</v>
      </c>
      <c r="J164">
        <v>0.5</v>
      </c>
      <c r="K164">
        <v>27.68</v>
      </c>
      <c r="L164">
        <v>89.19</v>
      </c>
      <c r="M164">
        <v>23.68</v>
      </c>
      <c r="N164">
        <v>26.14</v>
      </c>
      <c r="O164">
        <v>79.97</v>
      </c>
      <c r="P164">
        <v>24.64</v>
      </c>
      <c r="Q164">
        <v>21.53</v>
      </c>
      <c r="R164">
        <v>63.05</v>
      </c>
      <c r="S164">
        <v>25.45</v>
      </c>
      <c r="T164">
        <v>1.54</v>
      </c>
      <c r="U164">
        <v>12.3</v>
      </c>
      <c r="V164">
        <v>11.11</v>
      </c>
      <c r="W164">
        <v>0.91</v>
      </c>
      <c r="X164">
        <v>5.85</v>
      </c>
      <c r="Y164">
        <v>13.42</v>
      </c>
      <c r="Z164">
        <v>9.23</v>
      </c>
      <c r="AA164">
        <v>47.67</v>
      </c>
      <c r="AB164">
        <v>16.22</v>
      </c>
      <c r="AC164">
        <v>7.69</v>
      </c>
      <c r="AD164">
        <v>38.450000000000003</v>
      </c>
      <c r="AE164">
        <v>16.670000000000002</v>
      </c>
      <c r="AF164">
        <v>0</v>
      </c>
      <c r="AG164">
        <v>6.15</v>
      </c>
      <c r="AH164">
        <v>0</v>
      </c>
      <c r="AI164">
        <v>0</v>
      </c>
      <c r="AJ164">
        <v>84</v>
      </c>
      <c r="AK164">
        <v>1.54</v>
      </c>
      <c r="AL164">
        <v>19.989999999999998</v>
      </c>
      <c r="AM164">
        <v>7.14</v>
      </c>
      <c r="AN164">
        <v>1.54</v>
      </c>
      <c r="AO164">
        <v>18.45</v>
      </c>
      <c r="AP164">
        <v>7.69</v>
      </c>
      <c r="AQ164">
        <v>0</v>
      </c>
      <c r="AR164">
        <v>3.08</v>
      </c>
      <c r="AS164">
        <v>0</v>
      </c>
      <c r="AT164">
        <v>0</v>
      </c>
      <c r="AU164">
        <v>83.33</v>
      </c>
      <c r="AV164">
        <v>7.69</v>
      </c>
      <c r="AW164">
        <v>27.68</v>
      </c>
      <c r="AX164">
        <v>21.74</v>
      </c>
      <c r="AY164">
        <v>6.15</v>
      </c>
      <c r="AZ164">
        <v>19.989999999999998</v>
      </c>
      <c r="BA164">
        <v>23.53</v>
      </c>
      <c r="BB164">
        <v>0</v>
      </c>
      <c r="BC164">
        <v>3.08</v>
      </c>
      <c r="BD164">
        <v>0</v>
      </c>
      <c r="BE164">
        <v>0</v>
      </c>
      <c r="BF164">
        <v>84.62</v>
      </c>
      <c r="BG164">
        <v>12.3</v>
      </c>
      <c r="BH164">
        <v>39.979999999999997</v>
      </c>
      <c r="BI164">
        <v>23.53</v>
      </c>
      <c r="BJ164">
        <v>7.69</v>
      </c>
      <c r="BK164">
        <v>24.6</v>
      </c>
      <c r="BL164">
        <v>23.81</v>
      </c>
      <c r="BM164">
        <v>1.54</v>
      </c>
      <c r="BN164">
        <v>6.15</v>
      </c>
      <c r="BO164">
        <v>20</v>
      </c>
      <c r="BP164">
        <v>20</v>
      </c>
      <c r="BQ164">
        <v>75</v>
      </c>
      <c r="BR164">
        <v>7.14</v>
      </c>
      <c r="BS164">
        <v>80.489999999999995</v>
      </c>
      <c r="BT164">
        <v>0.876</v>
      </c>
    </row>
    <row r="165" spans="1:72" x14ac:dyDescent="0.35">
      <c r="A165">
        <v>17</v>
      </c>
      <c r="B165" t="s">
        <v>54</v>
      </c>
      <c r="C165">
        <v>10</v>
      </c>
      <c r="D165">
        <v>5.16</v>
      </c>
      <c r="E165">
        <v>2</v>
      </c>
      <c r="F165">
        <v>7</v>
      </c>
      <c r="G165">
        <v>1</v>
      </c>
      <c r="H165">
        <v>2</v>
      </c>
      <c r="I165">
        <v>5</v>
      </c>
      <c r="J165">
        <v>0.25</v>
      </c>
      <c r="K165">
        <v>6.84</v>
      </c>
      <c r="L165">
        <v>58.14</v>
      </c>
      <c r="M165">
        <v>10.53</v>
      </c>
      <c r="N165">
        <v>5.7</v>
      </c>
      <c r="O165">
        <v>46.74</v>
      </c>
      <c r="P165">
        <v>10.87</v>
      </c>
      <c r="Q165">
        <v>4.5599999999999996</v>
      </c>
      <c r="R165">
        <v>34.200000000000003</v>
      </c>
      <c r="S165">
        <v>11.76</v>
      </c>
      <c r="T165">
        <v>0</v>
      </c>
      <c r="U165">
        <v>4.5599999999999996</v>
      </c>
      <c r="V165">
        <v>0</v>
      </c>
      <c r="W165">
        <v>0.21</v>
      </c>
      <c r="X165">
        <v>4.92</v>
      </c>
      <c r="Y165">
        <v>4.13</v>
      </c>
      <c r="Z165">
        <v>3.42</v>
      </c>
      <c r="AA165">
        <v>33.06</v>
      </c>
      <c r="AB165">
        <v>9.3800000000000008</v>
      </c>
      <c r="AC165">
        <v>1.1399999999999999</v>
      </c>
      <c r="AD165">
        <v>22.8</v>
      </c>
      <c r="AE165">
        <v>4.76</v>
      </c>
      <c r="AF165">
        <v>0</v>
      </c>
      <c r="AG165">
        <v>4.5599999999999996</v>
      </c>
      <c r="AH165">
        <v>0</v>
      </c>
      <c r="AI165">
        <v>0</v>
      </c>
      <c r="AJ165">
        <v>80</v>
      </c>
      <c r="AK165">
        <v>0</v>
      </c>
      <c r="AL165">
        <v>15.96</v>
      </c>
      <c r="AM165">
        <v>0</v>
      </c>
      <c r="AN165">
        <v>0</v>
      </c>
      <c r="AO165">
        <v>13.68</v>
      </c>
      <c r="AP165">
        <v>0</v>
      </c>
      <c r="AQ165">
        <v>0</v>
      </c>
      <c r="AR165">
        <v>3.42</v>
      </c>
      <c r="AS165">
        <v>0</v>
      </c>
      <c r="AT165" t="s">
        <v>85</v>
      </c>
      <c r="AU165">
        <v>75</v>
      </c>
      <c r="AV165">
        <v>3.42</v>
      </c>
      <c r="AW165">
        <v>17.100000000000001</v>
      </c>
      <c r="AX165">
        <v>16.670000000000002</v>
      </c>
      <c r="AY165">
        <v>1.1399999999999999</v>
      </c>
      <c r="AZ165">
        <v>9.1199999999999992</v>
      </c>
      <c r="BA165">
        <v>11.11</v>
      </c>
      <c r="BB165">
        <v>0</v>
      </c>
      <c r="BC165">
        <v>1.1399999999999999</v>
      </c>
      <c r="BD165">
        <v>0</v>
      </c>
      <c r="BE165">
        <v>0</v>
      </c>
      <c r="BF165">
        <v>87.5</v>
      </c>
      <c r="BG165">
        <v>3.42</v>
      </c>
      <c r="BH165">
        <v>22.8</v>
      </c>
      <c r="BI165">
        <v>13.04</v>
      </c>
      <c r="BJ165">
        <v>3.42</v>
      </c>
      <c r="BK165">
        <v>11.4</v>
      </c>
      <c r="BL165">
        <v>23.08</v>
      </c>
      <c r="BM165">
        <v>0</v>
      </c>
      <c r="BN165">
        <v>0</v>
      </c>
      <c r="BO165" t="s">
        <v>85</v>
      </c>
      <c r="BP165">
        <v>0</v>
      </c>
      <c r="BQ165">
        <v>100</v>
      </c>
      <c r="BR165">
        <v>0</v>
      </c>
      <c r="BS165">
        <v>86.67</v>
      </c>
      <c r="BT165">
        <v>0.86699999999999999</v>
      </c>
    </row>
    <row r="166" spans="1:72" x14ac:dyDescent="0.35">
      <c r="A166">
        <v>18</v>
      </c>
      <c r="B166" t="s">
        <v>55</v>
      </c>
      <c r="C166">
        <v>10</v>
      </c>
      <c r="D166">
        <v>7.36</v>
      </c>
      <c r="E166">
        <v>4</v>
      </c>
      <c r="F166">
        <v>6</v>
      </c>
      <c r="G166">
        <v>0</v>
      </c>
      <c r="H166">
        <v>4</v>
      </c>
      <c r="I166">
        <v>8</v>
      </c>
      <c r="J166">
        <v>0.4</v>
      </c>
      <c r="K166">
        <v>11.83</v>
      </c>
      <c r="L166">
        <v>89.2</v>
      </c>
      <c r="M166">
        <v>11.71</v>
      </c>
      <c r="N166">
        <v>11.83</v>
      </c>
      <c r="O166">
        <v>66.45</v>
      </c>
      <c r="P166">
        <v>15.12</v>
      </c>
      <c r="Q166">
        <v>10.01</v>
      </c>
      <c r="R166">
        <v>50.97</v>
      </c>
      <c r="S166">
        <v>16.420000000000002</v>
      </c>
      <c r="T166">
        <v>0.91</v>
      </c>
      <c r="U166">
        <v>8.19</v>
      </c>
      <c r="V166">
        <v>10</v>
      </c>
      <c r="W166">
        <v>0.82</v>
      </c>
      <c r="X166">
        <v>5.46</v>
      </c>
      <c r="Y166">
        <v>13.11</v>
      </c>
      <c r="Z166">
        <v>6.37</v>
      </c>
      <c r="AA166">
        <v>40.049999999999997</v>
      </c>
      <c r="AB166">
        <v>13.73</v>
      </c>
      <c r="AC166">
        <v>5.46</v>
      </c>
      <c r="AD166">
        <v>25.49</v>
      </c>
      <c r="AE166">
        <v>17.649999999999999</v>
      </c>
      <c r="AF166">
        <v>0.91</v>
      </c>
      <c r="AG166">
        <v>7.28</v>
      </c>
      <c r="AH166">
        <v>11.11</v>
      </c>
      <c r="AI166">
        <v>16.670000000000002</v>
      </c>
      <c r="AJ166">
        <v>71.430000000000007</v>
      </c>
      <c r="AK166">
        <v>4.55</v>
      </c>
      <c r="AL166">
        <v>17.29</v>
      </c>
      <c r="AM166">
        <v>20.83</v>
      </c>
      <c r="AN166">
        <v>3.64</v>
      </c>
      <c r="AO166">
        <v>13.65</v>
      </c>
      <c r="AP166">
        <v>21.05</v>
      </c>
      <c r="AQ166">
        <v>0.91</v>
      </c>
      <c r="AR166">
        <v>4.55</v>
      </c>
      <c r="AS166">
        <v>16.670000000000002</v>
      </c>
      <c r="AT166">
        <v>25</v>
      </c>
      <c r="AU166">
        <v>66.67</v>
      </c>
      <c r="AV166">
        <v>1.82</v>
      </c>
      <c r="AW166">
        <v>22.76</v>
      </c>
      <c r="AX166">
        <v>7.41</v>
      </c>
      <c r="AY166">
        <v>1.82</v>
      </c>
      <c r="AZ166">
        <v>11.83</v>
      </c>
      <c r="BA166">
        <v>13.33</v>
      </c>
      <c r="BB166">
        <v>0</v>
      </c>
      <c r="BC166">
        <v>2.73</v>
      </c>
      <c r="BD166">
        <v>0</v>
      </c>
      <c r="BE166">
        <v>0</v>
      </c>
      <c r="BF166">
        <v>76.92</v>
      </c>
      <c r="BG166">
        <v>2.73</v>
      </c>
      <c r="BH166">
        <v>47.33</v>
      </c>
      <c r="BI166">
        <v>5.45</v>
      </c>
      <c r="BJ166">
        <v>2.73</v>
      </c>
      <c r="BK166">
        <v>24.58</v>
      </c>
      <c r="BL166">
        <v>10</v>
      </c>
      <c r="BM166">
        <v>0</v>
      </c>
      <c r="BN166">
        <v>0</v>
      </c>
      <c r="BO166" t="s">
        <v>85</v>
      </c>
      <c r="BP166">
        <v>0</v>
      </c>
      <c r="BQ166">
        <v>100</v>
      </c>
      <c r="BR166">
        <v>9.09</v>
      </c>
      <c r="BS166">
        <v>83.93</v>
      </c>
      <c r="BT166">
        <v>0.93</v>
      </c>
    </row>
    <row r="167" spans="1:72" x14ac:dyDescent="0.35">
      <c r="A167">
        <v>19</v>
      </c>
      <c r="B167" t="s">
        <v>56</v>
      </c>
      <c r="C167">
        <v>10</v>
      </c>
      <c r="D167">
        <v>4.5199999999999996</v>
      </c>
      <c r="E167">
        <v>8</v>
      </c>
      <c r="F167">
        <v>1</v>
      </c>
      <c r="G167">
        <v>1</v>
      </c>
      <c r="H167">
        <v>7</v>
      </c>
      <c r="I167">
        <v>17</v>
      </c>
      <c r="J167">
        <v>0.85</v>
      </c>
      <c r="K167">
        <v>18.649999999999999</v>
      </c>
      <c r="L167">
        <v>79.27</v>
      </c>
      <c r="M167">
        <v>19.05</v>
      </c>
      <c r="N167">
        <v>18.649999999999999</v>
      </c>
      <c r="O167">
        <v>59.07</v>
      </c>
      <c r="P167">
        <v>24</v>
      </c>
      <c r="Q167">
        <v>15.54</v>
      </c>
      <c r="R167">
        <v>41.97</v>
      </c>
      <c r="S167">
        <v>27.03</v>
      </c>
      <c r="T167">
        <v>1.55</v>
      </c>
      <c r="U167">
        <v>3.11</v>
      </c>
      <c r="V167">
        <v>33.33</v>
      </c>
      <c r="W167">
        <v>1.1499999999999999</v>
      </c>
      <c r="X167">
        <v>4.8899999999999997</v>
      </c>
      <c r="Y167">
        <v>19.010000000000002</v>
      </c>
      <c r="Z167">
        <v>9.33</v>
      </c>
      <c r="AA167">
        <v>45.08</v>
      </c>
      <c r="AB167">
        <v>17.14</v>
      </c>
      <c r="AC167">
        <v>9.33</v>
      </c>
      <c r="AD167">
        <v>24.87</v>
      </c>
      <c r="AE167">
        <v>27.27</v>
      </c>
      <c r="AF167">
        <v>1.55</v>
      </c>
      <c r="AG167">
        <v>1.55</v>
      </c>
      <c r="AH167">
        <v>50</v>
      </c>
      <c r="AI167">
        <v>16.670000000000002</v>
      </c>
      <c r="AJ167">
        <v>93.75</v>
      </c>
      <c r="AK167">
        <v>7.77</v>
      </c>
      <c r="AL167">
        <v>18.649999999999999</v>
      </c>
      <c r="AM167">
        <v>29.41</v>
      </c>
      <c r="AN167">
        <v>7.77</v>
      </c>
      <c r="AO167">
        <v>13.99</v>
      </c>
      <c r="AP167">
        <v>35.71</v>
      </c>
      <c r="AQ167">
        <v>1.55</v>
      </c>
      <c r="AR167">
        <v>0</v>
      </c>
      <c r="AS167">
        <v>100</v>
      </c>
      <c r="AT167">
        <v>20</v>
      </c>
      <c r="AU167">
        <v>100</v>
      </c>
      <c r="AV167">
        <v>1.55</v>
      </c>
      <c r="AW167">
        <v>26.42</v>
      </c>
      <c r="AX167">
        <v>5.56</v>
      </c>
      <c r="AY167">
        <v>1.55</v>
      </c>
      <c r="AZ167">
        <v>10.88</v>
      </c>
      <c r="BA167">
        <v>12.5</v>
      </c>
      <c r="BB167">
        <v>0</v>
      </c>
      <c r="BC167">
        <v>1.55</v>
      </c>
      <c r="BD167">
        <v>0</v>
      </c>
      <c r="BE167">
        <v>0</v>
      </c>
      <c r="BF167">
        <v>85.71</v>
      </c>
      <c r="BG167">
        <v>4.66</v>
      </c>
      <c r="BH167">
        <v>34.200000000000003</v>
      </c>
      <c r="BI167">
        <v>12</v>
      </c>
      <c r="BJ167">
        <v>1.55</v>
      </c>
      <c r="BK167">
        <v>17.100000000000001</v>
      </c>
      <c r="BL167">
        <v>8.33</v>
      </c>
      <c r="BM167">
        <v>0</v>
      </c>
      <c r="BN167">
        <v>1.55</v>
      </c>
      <c r="BO167">
        <v>0</v>
      </c>
      <c r="BP167">
        <v>0</v>
      </c>
      <c r="BQ167">
        <v>90.91</v>
      </c>
      <c r="BR167">
        <v>10</v>
      </c>
      <c r="BS167">
        <v>92.59</v>
      </c>
      <c r="BT167">
        <v>1.026</v>
      </c>
    </row>
    <row r="168" spans="1:72" x14ac:dyDescent="0.35">
      <c r="A168">
        <v>20</v>
      </c>
      <c r="B168" t="s">
        <v>57</v>
      </c>
      <c r="C168">
        <v>10</v>
      </c>
      <c r="D168">
        <v>4.1100000000000003</v>
      </c>
      <c r="E168">
        <v>4</v>
      </c>
      <c r="F168">
        <v>4</v>
      </c>
      <c r="G168">
        <v>2</v>
      </c>
      <c r="H168">
        <v>4</v>
      </c>
      <c r="I168">
        <v>10</v>
      </c>
      <c r="J168">
        <v>0.5</v>
      </c>
      <c r="K168">
        <v>18.63</v>
      </c>
      <c r="L168">
        <v>91.72</v>
      </c>
      <c r="M168">
        <v>16.88</v>
      </c>
      <c r="N168">
        <v>17.2</v>
      </c>
      <c r="O168">
        <v>74.52</v>
      </c>
      <c r="P168">
        <v>18.75</v>
      </c>
      <c r="Q168">
        <v>14.33</v>
      </c>
      <c r="R168">
        <v>45.86</v>
      </c>
      <c r="S168">
        <v>23.81</v>
      </c>
      <c r="T168">
        <v>1.43</v>
      </c>
      <c r="U168">
        <v>4.3</v>
      </c>
      <c r="V168">
        <v>25</v>
      </c>
      <c r="W168">
        <v>1.61</v>
      </c>
      <c r="X168">
        <v>7.52</v>
      </c>
      <c r="Y168">
        <v>17.649999999999999</v>
      </c>
      <c r="Z168">
        <v>11.46</v>
      </c>
      <c r="AA168">
        <v>60.19</v>
      </c>
      <c r="AB168">
        <v>16</v>
      </c>
      <c r="AC168">
        <v>10.029999999999999</v>
      </c>
      <c r="AD168">
        <v>32.96</v>
      </c>
      <c r="AE168">
        <v>23.33</v>
      </c>
      <c r="AF168">
        <v>1.43</v>
      </c>
      <c r="AG168">
        <v>2.87</v>
      </c>
      <c r="AH168">
        <v>33.33</v>
      </c>
      <c r="AI168">
        <v>14.29</v>
      </c>
      <c r="AJ168">
        <v>91.3</v>
      </c>
      <c r="AK168">
        <v>10.029999999999999</v>
      </c>
      <c r="AL168">
        <v>27.23</v>
      </c>
      <c r="AM168">
        <v>26.92</v>
      </c>
      <c r="AN168">
        <v>8.6</v>
      </c>
      <c r="AO168">
        <v>14.33</v>
      </c>
      <c r="AP168">
        <v>37.5</v>
      </c>
      <c r="AQ168">
        <v>1.43</v>
      </c>
      <c r="AR168">
        <v>1.43</v>
      </c>
      <c r="AS168">
        <v>50</v>
      </c>
      <c r="AT168">
        <v>16.670000000000002</v>
      </c>
      <c r="AU168">
        <v>90</v>
      </c>
      <c r="AV168">
        <v>1.43</v>
      </c>
      <c r="AW168">
        <v>32.96</v>
      </c>
      <c r="AX168">
        <v>4.17</v>
      </c>
      <c r="AY168">
        <v>1.43</v>
      </c>
      <c r="AZ168">
        <v>18.63</v>
      </c>
      <c r="BA168">
        <v>7.14</v>
      </c>
      <c r="BB168">
        <v>0</v>
      </c>
      <c r="BC168">
        <v>1.43</v>
      </c>
      <c r="BD168">
        <v>0</v>
      </c>
      <c r="BE168">
        <v>0</v>
      </c>
      <c r="BF168">
        <v>92.31</v>
      </c>
      <c r="BG168">
        <v>2.87</v>
      </c>
      <c r="BH168">
        <v>30.1</v>
      </c>
      <c r="BI168">
        <v>8.6999999999999993</v>
      </c>
      <c r="BJ168">
        <v>1.43</v>
      </c>
      <c r="BK168">
        <v>12.9</v>
      </c>
      <c r="BL168">
        <v>10</v>
      </c>
      <c r="BM168">
        <v>0</v>
      </c>
      <c r="BN168">
        <v>1.43</v>
      </c>
      <c r="BO168">
        <v>0</v>
      </c>
      <c r="BP168">
        <v>0</v>
      </c>
      <c r="BQ168">
        <v>88.89</v>
      </c>
      <c r="BR168">
        <v>10</v>
      </c>
      <c r="BS168">
        <v>90.63</v>
      </c>
      <c r="BT168">
        <v>1.006</v>
      </c>
    </row>
    <row r="169" spans="1:72" x14ac:dyDescent="0.35">
      <c r="A169">
        <v>21</v>
      </c>
      <c r="B169" t="s">
        <v>58</v>
      </c>
      <c r="C169">
        <v>10</v>
      </c>
      <c r="D169">
        <v>4.09</v>
      </c>
      <c r="E169">
        <v>7</v>
      </c>
      <c r="F169">
        <v>1</v>
      </c>
      <c r="G169">
        <v>2</v>
      </c>
      <c r="H169">
        <v>6</v>
      </c>
      <c r="I169">
        <v>16</v>
      </c>
      <c r="J169">
        <v>0.8</v>
      </c>
      <c r="K169">
        <v>17.34</v>
      </c>
      <c r="L169">
        <v>65.010000000000005</v>
      </c>
      <c r="M169">
        <v>21.05</v>
      </c>
      <c r="N169">
        <v>15.89</v>
      </c>
      <c r="O169">
        <v>47.67</v>
      </c>
      <c r="P169">
        <v>25</v>
      </c>
      <c r="Q169">
        <v>15.89</v>
      </c>
      <c r="R169">
        <v>28.89</v>
      </c>
      <c r="S169">
        <v>35.479999999999997</v>
      </c>
      <c r="T169">
        <v>0</v>
      </c>
      <c r="U169">
        <v>2.89</v>
      </c>
      <c r="V169">
        <v>0</v>
      </c>
      <c r="W169">
        <v>0.84</v>
      </c>
      <c r="X169">
        <v>3.76</v>
      </c>
      <c r="Y169">
        <v>18.329999999999998</v>
      </c>
      <c r="Z169">
        <v>8.67</v>
      </c>
      <c r="AA169">
        <v>30.34</v>
      </c>
      <c r="AB169">
        <v>22.22</v>
      </c>
      <c r="AC169">
        <v>8.67</v>
      </c>
      <c r="AD169">
        <v>14.45</v>
      </c>
      <c r="AE169">
        <v>37.5</v>
      </c>
      <c r="AF169">
        <v>0</v>
      </c>
      <c r="AG169">
        <v>2.89</v>
      </c>
      <c r="AH169">
        <v>0</v>
      </c>
      <c r="AI169">
        <v>0</v>
      </c>
      <c r="AJ169">
        <v>80</v>
      </c>
      <c r="AK169">
        <v>2.89</v>
      </c>
      <c r="AL169">
        <v>10.11</v>
      </c>
      <c r="AM169">
        <v>22.22</v>
      </c>
      <c r="AN169">
        <v>2.89</v>
      </c>
      <c r="AO169">
        <v>2.89</v>
      </c>
      <c r="AP169">
        <v>50</v>
      </c>
      <c r="AQ169">
        <v>0</v>
      </c>
      <c r="AR169">
        <v>1.44</v>
      </c>
      <c r="AS169">
        <v>0</v>
      </c>
      <c r="AT169">
        <v>0</v>
      </c>
      <c r="AU169">
        <v>50</v>
      </c>
      <c r="AV169">
        <v>5.78</v>
      </c>
      <c r="AW169">
        <v>20.22</v>
      </c>
      <c r="AX169">
        <v>22.22</v>
      </c>
      <c r="AY169">
        <v>5.78</v>
      </c>
      <c r="AZ169">
        <v>11.56</v>
      </c>
      <c r="BA169">
        <v>33.33</v>
      </c>
      <c r="BB169">
        <v>0</v>
      </c>
      <c r="BC169">
        <v>1.44</v>
      </c>
      <c r="BD169">
        <v>0</v>
      </c>
      <c r="BE169">
        <v>0</v>
      </c>
      <c r="BF169">
        <v>87.5</v>
      </c>
      <c r="BG169">
        <v>4.33</v>
      </c>
      <c r="BH169">
        <v>34.67</v>
      </c>
      <c r="BI169">
        <v>11.11</v>
      </c>
      <c r="BJ169">
        <v>2.89</v>
      </c>
      <c r="BK169">
        <v>14.45</v>
      </c>
      <c r="BL169">
        <v>16.670000000000002</v>
      </c>
      <c r="BM169">
        <v>0</v>
      </c>
      <c r="BN169">
        <v>0</v>
      </c>
      <c r="BO169" t="s">
        <v>85</v>
      </c>
      <c r="BP169">
        <v>0</v>
      </c>
      <c r="BQ169">
        <v>100</v>
      </c>
      <c r="BR169">
        <v>0</v>
      </c>
      <c r="BS169">
        <v>90</v>
      </c>
      <c r="BT169">
        <v>0.9</v>
      </c>
    </row>
    <row r="170" spans="1:72" x14ac:dyDescent="0.35">
      <c r="A170">
        <v>22</v>
      </c>
      <c r="B170" t="s">
        <v>59</v>
      </c>
      <c r="C170">
        <v>10</v>
      </c>
      <c r="D170">
        <v>4.21</v>
      </c>
      <c r="E170">
        <v>2</v>
      </c>
      <c r="F170">
        <v>5</v>
      </c>
      <c r="G170">
        <v>3</v>
      </c>
      <c r="H170">
        <v>1</v>
      </c>
      <c r="I170">
        <v>7</v>
      </c>
      <c r="J170">
        <v>0.35</v>
      </c>
      <c r="K170">
        <v>13.77</v>
      </c>
      <c r="L170">
        <v>117.06</v>
      </c>
      <c r="M170">
        <v>10.53</v>
      </c>
      <c r="N170">
        <v>13.77</v>
      </c>
      <c r="O170">
        <v>84.01</v>
      </c>
      <c r="P170">
        <v>14.08</v>
      </c>
      <c r="Q170">
        <v>9.64</v>
      </c>
      <c r="R170">
        <v>61.97</v>
      </c>
      <c r="S170">
        <v>13.46</v>
      </c>
      <c r="T170">
        <v>0</v>
      </c>
      <c r="U170">
        <v>11.02</v>
      </c>
      <c r="V170">
        <v>0</v>
      </c>
      <c r="W170">
        <v>0.41</v>
      </c>
      <c r="X170">
        <v>7.5</v>
      </c>
      <c r="Y170">
        <v>5.13</v>
      </c>
      <c r="Z170">
        <v>5.51</v>
      </c>
      <c r="AA170">
        <v>55.09</v>
      </c>
      <c r="AB170">
        <v>9.09</v>
      </c>
      <c r="AC170">
        <v>1.38</v>
      </c>
      <c r="AD170">
        <v>35.81</v>
      </c>
      <c r="AE170">
        <v>3.7</v>
      </c>
      <c r="AF170">
        <v>0</v>
      </c>
      <c r="AG170">
        <v>9.64</v>
      </c>
      <c r="AH170">
        <v>0</v>
      </c>
      <c r="AI170">
        <v>0</v>
      </c>
      <c r="AJ170">
        <v>73.08</v>
      </c>
      <c r="AK170">
        <v>0</v>
      </c>
      <c r="AL170">
        <v>23.41</v>
      </c>
      <c r="AM170">
        <v>0</v>
      </c>
      <c r="AN170">
        <v>0</v>
      </c>
      <c r="AO170">
        <v>16.53</v>
      </c>
      <c r="AP170">
        <v>0</v>
      </c>
      <c r="AQ170">
        <v>0</v>
      </c>
      <c r="AR170">
        <v>6.89</v>
      </c>
      <c r="AS170">
        <v>0</v>
      </c>
      <c r="AT170" t="s">
        <v>85</v>
      </c>
      <c r="AU170">
        <v>58.33</v>
      </c>
      <c r="AV170">
        <v>5.51</v>
      </c>
      <c r="AW170">
        <v>31.68</v>
      </c>
      <c r="AX170">
        <v>14.81</v>
      </c>
      <c r="AY170">
        <v>1.38</v>
      </c>
      <c r="AZ170">
        <v>19.28</v>
      </c>
      <c r="BA170">
        <v>6.67</v>
      </c>
      <c r="BB170">
        <v>0</v>
      </c>
      <c r="BC170">
        <v>2.75</v>
      </c>
      <c r="BD170">
        <v>0</v>
      </c>
      <c r="BE170">
        <v>0</v>
      </c>
      <c r="BF170">
        <v>85.71</v>
      </c>
      <c r="BG170">
        <v>0</v>
      </c>
      <c r="BH170">
        <v>57.84</v>
      </c>
      <c r="BI170">
        <v>0</v>
      </c>
      <c r="BJ170">
        <v>0</v>
      </c>
      <c r="BK170">
        <v>24.79</v>
      </c>
      <c r="BL170">
        <v>0</v>
      </c>
      <c r="BM170">
        <v>0</v>
      </c>
      <c r="BN170">
        <v>1.38</v>
      </c>
      <c r="BO170">
        <v>0</v>
      </c>
      <c r="BP170" t="s">
        <v>85</v>
      </c>
      <c r="BQ170">
        <v>94.44</v>
      </c>
      <c r="BR170">
        <v>0</v>
      </c>
      <c r="BS170">
        <v>82.22</v>
      </c>
      <c r="BT170">
        <v>0.82199999999999995</v>
      </c>
    </row>
    <row r="171" spans="1:72" x14ac:dyDescent="0.35">
      <c r="A171">
        <v>23</v>
      </c>
      <c r="B171" t="s">
        <v>60</v>
      </c>
      <c r="C171">
        <v>10</v>
      </c>
      <c r="D171">
        <v>5.18</v>
      </c>
      <c r="E171">
        <v>7</v>
      </c>
      <c r="F171">
        <v>2</v>
      </c>
      <c r="G171">
        <v>1</v>
      </c>
      <c r="H171">
        <v>7</v>
      </c>
      <c r="I171">
        <v>15</v>
      </c>
      <c r="J171">
        <v>0.75</v>
      </c>
      <c r="K171">
        <v>20.36</v>
      </c>
      <c r="L171">
        <v>82.56</v>
      </c>
      <c r="M171">
        <v>19.78</v>
      </c>
      <c r="N171">
        <v>14.7</v>
      </c>
      <c r="O171">
        <v>66.73</v>
      </c>
      <c r="P171">
        <v>18.059999999999999</v>
      </c>
      <c r="Q171">
        <v>12.44</v>
      </c>
      <c r="R171">
        <v>52.03</v>
      </c>
      <c r="S171">
        <v>19.3</v>
      </c>
      <c r="T171">
        <v>2.2599999999999998</v>
      </c>
      <c r="U171">
        <v>5.66</v>
      </c>
      <c r="V171">
        <v>28.57</v>
      </c>
      <c r="W171">
        <v>1.07</v>
      </c>
      <c r="X171">
        <v>5.57</v>
      </c>
      <c r="Y171">
        <v>16.16</v>
      </c>
      <c r="Z171">
        <v>9.0500000000000007</v>
      </c>
      <c r="AA171">
        <v>41.85</v>
      </c>
      <c r="AB171">
        <v>17.78</v>
      </c>
      <c r="AC171">
        <v>5.66</v>
      </c>
      <c r="AD171">
        <v>29.41</v>
      </c>
      <c r="AE171">
        <v>16.13</v>
      </c>
      <c r="AF171">
        <v>2.2599999999999998</v>
      </c>
      <c r="AG171">
        <v>4.5199999999999996</v>
      </c>
      <c r="AH171">
        <v>33.33</v>
      </c>
      <c r="AI171">
        <v>40</v>
      </c>
      <c r="AJ171">
        <v>84.62</v>
      </c>
      <c r="AK171">
        <v>5.66</v>
      </c>
      <c r="AL171">
        <v>19.23</v>
      </c>
      <c r="AM171">
        <v>22.73</v>
      </c>
      <c r="AN171">
        <v>4.5199999999999996</v>
      </c>
      <c r="AO171">
        <v>16.97</v>
      </c>
      <c r="AP171">
        <v>21.05</v>
      </c>
      <c r="AQ171">
        <v>2.2599999999999998</v>
      </c>
      <c r="AR171">
        <v>3.39</v>
      </c>
      <c r="AS171">
        <v>40</v>
      </c>
      <c r="AT171">
        <v>50</v>
      </c>
      <c r="AU171">
        <v>80</v>
      </c>
      <c r="AV171">
        <v>3.39</v>
      </c>
      <c r="AW171">
        <v>22.62</v>
      </c>
      <c r="AX171">
        <v>13.04</v>
      </c>
      <c r="AY171">
        <v>1.1299999999999999</v>
      </c>
      <c r="AZ171">
        <v>12.44</v>
      </c>
      <c r="BA171">
        <v>8.33</v>
      </c>
      <c r="BB171">
        <v>0</v>
      </c>
      <c r="BC171">
        <v>1.1299999999999999</v>
      </c>
      <c r="BD171">
        <v>0</v>
      </c>
      <c r="BE171">
        <v>0</v>
      </c>
      <c r="BF171">
        <v>90.91</v>
      </c>
      <c r="BG171">
        <v>7.92</v>
      </c>
      <c r="BH171">
        <v>38.450000000000003</v>
      </c>
      <c r="BI171">
        <v>17.07</v>
      </c>
      <c r="BJ171">
        <v>4.5199999999999996</v>
      </c>
      <c r="BK171">
        <v>21.49</v>
      </c>
      <c r="BL171">
        <v>17.39</v>
      </c>
      <c r="BM171">
        <v>0</v>
      </c>
      <c r="BN171">
        <v>1.1299999999999999</v>
      </c>
      <c r="BO171">
        <v>0</v>
      </c>
      <c r="BP171">
        <v>0</v>
      </c>
      <c r="BQ171">
        <v>94.74</v>
      </c>
      <c r="BR171">
        <v>18.18</v>
      </c>
      <c r="BS171">
        <v>89.13</v>
      </c>
      <c r="BT171">
        <v>1.073</v>
      </c>
    </row>
    <row r="172" spans="1:72" x14ac:dyDescent="0.35">
      <c r="A172">
        <v>24</v>
      </c>
      <c r="B172" t="s">
        <v>61</v>
      </c>
      <c r="C172">
        <v>10</v>
      </c>
      <c r="D172">
        <v>6.45</v>
      </c>
      <c r="E172">
        <v>4</v>
      </c>
      <c r="F172">
        <v>4</v>
      </c>
      <c r="G172">
        <v>2</v>
      </c>
      <c r="H172">
        <v>4</v>
      </c>
      <c r="I172">
        <v>10</v>
      </c>
      <c r="J172">
        <v>0.5</v>
      </c>
      <c r="K172">
        <v>16.72</v>
      </c>
      <c r="L172">
        <v>96.14</v>
      </c>
      <c r="M172">
        <v>14.81</v>
      </c>
      <c r="N172">
        <v>12.54</v>
      </c>
      <c r="O172">
        <v>73.150000000000006</v>
      </c>
      <c r="P172">
        <v>14.63</v>
      </c>
      <c r="Q172">
        <v>9.4</v>
      </c>
      <c r="R172">
        <v>50.16</v>
      </c>
      <c r="S172">
        <v>15.79</v>
      </c>
      <c r="T172">
        <v>0</v>
      </c>
      <c r="U172">
        <v>4.18</v>
      </c>
      <c r="V172">
        <v>0</v>
      </c>
      <c r="W172">
        <v>0.53</v>
      </c>
      <c r="X172">
        <v>5.5</v>
      </c>
      <c r="Y172">
        <v>8.7899999999999991</v>
      </c>
      <c r="Z172">
        <v>6.27</v>
      </c>
      <c r="AA172">
        <v>39.71</v>
      </c>
      <c r="AB172">
        <v>13.64</v>
      </c>
      <c r="AC172">
        <v>2.09</v>
      </c>
      <c r="AD172">
        <v>22.99</v>
      </c>
      <c r="AE172">
        <v>8.33</v>
      </c>
      <c r="AF172">
        <v>0</v>
      </c>
      <c r="AG172">
        <v>3.13</v>
      </c>
      <c r="AH172">
        <v>0</v>
      </c>
      <c r="AI172">
        <v>0</v>
      </c>
      <c r="AJ172">
        <v>86.36</v>
      </c>
      <c r="AK172">
        <v>3.13</v>
      </c>
      <c r="AL172">
        <v>16.72</v>
      </c>
      <c r="AM172">
        <v>15.79</v>
      </c>
      <c r="AN172">
        <v>1.04</v>
      </c>
      <c r="AO172">
        <v>12.54</v>
      </c>
      <c r="AP172">
        <v>7.69</v>
      </c>
      <c r="AQ172">
        <v>0</v>
      </c>
      <c r="AR172">
        <v>3.13</v>
      </c>
      <c r="AS172">
        <v>0</v>
      </c>
      <c r="AT172">
        <v>0</v>
      </c>
      <c r="AU172">
        <v>75</v>
      </c>
      <c r="AV172">
        <v>3.13</v>
      </c>
      <c r="AW172">
        <v>22.99</v>
      </c>
      <c r="AX172">
        <v>12</v>
      </c>
      <c r="AY172">
        <v>1.04</v>
      </c>
      <c r="AZ172">
        <v>10.45</v>
      </c>
      <c r="BA172">
        <v>9.09</v>
      </c>
      <c r="BB172">
        <v>0</v>
      </c>
      <c r="BC172">
        <v>0</v>
      </c>
      <c r="BD172" t="s">
        <v>85</v>
      </c>
      <c r="BE172">
        <v>0</v>
      </c>
      <c r="BF172">
        <v>100</v>
      </c>
      <c r="BG172">
        <v>5.22</v>
      </c>
      <c r="BH172">
        <v>53.29</v>
      </c>
      <c r="BI172">
        <v>8.93</v>
      </c>
      <c r="BJ172">
        <v>2.09</v>
      </c>
      <c r="BK172">
        <v>27.17</v>
      </c>
      <c r="BL172">
        <v>7.14</v>
      </c>
      <c r="BM172">
        <v>0</v>
      </c>
      <c r="BN172">
        <v>1.04</v>
      </c>
      <c r="BO172">
        <v>0</v>
      </c>
      <c r="BP172">
        <v>0</v>
      </c>
      <c r="BQ172">
        <v>96.15</v>
      </c>
      <c r="BR172">
        <v>0</v>
      </c>
      <c r="BS172">
        <v>91.67</v>
      </c>
      <c r="BT172">
        <v>0.91700000000000004</v>
      </c>
    </row>
    <row r="173" spans="1:72" x14ac:dyDescent="0.35">
      <c r="A173">
        <v>25</v>
      </c>
      <c r="B173" t="s">
        <v>62</v>
      </c>
      <c r="C173">
        <v>10</v>
      </c>
      <c r="D173">
        <v>4.47</v>
      </c>
      <c r="E173">
        <v>2</v>
      </c>
      <c r="F173">
        <v>6</v>
      </c>
      <c r="G173">
        <v>2</v>
      </c>
      <c r="H173">
        <v>2</v>
      </c>
      <c r="I173">
        <v>6</v>
      </c>
      <c r="J173">
        <v>0.3</v>
      </c>
      <c r="K173">
        <v>11.12</v>
      </c>
      <c r="L173">
        <v>88.93</v>
      </c>
      <c r="M173">
        <v>11.11</v>
      </c>
      <c r="N173">
        <v>11.12</v>
      </c>
      <c r="O173">
        <v>63.52</v>
      </c>
      <c r="P173">
        <v>14.89</v>
      </c>
      <c r="Q173">
        <v>11.12</v>
      </c>
      <c r="R173">
        <v>55.58</v>
      </c>
      <c r="S173">
        <v>16.670000000000002</v>
      </c>
      <c r="T173">
        <v>0</v>
      </c>
      <c r="U173">
        <v>11.12</v>
      </c>
      <c r="V173">
        <v>0</v>
      </c>
      <c r="W173">
        <v>0.26</v>
      </c>
      <c r="X173">
        <v>8.1199999999999992</v>
      </c>
      <c r="Y173">
        <v>3.15</v>
      </c>
      <c r="Z173">
        <v>0</v>
      </c>
      <c r="AA173">
        <v>49.23</v>
      </c>
      <c r="AB173">
        <v>0</v>
      </c>
      <c r="AC173">
        <v>0</v>
      </c>
      <c r="AD173">
        <v>36.520000000000003</v>
      </c>
      <c r="AE173">
        <v>0</v>
      </c>
      <c r="AF173">
        <v>0</v>
      </c>
      <c r="AG173">
        <v>11.12</v>
      </c>
      <c r="AH173">
        <v>0</v>
      </c>
      <c r="AI173" t="s">
        <v>85</v>
      </c>
      <c r="AJ173">
        <v>69.569999999999993</v>
      </c>
      <c r="AK173">
        <v>0</v>
      </c>
      <c r="AL173">
        <v>23.82</v>
      </c>
      <c r="AM173">
        <v>0</v>
      </c>
      <c r="AN173">
        <v>0</v>
      </c>
      <c r="AO173">
        <v>20.64</v>
      </c>
      <c r="AP173">
        <v>0</v>
      </c>
      <c r="AQ173">
        <v>0</v>
      </c>
      <c r="AR173">
        <v>9.5299999999999994</v>
      </c>
      <c r="AS173">
        <v>0</v>
      </c>
      <c r="AT173" t="s">
        <v>85</v>
      </c>
      <c r="AU173">
        <v>53.85</v>
      </c>
      <c r="AV173">
        <v>0</v>
      </c>
      <c r="AW173">
        <v>25.41</v>
      </c>
      <c r="AX173">
        <v>0</v>
      </c>
      <c r="AY173">
        <v>0</v>
      </c>
      <c r="AZ173">
        <v>15.88</v>
      </c>
      <c r="BA173">
        <v>0</v>
      </c>
      <c r="BB173">
        <v>0</v>
      </c>
      <c r="BC173">
        <v>1.59</v>
      </c>
      <c r="BD173">
        <v>0</v>
      </c>
      <c r="BE173" t="s">
        <v>85</v>
      </c>
      <c r="BF173">
        <v>90</v>
      </c>
      <c r="BG173">
        <v>6.35</v>
      </c>
      <c r="BH173">
        <v>34.94</v>
      </c>
      <c r="BI173">
        <v>15.38</v>
      </c>
      <c r="BJ173">
        <v>6.35</v>
      </c>
      <c r="BK173">
        <v>19.059999999999999</v>
      </c>
      <c r="BL173">
        <v>25</v>
      </c>
      <c r="BM173">
        <v>0</v>
      </c>
      <c r="BN173">
        <v>0</v>
      </c>
      <c r="BO173" t="s">
        <v>85</v>
      </c>
      <c r="BP173">
        <v>0</v>
      </c>
      <c r="BQ173">
        <v>100</v>
      </c>
      <c r="BR173">
        <v>0</v>
      </c>
      <c r="BS173">
        <v>80</v>
      </c>
      <c r="BT173">
        <v>0.8</v>
      </c>
    </row>
    <row r="174" spans="1:72" x14ac:dyDescent="0.35">
      <c r="A174">
        <v>26</v>
      </c>
      <c r="B174" t="s">
        <v>63</v>
      </c>
      <c r="C174">
        <v>10</v>
      </c>
      <c r="D174">
        <v>7.39</v>
      </c>
      <c r="E174">
        <v>8</v>
      </c>
      <c r="F174">
        <v>2</v>
      </c>
      <c r="G174">
        <v>0</v>
      </c>
      <c r="H174">
        <v>8</v>
      </c>
      <c r="I174">
        <v>16</v>
      </c>
      <c r="J174">
        <v>0.8</v>
      </c>
      <c r="K174">
        <v>12.64</v>
      </c>
      <c r="L174">
        <v>73.14</v>
      </c>
      <c r="M174">
        <v>14.74</v>
      </c>
      <c r="N174">
        <v>10.84</v>
      </c>
      <c r="O174">
        <v>52.37</v>
      </c>
      <c r="P174">
        <v>17.14</v>
      </c>
      <c r="Q174">
        <v>7.22</v>
      </c>
      <c r="R174">
        <v>39.729999999999997</v>
      </c>
      <c r="S174">
        <v>15.38</v>
      </c>
      <c r="T174">
        <v>0.9</v>
      </c>
      <c r="U174">
        <v>5.42</v>
      </c>
      <c r="V174">
        <v>14.29</v>
      </c>
      <c r="W174">
        <v>0.75</v>
      </c>
      <c r="X174">
        <v>5.03</v>
      </c>
      <c r="Y174">
        <v>12.94</v>
      </c>
      <c r="Z174">
        <v>9.0299999999999994</v>
      </c>
      <c r="AA174">
        <v>46.05</v>
      </c>
      <c r="AB174">
        <v>16.39</v>
      </c>
      <c r="AC174">
        <v>4.51</v>
      </c>
      <c r="AD174">
        <v>25.28</v>
      </c>
      <c r="AE174">
        <v>15.15</v>
      </c>
      <c r="AF174">
        <v>0.9</v>
      </c>
      <c r="AG174">
        <v>3.61</v>
      </c>
      <c r="AH174">
        <v>20</v>
      </c>
      <c r="AI174">
        <v>20</v>
      </c>
      <c r="AJ174">
        <v>85.71</v>
      </c>
      <c r="AK174">
        <v>2.71</v>
      </c>
      <c r="AL174">
        <v>20.77</v>
      </c>
      <c r="AM174">
        <v>11.54</v>
      </c>
      <c r="AN174">
        <v>1.81</v>
      </c>
      <c r="AO174">
        <v>16.25</v>
      </c>
      <c r="AP174">
        <v>10</v>
      </c>
      <c r="AQ174">
        <v>0.9</v>
      </c>
      <c r="AR174">
        <v>3.61</v>
      </c>
      <c r="AS174">
        <v>20</v>
      </c>
      <c r="AT174">
        <v>50</v>
      </c>
      <c r="AU174">
        <v>77.78</v>
      </c>
      <c r="AV174">
        <v>6.32</v>
      </c>
      <c r="AW174">
        <v>25.28</v>
      </c>
      <c r="AX174">
        <v>20</v>
      </c>
      <c r="AY174">
        <v>2.71</v>
      </c>
      <c r="AZ174">
        <v>9.0299999999999994</v>
      </c>
      <c r="BA174">
        <v>23.08</v>
      </c>
      <c r="BB174">
        <v>0</v>
      </c>
      <c r="BC174">
        <v>0</v>
      </c>
      <c r="BD174" t="s">
        <v>85</v>
      </c>
      <c r="BE174">
        <v>0</v>
      </c>
      <c r="BF174">
        <v>100</v>
      </c>
      <c r="BG174">
        <v>0.9</v>
      </c>
      <c r="BH174">
        <v>25.28</v>
      </c>
      <c r="BI174">
        <v>3.45</v>
      </c>
      <c r="BJ174">
        <v>0.9</v>
      </c>
      <c r="BK174">
        <v>12.64</v>
      </c>
      <c r="BL174">
        <v>6.67</v>
      </c>
      <c r="BM174">
        <v>0</v>
      </c>
      <c r="BN174">
        <v>0.9</v>
      </c>
      <c r="BO174">
        <v>0</v>
      </c>
      <c r="BP174">
        <v>0</v>
      </c>
      <c r="BQ174">
        <v>92.86</v>
      </c>
      <c r="BR174">
        <v>12.5</v>
      </c>
      <c r="BS174">
        <v>86.36</v>
      </c>
      <c r="BT174">
        <v>0.98899999999999999</v>
      </c>
    </row>
    <row r="175" spans="1:72" x14ac:dyDescent="0.35">
      <c r="A175">
        <v>27</v>
      </c>
      <c r="B175" t="s">
        <v>64</v>
      </c>
      <c r="C175">
        <v>10</v>
      </c>
      <c r="D175">
        <v>5.55</v>
      </c>
      <c r="E175">
        <v>5</v>
      </c>
      <c r="F175">
        <v>4</v>
      </c>
      <c r="G175">
        <v>1</v>
      </c>
      <c r="H175">
        <v>5</v>
      </c>
      <c r="I175">
        <v>11</v>
      </c>
      <c r="J175">
        <v>0.55000000000000004</v>
      </c>
      <c r="K175">
        <v>29.3</v>
      </c>
      <c r="L175">
        <v>72.02</v>
      </c>
      <c r="M175">
        <v>28.92</v>
      </c>
      <c r="N175">
        <v>26.86</v>
      </c>
      <c r="O175">
        <v>58.6</v>
      </c>
      <c r="P175">
        <v>31.43</v>
      </c>
      <c r="Q175">
        <v>24.42</v>
      </c>
      <c r="R175">
        <v>45.17</v>
      </c>
      <c r="S175">
        <v>35.090000000000003</v>
      </c>
      <c r="T175">
        <v>1.22</v>
      </c>
      <c r="U175">
        <v>7.32</v>
      </c>
      <c r="V175">
        <v>14.29</v>
      </c>
      <c r="W175">
        <v>2.76</v>
      </c>
      <c r="X175">
        <v>4.62</v>
      </c>
      <c r="Y175">
        <v>37.380000000000003</v>
      </c>
      <c r="Z175">
        <v>24.42</v>
      </c>
      <c r="AA175">
        <v>40.28</v>
      </c>
      <c r="AB175">
        <v>37.74</v>
      </c>
      <c r="AC175">
        <v>20.75</v>
      </c>
      <c r="AD175">
        <v>26.86</v>
      </c>
      <c r="AE175">
        <v>43.59</v>
      </c>
      <c r="AF175">
        <v>1.22</v>
      </c>
      <c r="AG175">
        <v>6.1</v>
      </c>
      <c r="AH175">
        <v>16.670000000000002</v>
      </c>
      <c r="AI175">
        <v>5.88</v>
      </c>
      <c r="AJ175">
        <v>77.27</v>
      </c>
      <c r="AK175">
        <v>10.99</v>
      </c>
      <c r="AL175">
        <v>9.77</v>
      </c>
      <c r="AM175">
        <v>52.94</v>
      </c>
      <c r="AN175">
        <v>9.77</v>
      </c>
      <c r="AO175">
        <v>8.5500000000000007</v>
      </c>
      <c r="AP175">
        <v>53.33</v>
      </c>
      <c r="AQ175">
        <v>0</v>
      </c>
      <c r="AR175">
        <v>1.22</v>
      </c>
      <c r="AS175">
        <v>0</v>
      </c>
      <c r="AT175">
        <v>0</v>
      </c>
      <c r="AU175">
        <v>85.71</v>
      </c>
      <c r="AV175">
        <v>13.43</v>
      </c>
      <c r="AW175">
        <v>30.52</v>
      </c>
      <c r="AX175">
        <v>30.56</v>
      </c>
      <c r="AY175">
        <v>10.99</v>
      </c>
      <c r="AZ175">
        <v>18.309999999999999</v>
      </c>
      <c r="BA175">
        <v>37.5</v>
      </c>
      <c r="BB175">
        <v>1.22</v>
      </c>
      <c r="BC175">
        <v>4.88</v>
      </c>
      <c r="BD175">
        <v>20</v>
      </c>
      <c r="BE175">
        <v>11.11</v>
      </c>
      <c r="BF175">
        <v>73.33</v>
      </c>
      <c r="BG175">
        <v>0</v>
      </c>
      <c r="BH175">
        <v>30.52</v>
      </c>
      <c r="BI175">
        <v>0</v>
      </c>
      <c r="BJ175">
        <v>0</v>
      </c>
      <c r="BK175">
        <v>17.09</v>
      </c>
      <c r="BL175">
        <v>0</v>
      </c>
      <c r="BM175">
        <v>0</v>
      </c>
      <c r="BN175">
        <v>1.22</v>
      </c>
      <c r="BO175">
        <v>0</v>
      </c>
      <c r="BP175" t="s">
        <v>85</v>
      </c>
      <c r="BQ175">
        <v>92.86</v>
      </c>
      <c r="BR175">
        <v>5</v>
      </c>
      <c r="BS175">
        <v>83.78</v>
      </c>
      <c r="BT175">
        <v>0.88800000000000001</v>
      </c>
    </row>
    <row r="176" spans="1:72" x14ac:dyDescent="0.35">
      <c r="A176">
        <v>28</v>
      </c>
      <c r="B176" t="s">
        <v>65</v>
      </c>
      <c r="C176">
        <v>10</v>
      </c>
      <c r="D176">
        <v>5.13</v>
      </c>
      <c r="E176">
        <v>4</v>
      </c>
      <c r="F176">
        <v>5</v>
      </c>
      <c r="G176">
        <v>1</v>
      </c>
      <c r="H176">
        <v>3</v>
      </c>
      <c r="I176">
        <v>9</v>
      </c>
      <c r="J176">
        <v>0.45</v>
      </c>
      <c r="K176">
        <v>14.94</v>
      </c>
      <c r="L176">
        <v>110.34</v>
      </c>
      <c r="M176">
        <v>11.93</v>
      </c>
      <c r="N176">
        <v>13.79</v>
      </c>
      <c r="O176">
        <v>87.36</v>
      </c>
      <c r="P176">
        <v>13.64</v>
      </c>
      <c r="Q176">
        <v>10.34</v>
      </c>
      <c r="R176">
        <v>67.819999999999993</v>
      </c>
      <c r="S176">
        <v>13.24</v>
      </c>
      <c r="T176">
        <v>0</v>
      </c>
      <c r="U176">
        <v>10.34</v>
      </c>
      <c r="V176">
        <v>0</v>
      </c>
      <c r="W176">
        <v>0.77</v>
      </c>
      <c r="X176">
        <v>8.8000000000000007</v>
      </c>
      <c r="Y176">
        <v>8.0399999999999991</v>
      </c>
      <c r="Z176">
        <v>5.75</v>
      </c>
      <c r="AA176">
        <v>60.92</v>
      </c>
      <c r="AB176">
        <v>8.6199999999999992</v>
      </c>
      <c r="AC176">
        <v>4.5999999999999996</v>
      </c>
      <c r="AD176">
        <v>39.08</v>
      </c>
      <c r="AE176">
        <v>10.53</v>
      </c>
      <c r="AF176">
        <v>0</v>
      </c>
      <c r="AG176">
        <v>5.75</v>
      </c>
      <c r="AH176">
        <v>0</v>
      </c>
      <c r="AI176">
        <v>0</v>
      </c>
      <c r="AJ176">
        <v>85.29</v>
      </c>
      <c r="AK176">
        <v>4.5999999999999996</v>
      </c>
      <c r="AL176">
        <v>25.29</v>
      </c>
      <c r="AM176">
        <v>15.38</v>
      </c>
      <c r="AN176">
        <v>4.5999999999999996</v>
      </c>
      <c r="AO176">
        <v>22.99</v>
      </c>
      <c r="AP176">
        <v>16.670000000000002</v>
      </c>
      <c r="AQ176">
        <v>0</v>
      </c>
      <c r="AR176">
        <v>5.75</v>
      </c>
      <c r="AS176">
        <v>0</v>
      </c>
      <c r="AT176">
        <v>0</v>
      </c>
      <c r="AU176">
        <v>75</v>
      </c>
      <c r="AV176">
        <v>1.1499999999999999</v>
      </c>
      <c r="AW176">
        <v>35.630000000000003</v>
      </c>
      <c r="AX176">
        <v>3.13</v>
      </c>
      <c r="AY176">
        <v>0</v>
      </c>
      <c r="AZ176">
        <v>16.09</v>
      </c>
      <c r="BA176">
        <v>0</v>
      </c>
      <c r="BB176">
        <v>0</v>
      </c>
      <c r="BC176">
        <v>0</v>
      </c>
      <c r="BD176" t="s">
        <v>85</v>
      </c>
      <c r="BE176" t="s">
        <v>85</v>
      </c>
      <c r="BF176">
        <v>100</v>
      </c>
      <c r="BG176">
        <v>3.45</v>
      </c>
      <c r="BH176">
        <v>49.43</v>
      </c>
      <c r="BI176">
        <v>6.52</v>
      </c>
      <c r="BJ176">
        <v>1.1499999999999999</v>
      </c>
      <c r="BK176">
        <v>28.74</v>
      </c>
      <c r="BL176">
        <v>3.85</v>
      </c>
      <c r="BM176">
        <v>0</v>
      </c>
      <c r="BN176">
        <v>4.5999999999999996</v>
      </c>
      <c r="BO176">
        <v>0</v>
      </c>
      <c r="BP176">
        <v>0</v>
      </c>
      <c r="BQ176">
        <v>84</v>
      </c>
      <c r="BR176">
        <v>0</v>
      </c>
      <c r="BS176">
        <v>84.75</v>
      </c>
      <c r="BT176">
        <v>0.84699999999999998</v>
      </c>
    </row>
    <row r="177" spans="1:72" x14ac:dyDescent="0.35">
      <c r="A177">
        <v>29</v>
      </c>
      <c r="B177" t="s">
        <v>68</v>
      </c>
      <c r="C177">
        <v>10</v>
      </c>
      <c r="D177">
        <v>4.5</v>
      </c>
      <c r="E177">
        <v>8</v>
      </c>
      <c r="F177">
        <v>2</v>
      </c>
      <c r="G177">
        <v>0</v>
      </c>
      <c r="H177">
        <v>8</v>
      </c>
      <c r="I177">
        <v>16</v>
      </c>
      <c r="J177">
        <v>0.8</v>
      </c>
      <c r="K177">
        <v>15.65</v>
      </c>
      <c r="L177">
        <v>90.78</v>
      </c>
      <c r="M177">
        <v>14.71</v>
      </c>
      <c r="N177">
        <v>12.52</v>
      </c>
      <c r="O177">
        <v>59.48</v>
      </c>
      <c r="P177">
        <v>17.39</v>
      </c>
      <c r="Q177">
        <v>12.52</v>
      </c>
      <c r="R177">
        <v>43.83</v>
      </c>
      <c r="S177">
        <v>22.22</v>
      </c>
      <c r="T177">
        <v>0</v>
      </c>
      <c r="U177">
        <v>3.13</v>
      </c>
      <c r="V177">
        <v>0</v>
      </c>
      <c r="W177">
        <v>0.41</v>
      </c>
      <c r="X177">
        <v>8.0500000000000007</v>
      </c>
      <c r="Y177">
        <v>4.8</v>
      </c>
      <c r="Z177">
        <v>3.13</v>
      </c>
      <c r="AA177">
        <v>54.78</v>
      </c>
      <c r="AB177">
        <v>5.41</v>
      </c>
      <c r="AC177">
        <v>3.13</v>
      </c>
      <c r="AD177">
        <v>29.74</v>
      </c>
      <c r="AE177">
        <v>9.52</v>
      </c>
      <c r="AF177">
        <v>0</v>
      </c>
      <c r="AG177">
        <v>3.13</v>
      </c>
      <c r="AH177">
        <v>0</v>
      </c>
      <c r="AI177">
        <v>0</v>
      </c>
      <c r="AJ177">
        <v>89.47</v>
      </c>
      <c r="AK177">
        <v>0</v>
      </c>
      <c r="AL177">
        <v>26.61</v>
      </c>
      <c r="AM177">
        <v>0</v>
      </c>
      <c r="AN177">
        <v>0</v>
      </c>
      <c r="AO177">
        <v>23.48</v>
      </c>
      <c r="AP177">
        <v>0</v>
      </c>
      <c r="AQ177">
        <v>0</v>
      </c>
      <c r="AR177">
        <v>3.13</v>
      </c>
      <c r="AS177">
        <v>0</v>
      </c>
      <c r="AT177" t="s">
        <v>85</v>
      </c>
      <c r="AU177">
        <v>86.67</v>
      </c>
      <c r="AV177">
        <v>3.13</v>
      </c>
      <c r="AW177">
        <v>28.17</v>
      </c>
      <c r="AX177">
        <v>10</v>
      </c>
      <c r="AY177">
        <v>3.13</v>
      </c>
      <c r="AZ177">
        <v>6.26</v>
      </c>
      <c r="BA177">
        <v>33.33</v>
      </c>
      <c r="BB177">
        <v>0</v>
      </c>
      <c r="BC177">
        <v>0</v>
      </c>
      <c r="BD177" t="s">
        <v>85</v>
      </c>
      <c r="BE177">
        <v>0</v>
      </c>
      <c r="BF177">
        <v>100</v>
      </c>
      <c r="BG177">
        <v>4.7</v>
      </c>
      <c r="BH177">
        <v>34.43</v>
      </c>
      <c r="BI177">
        <v>12</v>
      </c>
      <c r="BJ177">
        <v>3.13</v>
      </c>
      <c r="BK177">
        <v>14.09</v>
      </c>
      <c r="BL177">
        <v>18.18</v>
      </c>
      <c r="BM177">
        <v>0</v>
      </c>
      <c r="BN177">
        <v>0</v>
      </c>
      <c r="BO177" t="s">
        <v>85</v>
      </c>
      <c r="BP177">
        <v>0</v>
      </c>
      <c r="BQ177">
        <v>100</v>
      </c>
      <c r="BR177">
        <v>0</v>
      </c>
      <c r="BS177">
        <v>92.86</v>
      </c>
      <c r="BT177">
        <v>0.92900000000000005</v>
      </c>
    </row>
    <row r="178" spans="1:72" x14ac:dyDescent="0.35">
      <c r="A178">
        <v>30</v>
      </c>
      <c r="B178" t="s">
        <v>66</v>
      </c>
      <c r="C178">
        <v>10</v>
      </c>
      <c r="D178">
        <v>4.24</v>
      </c>
      <c r="E178">
        <v>7</v>
      </c>
      <c r="F178">
        <v>3</v>
      </c>
      <c r="G178">
        <v>0</v>
      </c>
      <c r="H178">
        <v>7</v>
      </c>
      <c r="I178">
        <v>14</v>
      </c>
      <c r="J178">
        <v>0.7</v>
      </c>
      <c r="K178">
        <v>13.66</v>
      </c>
      <c r="L178">
        <v>68.31</v>
      </c>
      <c r="M178">
        <v>16.670000000000002</v>
      </c>
      <c r="N178">
        <v>12.3</v>
      </c>
      <c r="O178">
        <v>47.82</v>
      </c>
      <c r="P178">
        <v>20.45</v>
      </c>
      <c r="Q178">
        <v>8.1999999999999993</v>
      </c>
      <c r="R178">
        <v>35.520000000000003</v>
      </c>
      <c r="S178">
        <v>18.75</v>
      </c>
      <c r="T178">
        <v>1.37</v>
      </c>
      <c r="U178">
        <v>5.46</v>
      </c>
      <c r="V178">
        <v>20</v>
      </c>
      <c r="W178">
        <v>0.45</v>
      </c>
      <c r="X178">
        <v>4.1900000000000004</v>
      </c>
      <c r="Y178">
        <v>9.7200000000000006</v>
      </c>
      <c r="Z178">
        <v>6.83</v>
      </c>
      <c r="AA178">
        <v>34.159999999999997</v>
      </c>
      <c r="AB178">
        <v>16.670000000000002</v>
      </c>
      <c r="AC178">
        <v>4.0999999999999996</v>
      </c>
      <c r="AD178">
        <v>21.86</v>
      </c>
      <c r="AE178">
        <v>15.79</v>
      </c>
      <c r="AF178">
        <v>1.37</v>
      </c>
      <c r="AG178">
        <v>5.46</v>
      </c>
      <c r="AH178">
        <v>20</v>
      </c>
      <c r="AI178">
        <v>33.33</v>
      </c>
      <c r="AJ178">
        <v>75</v>
      </c>
      <c r="AK178">
        <v>1.37</v>
      </c>
      <c r="AL178">
        <v>15.03</v>
      </c>
      <c r="AM178">
        <v>8.33</v>
      </c>
      <c r="AN178">
        <v>1.37</v>
      </c>
      <c r="AO178">
        <v>10.93</v>
      </c>
      <c r="AP178">
        <v>11.11</v>
      </c>
      <c r="AQ178">
        <v>1.37</v>
      </c>
      <c r="AR178">
        <v>4.0999999999999996</v>
      </c>
      <c r="AS178">
        <v>25</v>
      </c>
      <c r="AT178">
        <v>100</v>
      </c>
      <c r="AU178">
        <v>62.5</v>
      </c>
      <c r="AV178">
        <v>5.46</v>
      </c>
      <c r="AW178">
        <v>19.13</v>
      </c>
      <c r="AX178">
        <v>22.22</v>
      </c>
      <c r="AY178">
        <v>2.73</v>
      </c>
      <c r="AZ178">
        <v>10.93</v>
      </c>
      <c r="BA178">
        <v>20</v>
      </c>
      <c r="BB178">
        <v>0</v>
      </c>
      <c r="BC178">
        <v>1.37</v>
      </c>
      <c r="BD178">
        <v>0</v>
      </c>
      <c r="BE178">
        <v>0</v>
      </c>
      <c r="BF178">
        <v>87.5</v>
      </c>
      <c r="BG178">
        <v>1.37</v>
      </c>
      <c r="BH178">
        <v>28.69</v>
      </c>
      <c r="BI178">
        <v>4.55</v>
      </c>
      <c r="BJ178">
        <v>0</v>
      </c>
      <c r="BK178">
        <v>13.66</v>
      </c>
      <c r="BL178">
        <v>0</v>
      </c>
      <c r="BM178">
        <v>0</v>
      </c>
      <c r="BN178">
        <v>0</v>
      </c>
      <c r="BO178" t="s">
        <v>85</v>
      </c>
      <c r="BP178" t="s">
        <v>85</v>
      </c>
      <c r="BQ178">
        <v>100</v>
      </c>
      <c r="BR178">
        <v>16.670000000000002</v>
      </c>
      <c r="BS178">
        <v>84.62</v>
      </c>
      <c r="BT178">
        <v>1.0129999999999999</v>
      </c>
    </row>
    <row r="179" spans="1:72" x14ac:dyDescent="0.35">
      <c r="A179">
        <v>31</v>
      </c>
      <c r="B179" t="s">
        <v>67</v>
      </c>
      <c r="C179">
        <v>10</v>
      </c>
      <c r="D179">
        <v>6.44</v>
      </c>
      <c r="E179">
        <v>6</v>
      </c>
      <c r="F179">
        <v>3</v>
      </c>
      <c r="G179">
        <v>1</v>
      </c>
      <c r="H179">
        <v>6</v>
      </c>
      <c r="I179">
        <v>13</v>
      </c>
      <c r="J179">
        <v>0.65</v>
      </c>
      <c r="K179">
        <v>13.6</v>
      </c>
      <c r="L179">
        <v>79.489999999999995</v>
      </c>
      <c r="M179">
        <v>14.61</v>
      </c>
      <c r="N179">
        <v>12.55</v>
      </c>
      <c r="O179">
        <v>62.75</v>
      </c>
      <c r="P179">
        <v>16.670000000000002</v>
      </c>
      <c r="Q179">
        <v>9.41</v>
      </c>
      <c r="R179">
        <v>33.47</v>
      </c>
      <c r="S179">
        <v>21.95</v>
      </c>
      <c r="T179">
        <v>1.05</v>
      </c>
      <c r="U179">
        <v>6.28</v>
      </c>
      <c r="V179">
        <v>14.29</v>
      </c>
      <c r="W179">
        <v>0.53</v>
      </c>
      <c r="X179">
        <v>6.24</v>
      </c>
      <c r="Y179">
        <v>7.82</v>
      </c>
      <c r="Z179">
        <v>5.23</v>
      </c>
      <c r="AA179">
        <v>43.93</v>
      </c>
      <c r="AB179">
        <v>10.64</v>
      </c>
      <c r="AC179">
        <v>4.18</v>
      </c>
      <c r="AD179">
        <v>21.96</v>
      </c>
      <c r="AE179">
        <v>16</v>
      </c>
      <c r="AF179">
        <v>1.05</v>
      </c>
      <c r="AG179">
        <v>5.23</v>
      </c>
      <c r="AH179">
        <v>16.670000000000002</v>
      </c>
      <c r="AI179">
        <v>25</v>
      </c>
      <c r="AJ179">
        <v>76.19</v>
      </c>
      <c r="AK179">
        <v>1.05</v>
      </c>
      <c r="AL179">
        <v>27.19</v>
      </c>
      <c r="AM179">
        <v>3.7</v>
      </c>
      <c r="AN179">
        <v>1.05</v>
      </c>
      <c r="AO179">
        <v>12.55</v>
      </c>
      <c r="AP179">
        <v>7.69</v>
      </c>
      <c r="AQ179">
        <v>1.05</v>
      </c>
      <c r="AR179">
        <v>2.09</v>
      </c>
      <c r="AS179">
        <v>33.33</v>
      </c>
      <c r="AT179">
        <v>100</v>
      </c>
      <c r="AU179">
        <v>83.33</v>
      </c>
      <c r="AV179">
        <v>4.18</v>
      </c>
      <c r="AW179">
        <v>16.73</v>
      </c>
      <c r="AX179">
        <v>20</v>
      </c>
      <c r="AY179">
        <v>3.14</v>
      </c>
      <c r="AZ179">
        <v>9.41</v>
      </c>
      <c r="BA179">
        <v>25</v>
      </c>
      <c r="BB179">
        <v>0</v>
      </c>
      <c r="BC179">
        <v>3.14</v>
      </c>
      <c r="BD179">
        <v>0</v>
      </c>
      <c r="BE179">
        <v>0</v>
      </c>
      <c r="BF179">
        <v>66.67</v>
      </c>
      <c r="BG179">
        <v>5.23</v>
      </c>
      <c r="BH179">
        <v>31.38</v>
      </c>
      <c r="BI179">
        <v>14.29</v>
      </c>
      <c r="BJ179">
        <v>2.09</v>
      </c>
      <c r="BK179">
        <v>11.5</v>
      </c>
      <c r="BL179">
        <v>15.38</v>
      </c>
      <c r="BM179">
        <v>0</v>
      </c>
      <c r="BN179">
        <v>1.05</v>
      </c>
      <c r="BO179">
        <v>0</v>
      </c>
      <c r="BP179">
        <v>0</v>
      </c>
      <c r="BQ179">
        <v>90.91</v>
      </c>
      <c r="BR179">
        <v>11.11</v>
      </c>
      <c r="BS179">
        <v>81.25</v>
      </c>
      <c r="BT179">
        <v>0.92400000000000004</v>
      </c>
    </row>
    <row r="183" spans="1:72" ht="36" x14ac:dyDescent="0.8">
      <c r="A183" s="10" t="s">
        <v>121</v>
      </c>
    </row>
    <row r="184" spans="1:72" x14ac:dyDescent="0.35">
      <c r="A184" t="s">
        <v>79</v>
      </c>
      <c r="B184" t="s">
        <v>0</v>
      </c>
      <c r="C184" t="s">
        <v>1</v>
      </c>
      <c r="D184" t="s">
        <v>90</v>
      </c>
      <c r="E184" t="s">
        <v>2</v>
      </c>
      <c r="F184" t="s">
        <v>3</v>
      </c>
      <c r="G184" t="s">
        <v>4</v>
      </c>
      <c r="H184" t="s">
        <v>5</v>
      </c>
      <c r="I184" t="s">
        <v>6</v>
      </c>
      <c r="J184" t="s">
        <v>7</v>
      </c>
      <c r="K184" t="s">
        <v>91</v>
      </c>
      <c r="L184" t="s">
        <v>92</v>
      </c>
      <c r="M184" t="s">
        <v>8</v>
      </c>
      <c r="N184" t="s">
        <v>93</v>
      </c>
      <c r="O184" t="s">
        <v>94</v>
      </c>
      <c r="P184" t="s">
        <v>9</v>
      </c>
      <c r="Q184" t="s">
        <v>95</v>
      </c>
      <c r="R184" t="s">
        <v>71</v>
      </c>
      <c r="S184" t="s">
        <v>10</v>
      </c>
      <c r="T184" t="s">
        <v>96</v>
      </c>
      <c r="U184" t="s">
        <v>97</v>
      </c>
      <c r="V184" t="s">
        <v>11</v>
      </c>
      <c r="W184" t="s">
        <v>98</v>
      </c>
      <c r="X184" t="s">
        <v>99</v>
      </c>
      <c r="Y184" t="s">
        <v>14</v>
      </c>
      <c r="Z184" t="s">
        <v>100</v>
      </c>
      <c r="AA184" t="s">
        <v>101</v>
      </c>
      <c r="AB184" t="s">
        <v>15</v>
      </c>
      <c r="AC184" t="s">
        <v>102</v>
      </c>
      <c r="AD184" t="s">
        <v>103</v>
      </c>
      <c r="AE184" t="s">
        <v>16</v>
      </c>
      <c r="AF184" t="s">
        <v>104</v>
      </c>
      <c r="AG184" t="s">
        <v>105</v>
      </c>
      <c r="AH184" t="s">
        <v>17</v>
      </c>
      <c r="AI184" t="s">
        <v>18</v>
      </c>
      <c r="AJ184" t="s">
        <v>19</v>
      </c>
      <c r="AK184" t="s">
        <v>106</v>
      </c>
      <c r="AL184" t="s">
        <v>107</v>
      </c>
      <c r="AM184" t="s">
        <v>20</v>
      </c>
      <c r="AN184" t="s">
        <v>108</v>
      </c>
      <c r="AO184" t="s">
        <v>72</v>
      </c>
      <c r="AP184" t="s">
        <v>21</v>
      </c>
      <c r="AQ184" t="s">
        <v>109</v>
      </c>
      <c r="AR184" t="s">
        <v>73</v>
      </c>
      <c r="AS184" t="s">
        <v>22</v>
      </c>
      <c r="AT184" t="s">
        <v>23</v>
      </c>
      <c r="AU184" t="s">
        <v>24</v>
      </c>
      <c r="AV184" t="s">
        <v>110</v>
      </c>
      <c r="AW184" t="s">
        <v>111</v>
      </c>
      <c r="AX184" t="s">
        <v>25</v>
      </c>
      <c r="AY184" t="s">
        <v>112</v>
      </c>
      <c r="AZ184" t="s">
        <v>77</v>
      </c>
      <c r="BA184" t="s">
        <v>26</v>
      </c>
      <c r="BB184" t="s">
        <v>113</v>
      </c>
      <c r="BC184" t="s">
        <v>74</v>
      </c>
      <c r="BD184" t="s">
        <v>27</v>
      </c>
      <c r="BE184" t="s">
        <v>28</v>
      </c>
      <c r="BF184" t="s">
        <v>29</v>
      </c>
      <c r="BG184" t="s">
        <v>114</v>
      </c>
      <c r="BH184" t="s">
        <v>115</v>
      </c>
      <c r="BI184" t="s">
        <v>30</v>
      </c>
      <c r="BJ184" t="s">
        <v>116</v>
      </c>
      <c r="BK184" t="s">
        <v>75</v>
      </c>
      <c r="BL184" t="s">
        <v>31</v>
      </c>
      <c r="BM184" t="s">
        <v>117</v>
      </c>
      <c r="BN184" t="s">
        <v>76</v>
      </c>
      <c r="BO184" t="s">
        <v>32</v>
      </c>
      <c r="BP184" t="s">
        <v>33</v>
      </c>
      <c r="BQ184" t="s">
        <v>34</v>
      </c>
      <c r="BR184" t="s">
        <v>35</v>
      </c>
      <c r="BS184" t="s">
        <v>36</v>
      </c>
      <c r="BT184" t="s">
        <v>37</v>
      </c>
    </row>
    <row r="185" spans="1:72" x14ac:dyDescent="0.35">
      <c r="A185">
        <v>1</v>
      </c>
      <c r="B185" t="s">
        <v>38</v>
      </c>
      <c r="C185">
        <v>10</v>
      </c>
      <c r="D185">
        <v>4.29</v>
      </c>
      <c r="E185">
        <v>2</v>
      </c>
      <c r="F185">
        <v>6</v>
      </c>
      <c r="G185">
        <v>2</v>
      </c>
      <c r="H185">
        <v>2</v>
      </c>
      <c r="I185">
        <v>6</v>
      </c>
      <c r="J185">
        <v>0.3</v>
      </c>
      <c r="K185">
        <v>20.079999999999998</v>
      </c>
      <c r="L185">
        <v>96.39</v>
      </c>
      <c r="M185">
        <v>17.239999999999998</v>
      </c>
      <c r="N185">
        <v>18.739999999999998</v>
      </c>
      <c r="O185">
        <v>72.290000000000006</v>
      </c>
      <c r="P185">
        <v>20.59</v>
      </c>
      <c r="Q185">
        <v>16.07</v>
      </c>
      <c r="R185">
        <v>52.21</v>
      </c>
      <c r="S185">
        <v>23.53</v>
      </c>
      <c r="T185">
        <v>0</v>
      </c>
      <c r="U185">
        <v>9.3699999999999992</v>
      </c>
      <c r="V185">
        <v>0</v>
      </c>
      <c r="W185">
        <v>0.71</v>
      </c>
      <c r="X185">
        <v>6.75</v>
      </c>
      <c r="Y185">
        <v>9.58</v>
      </c>
      <c r="Z185">
        <v>6.69</v>
      </c>
      <c r="AA185">
        <v>46.86</v>
      </c>
      <c r="AB185">
        <v>12.5</v>
      </c>
      <c r="AC185">
        <v>4.0199999999999996</v>
      </c>
      <c r="AD185">
        <v>32.130000000000003</v>
      </c>
      <c r="AE185">
        <v>11.11</v>
      </c>
      <c r="AF185">
        <v>0</v>
      </c>
      <c r="AG185">
        <v>5.36</v>
      </c>
      <c r="AH185">
        <v>0</v>
      </c>
      <c r="AI185">
        <v>0</v>
      </c>
      <c r="AJ185">
        <v>83.33</v>
      </c>
      <c r="AK185">
        <v>2.68</v>
      </c>
      <c r="AL185">
        <v>17.399999999999999</v>
      </c>
      <c r="AM185">
        <v>13.33</v>
      </c>
      <c r="AN185">
        <v>2.68</v>
      </c>
      <c r="AO185">
        <v>13.39</v>
      </c>
      <c r="AP185">
        <v>16.670000000000002</v>
      </c>
      <c r="AQ185">
        <v>0</v>
      </c>
      <c r="AR185">
        <v>1.34</v>
      </c>
      <c r="AS185">
        <v>0</v>
      </c>
      <c r="AT185">
        <v>0</v>
      </c>
      <c r="AU185">
        <v>90</v>
      </c>
      <c r="AV185">
        <v>4.0199999999999996</v>
      </c>
      <c r="AW185">
        <v>29.45</v>
      </c>
      <c r="AX185">
        <v>12</v>
      </c>
      <c r="AY185">
        <v>1.34</v>
      </c>
      <c r="AZ185">
        <v>18.739999999999998</v>
      </c>
      <c r="BA185">
        <v>6.67</v>
      </c>
      <c r="BB185">
        <v>0</v>
      </c>
      <c r="BC185">
        <v>4.0199999999999996</v>
      </c>
      <c r="BD185">
        <v>0</v>
      </c>
      <c r="BE185">
        <v>0</v>
      </c>
      <c r="BF185">
        <v>78.569999999999993</v>
      </c>
      <c r="BG185">
        <v>5.36</v>
      </c>
      <c r="BH185">
        <v>48.2</v>
      </c>
      <c r="BI185">
        <v>10</v>
      </c>
      <c r="BJ185">
        <v>5.36</v>
      </c>
      <c r="BK185">
        <v>20.079999999999998</v>
      </c>
      <c r="BL185">
        <v>21.05</v>
      </c>
      <c r="BM185">
        <v>0</v>
      </c>
      <c r="BN185">
        <v>4.0199999999999996</v>
      </c>
      <c r="BO185">
        <v>0</v>
      </c>
      <c r="BP185">
        <v>0</v>
      </c>
      <c r="BQ185">
        <v>80</v>
      </c>
      <c r="BR185">
        <v>0</v>
      </c>
      <c r="BS185">
        <v>82.05</v>
      </c>
      <c r="BT185">
        <v>0.82099999999999995</v>
      </c>
    </row>
    <row r="186" spans="1:72" x14ac:dyDescent="0.35">
      <c r="A186">
        <v>2</v>
      </c>
      <c r="B186" t="s">
        <v>39</v>
      </c>
      <c r="C186">
        <v>10</v>
      </c>
      <c r="D186">
        <v>6.06</v>
      </c>
      <c r="E186">
        <v>5</v>
      </c>
      <c r="F186">
        <v>3</v>
      </c>
      <c r="G186">
        <v>2</v>
      </c>
      <c r="H186">
        <v>4</v>
      </c>
      <c r="I186">
        <v>12</v>
      </c>
      <c r="J186">
        <v>0.6</v>
      </c>
      <c r="K186">
        <v>11.8</v>
      </c>
      <c r="L186">
        <v>99.29</v>
      </c>
      <c r="M186">
        <v>10.62</v>
      </c>
      <c r="N186">
        <v>7.86</v>
      </c>
      <c r="O186">
        <v>75.7</v>
      </c>
      <c r="P186">
        <v>9.41</v>
      </c>
      <c r="Q186">
        <v>5.9</v>
      </c>
      <c r="R186">
        <v>55.05</v>
      </c>
      <c r="S186">
        <v>9.68</v>
      </c>
      <c r="T186">
        <v>0</v>
      </c>
      <c r="U186">
        <v>4.92</v>
      </c>
      <c r="V186">
        <v>0</v>
      </c>
      <c r="W186">
        <v>0.42</v>
      </c>
      <c r="X186">
        <v>6.48</v>
      </c>
      <c r="Y186">
        <v>6.11</v>
      </c>
      <c r="Z186">
        <v>2.95</v>
      </c>
      <c r="AA186">
        <v>42.27</v>
      </c>
      <c r="AB186">
        <v>6.52</v>
      </c>
      <c r="AC186">
        <v>0.98</v>
      </c>
      <c r="AD186">
        <v>24.58</v>
      </c>
      <c r="AE186">
        <v>3.85</v>
      </c>
      <c r="AF186">
        <v>0</v>
      </c>
      <c r="AG186">
        <v>2.95</v>
      </c>
      <c r="AH186">
        <v>0</v>
      </c>
      <c r="AI186">
        <v>0</v>
      </c>
      <c r="AJ186">
        <v>88</v>
      </c>
      <c r="AK186">
        <v>1.97</v>
      </c>
      <c r="AL186">
        <v>13.76</v>
      </c>
      <c r="AM186">
        <v>12.5</v>
      </c>
      <c r="AN186">
        <v>0.98</v>
      </c>
      <c r="AO186">
        <v>11.8</v>
      </c>
      <c r="AP186">
        <v>7.69</v>
      </c>
      <c r="AQ186">
        <v>0</v>
      </c>
      <c r="AR186">
        <v>1.97</v>
      </c>
      <c r="AS186">
        <v>0</v>
      </c>
      <c r="AT186">
        <v>0</v>
      </c>
      <c r="AU186">
        <v>83.33</v>
      </c>
      <c r="AV186">
        <v>0.98</v>
      </c>
      <c r="AW186">
        <v>28.51</v>
      </c>
      <c r="AX186">
        <v>3.33</v>
      </c>
      <c r="AY186">
        <v>0</v>
      </c>
      <c r="AZ186">
        <v>12.78</v>
      </c>
      <c r="BA186">
        <v>0</v>
      </c>
      <c r="BB186">
        <v>0</v>
      </c>
      <c r="BC186">
        <v>0.98</v>
      </c>
      <c r="BD186">
        <v>0</v>
      </c>
      <c r="BE186" t="s">
        <v>85</v>
      </c>
      <c r="BF186">
        <v>92.31</v>
      </c>
      <c r="BG186">
        <v>3.93</v>
      </c>
      <c r="BH186">
        <v>56.03</v>
      </c>
      <c r="BI186">
        <v>6.56</v>
      </c>
      <c r="BJ186">
        <v>1.97</v>
      </c>
      <c r="BK186">
        <v>29.49</v>
      </c>
      <c r="BL186">
        <v>6.25</v>
      </c>
      <c r="BM186">
        <v>0</v>
      </c>
      <c r="BN186">
        <v>1.97</v>
      </c>
      <c r="BO186">
        <v>0</v>
      </c>
      <c r="BP186">
        <v>0</v>
      </c>
      <c r="BQ186">
        <v>93.33</v>
      </c>
      <c r="BR186">
        <v>0</v>
      </c>
      <c r="BS186">
        <v>91.07</v>
      </c>
      <c r="BT186">
        <v>0.91100000000000003</v>
      </c>
    </row>
    <row r="187" spans="1:72" x14ac:dyDescent="0.35">
      <c r="A187">
        <v>3</v>
      </c>
      <c r="B187" t="s">
        <v>40</v>
      </c>
      <c r="C187">
        <v>10</v>
      </c>
      <c r="D187">
        <v>5.32</v>
      </c>
      <c r="E187">
        <v>5</v>
      </c>
      <c r="F187">
        <v>4</v>
      </c>
      <c r="G187">
        <v>1</v>
      </c>
      <c r="H187">
        <v>5</v>
      </c>
      <c r="I187">
        <v>11</v>
      </c>
      <c r="J187">
        <v>0.55000000000000004</v>
      </c>
      <c r="K187">
        <v>21.21</v>
      </c>
      <c r="L187">
        <v>96.76</v>
      </c>
      <c r="M187">
        <v>17.98</v>
      </c>
      <c r="N187">
        <v>17.23</v>
      </c>
      <c r="O187">
        <v>70.25</v>
      </c>
      <c r="P187">
        <v>19.7</v>
      </c>
      <c r="Q187">
        <v>15.91</v>
      </c>
      <c r="R187">
        <v>50.37</v>
      </c>
      <c r="S187">
        <v>24</v>
      </c>
      <c r="T187">
        <v>2.65</v>
      </c>
      <c r="U187">
        <v>5.3</v>
      </c>
      <c r="V187">
        <v>33.33</v>
      </c>
      <c r="W187">
        <v>1.52</v>
      </c>
      <c r="X187">
        <v>5.81</v>
      </c>
      <c r="Y187">
        <v>20.77</v>
      </c>
      <c r="Z187">
        <v>11.93</v>
      </c>
      <c r="AA187">
        <v>47.72</v>
      </c>
      <c r="AB187">
        <v>20</v>
      </c>
      <c r="AC187">
        <v>10.6</v>
      </c>
      <c r="AD187">
        <v>25.18</v>
      </c>
      <c r="AE187">
        <v>29.63</v>
      </c>
      <c r="AF187">
        <v>1.33</v>
      </c>
      <c r="AG187">
        <v>5.3</v>
      </c>
      <c r="AH187">
        <v>20</v>
      </c>
      <c r="AI187">
        <v>12.5</v>
      </c>
      <c r="AJ187">
        <v>78.95</v>
      </c>
      <c r="AK187">
        <v>5.3</v>
      </c>
      <c r="AL187">
        <v>15.91</v>
      </c>
      <c r="AM187">
        <v>25</v>
      </c>
      <c r="AN187">
        <v>5.3</v>
      </c>
      <c r="AO187">
        <v>11.93</v>
      </c>
      <c r="AP187">
        <v>30.77</v>
      </c>
      <c r="AQ187">
        <v>1.33</v>
      </c>
      <c r="AR187">
        <v>1.33</v>
      </c>
      <c r="AS187">
        <v>50</v>
      </c>
      <c r="AT187">
        <v>25</v>
      </c>
      <c r="AU187">
        <v>88.89</v>
      </c>
      <c r="AV187">
        <v>6.63</v>
      </c>
      <c r="AW187">
        <v>31.81</v>
      </c>
      <c r="AX187">
        <v>17.239999999999998</v>
      </c>
      <c r="AY187">
        <v>5.3</v>
      </c>
      <c r="AZ187">
        <v>13.25</v>
      </c>
      <c r="BA187">
        <v>28.57</v>
      </c>
      <c r="BB187">
        <v>0</v>
      </c>
      <c r="BC187">
        <v>3.98</v>
      </c>
      <c r="BD187">
        <v>0</v>
      </c>
      <c r="BE187">
        <v>0</v>
      </c>
      <c r="BF187">
        <v>70</v>
      </c>
      <c r="BG187">
        <v>5.3</v>
      </c>
      <c r="BH187">
        <v>45.07</v>
      </c>
      <c r="BI187">
        <v>10.53</v>
      </c>
      <c r="BJ187">
        <v>3.98</v>
      </c>
      <c r="BK187">
        <v>23.86</v>
      </c>
      <c r="BL187">
        <v>14.29</v>
      </c>
      <c r="BM187">
        <v>0</v>
      </c>
      <c r="BN187">
        <v>0</v>
      </c>
      <c r="BO187" t="s">
        <v>85</v>
      </c>
      <c r="BP187">
        <v>0</v>
      </c>
      <c r="BQ187">
        <v>100</v>
      </c>
      <c r="BR187">
        <v>16.670000000000002</v>
      </c>
      <c r="BS187">
        <v>89.47</v>
      </c>
      <c r="BT187">
        <v>1.0609999999999999</v>
      </c>
    </row>
    <row r="188" spans="1:72" x14ac:dyDescent="0.35">
      <c r="A188">
        <v>4</v>
      </c>
      <c r="B188" t="s">
        <v>41</v>
      </c>
      <c r="C188">
        <v>10</v>
      </c>
      <c r="D188">
        <v>5.37</v>
      </c>
      <c r="E188">
        <v>1</v>
      </c>
      <c r="F188">
        <v>8</v>
      </c>
      <c r="G188">
        <v>1</v>
      </c>
      <c r="H188">
        <v>1</v>
      </c>
      <c r="I188">
        <v>3</v>
      </c>
      <c r="J188">
        <v>0.15</v>
      </c>
      <c r="K188">
        <v>11.71</v>
      </c>
      <c r="L188">
        <v>92.37</v>
      </c>
      <c r="M188">
        <v>11.25</v>
      </c>
      <c r="N188">
        <v>9.11</v>
      </c>
      <c r="O188">
        <v>65.05</v>
      </c>
      <c r="P188">
        <v>12.28</v>
      </c>
      <c r="Q188">
        <v>9.11</v>
      </c>
      <c r="R188">
        <v>49.44</v>
      </c>
      <c r="S188">
        <v>15.56</v>
      </c>
      <c r="T188">
        <v>0</v>
      </c>
      <c r="U188">
        <v>6.51</v>
      </c>
      <c r="V188">
        <v>0</v>
      </c>
      <c r="W188">
        <v>0.9</v>
      </c>
      <c r="X188">
        <v>7.28</v>
      </c>
      <c r="Y188">
        <v>11.05</v>
      </c>
      <c r="Z188">
        <v>7.81</v>
      </c>
      <c r="AA188">
        <v>61.15</v>
      </c>
      <c r="AB188">
        <v>11.32</v>
      </c>
      <c r="AC188">
        <v>7.81</v>
      </c>
      <c r="AD188">
        <v>39.03</v>
      </c>
      <c r="AE188">
        <v>16.670000000000002</v>
      </c>
      <c r="AF188">
        <v>0</v>
      </c>
      <c r="AG188">
        <v>5.2</v>
      </c>
      <c r="AH188">
        <v>0</v>
      </c>
      <c r="AI188">
        <v>0</v>
      </c>
      <c r="AJ188">
        <v>86.67</v>
      </c>
      <c r="AK188">
        <v>5.2</v>
      </c>
      <c r="AL188">
        <v>26.02</v>
      </c>
      <c r="AM188">
        <v>16.670000000000002</v>
      </c>
      <c r="AN188">
        <v>5.2</v>
      </c>
      <c r="AO188">
        <v>18.21</v>
      </c>
      <c r="AP188">
        <v>22.22</v>
      </c>
      <c r="AQ188">
        <v>0</v>
      </c>
      <c r="AR188">
        <v>5.2</v>
      </c>
      <c r="AS188">
        <v>0</v>
      </c>
      <c r="AT188">
        <v>0</v>
      </c>
      <c r="AU188">
        <v>71.430000000000007</v>
      </c>
      <c r="AV188">
        <v>2.6</v>
      </c>
      <c r="AW188">
        <v>35.130000000000003</v>
      </c>
      <c r="AX188">
        <v>6.9</v>
      </c>
      <c r="AY188">
        <v>2.6</v>
      </c>
      <c r="AZ188">
        <v>20.82</v>
      </c>
      <c r="BA188">
        <v>11.11</v>
      </c>
      <c r="BB188">
        <v>0</v>
      </c>
      <c r="BC188">
        <v>0</v>
      </c>
      <c r="BD188" t="s">
        <v>85</v>
      </c>
      <c r="BE188">
        <v>0</v>
      </c>
      <c r="BF188">
        <v>100</v>
      </c>
      <c r="BG188">
        <v>2.6</v>
      </c>
      <c r="BH188">
        <v>31.23</v>
      </c>
      <c r="BI188">
        <v>7.69</v>
      </c>
      <c r="BJ188">
        <v>1.3</v>
      </c>
      <c r="BK188">
        <v>10.41</v>
      </c>
      <c r="BL188">
        <v>11.11</v>
      </c>
      <c r="BM188">
        <v>0</v>
      </c>
      <c r="BN188">
        <v>1.3</v>
      </c>
      <c r="BO188">
        <v>0</v>
      </c>
      <c r="BP188">
        <v>0</v>
      </c>
      <c r="BQ188">
        <v>87.5</v>
      </c>
      <c r="BR188">
        <v>0</v>
      </c>
      <c r="BS188">
        <v>86.84</v>
      </c>
      <c r="BT188">
        <v>0.86799999999999999</v>
      </c>
    </row>
    <row r="189" spans="1:72" x14ac:dyDescent="0.35">
      <c r="A189">
        <v>5</v>
      </c>
      <c r="B189" t="s">
        <v>42</v>
      </c>
      <c r="C189">
        <v>10</v>
      </c>
      <c r="D189">
        <v>6.51</v>
      </c>
      <c r="E189">
        <v>7</v>
      </c>
      <c r="F189">
        <v>3</v>
      </c>
      <c r="G189">
        <v>0</v>
      </c>
      <c r="H189">
        <v>5</v>
      </c>
      <c r="I189">
        <v>14</v>
      </c>
      <c r="J189">
        <v>0.7</v>
      </c>
      <c r="K189">
        <v>26.64</v>
      </c>
      <c r="L189">
        <v>78.91</v>
      </c>
      <c r="M189">
        <v>25.24</v>
      </c>
      <c r="N189">
        <v>25.62</v>
      </c>
      <c r="O189">
        <v>63.54</v>
      </c>
      <c r="P189">
        <v>28.74</v>
      </c>
      <c r="Q189">
        <v>22.54</v>
      </c>
      <c r="R189">
        <v>51.24</v>
      </c>
      <c r="S189">
        <v>30.56</v>
      </c>
      <c r="T189">
        <v>1.02</v>
      </c>
      <c r="U189">
        <v>7.17</v>
      </c>
      <c r="V189">
        <v>12.5</v>
      </c>
      <c r="W189">
        <v>1.29</v>
      </c>
      <c r="X189">
        <v>5.99</v>
      </c>
      <c r="Y189">
        <v>17.73</v>
      </c>
      <c r="Z189">
        <v>14.35</v>
      </c>
      <c r="AA189">
        <v>51.24</v>
      </c>
      <c r="AB189">
        <v>21.88</v>
      </c>
      <c r="AC189">
        <v>12.3</v>
      </c>
      <c r="AD189">
        <v>35.869999999999997</v>
      </c>
      <c r="AE189">
        <v>25.53</v>
      </c>
      <c r="AF189">
        <v>1.02</v>
      </c>
      <c r="AG189">
        <v>6.15</v>
      </c>
      <c r="AH189">
        <v>14.29</v>
      </c>
      <c r="AI189">
        <v>8.33</v>
      </c>
      <c r="AJ189">
        <v>82.86</v>
      </c>
      <c r="AK189">
        <v>6.15</v>
      </c>
      <c r="AL189">
        <v>24.59</v>
      </c>
      <c r="AM189">
        <v>20</v>
      </c>
      <c r="AN189">
        <v>6.15</v>
      </c>
      <c r="AO189">
        <v>20.5</v>
      </c>
      <c r="AP189">
        <v>23.08</v>
      </c>
      <c r="AQ189">
        <v>0</v>
      </c>
      <c r="AR189">
        <v>4.0999999999999996</v>
      </c>
      <c r="AS189">
        <v>0</v>
      </c>
      <c r="AT189">
        <v>0</v>
      </c>
      <c r="AU189">
        <v>80</v>
      </c>
      <c r="AV189">
        <v>8.1999999999999993</v>
      </c>
      <c r="AW189">
        <v>26.64</v>
      </c>
      <c r="AX189">
        <v>23.53</v>
      </c>
      <c r="AY189">
        <v>6.15</v>
      </c>
      <c r="AZ189">
        <v>15.37</v>
      </c>
      <c r="BA189">
        <v>28.57</v>
      </c>
      <c r="BB189">
        <v>1.02</v>
      </c>
      <c r="BC189">
        <v>2.0499999999999998</v>
      </c>
      <c r="BD189">
        <v>33.33</v>
      </c>
      <c r="BE189">
        <v>16.670000000000002</v>
      </c>
      <c r="BF189">
        <v>86.67</v>
      </c>
      <c r="BG189">
        <v>7.17</v>
      </c>
      <c r="BH189">
        <v>26.64</v>
      </c>
      <c r="BI189">
        <v>21.21</v>
      </c>
      <c r="BJ189">
        <v>5.12</v>
      </c>
      <c r="BK189">
        <v>14.35</v>
      </c>
      <c r="BL189">
        <v>26.32</v>
      </c>
      <c r="BM189">
        <v>0</v>
      </c>
      <c r="BN189">
        <v>1.02</v>
      </c>
      <c r="BO189">
        <v>0</v>
      </c>
      <c r="BP189">
        <v>0</v>
      </c>
      <c r="BQ189">
        <v>92.86</v>
      </c>
      <c r="BR189">
        <v>4.55</v>
      </c>
      <c r="BS189">
        <v>86</v>
      </c>
      <c r="BT189">
        <v>0.90500000000000003</v>
      </c>
    </row>
    <row r="190" spans="1:72" x14ac:dyDescent="0.35">
      <c r="A190">
        <v>6</v>
      </c>
      <c r="B190" t="s">
        <v>43</v>
      </c>
      <c r="C190">
        <v>10</v>
      </c>
      <c r="D190">
        <v>4.28</v>
      </c>
      <c r="E190">
        <v>4</v>
      </c>
      <c r="F190">
        <v>5</v>
      </c>
      <c r="G190">
        <v>1</v>
      </c>
      <c r="H190">
        <v>3</v>
      </c>
      <c r="I190">
        <v>9</v>
      </c>
      <c r="J190">
        <v>0.45</v>
      </c>
      <c r="K190">
        <v>13.42</v>
      </c>
      <c r="L190">
        <v>83.22</v>
      </c>
      <c r="M190">
        <v>13.89</v>
      </c>
      <c r="N190">
        <v>13.42</v>
      </c>
      <c r="O190">
        <v>60.4</v>
      </c>
      <c r="P190">
        <v>18.18</v>
      </c>
      <c r="Q190">
        <v>12.08</v>
      </c>
      <c r="R190">
        <v>45.64</v>
      </c>
      <c r="S190">
        <v>20.93</v>
      </c>
      <c r="T190">
        <v>1.34</v>
      </c>
      <c r="U190">
        <v>8.0500000000000007</v>
      </c>
      <c r="V190">
        <v>14.29</v>
      </c>
      <c r="W190">
        <v>0.72</v>
      </c>
      <c r="X190">
        <v>4.54</v>
      </c>
      <c r="Y190">
        <v>13.74</v>
      </c>
      <c r="Z190">
        <v>6.71</v>
      </c>
      <c r="AA190">
        <v>36.24</v>
      </c>
      <c r="AB190">
        <v>15.63</v>
      </c>
      <c r="AC190">
        <v>6.71</v>
      </c>
      <c r="AD190">
        <v>26.85</v>
      </c>
      <c r="AE190">
        <v>20</v>
      </c>
      <c r="AF190">
        <v>1.34</v>
      </c>
      <c r="AG190">
        <v>8.0500000000000007</v>
      </c>
      <c r="AH190">
        <v>14.29</v>
      </c>
      <c r="AI190">
        <v>20</v>
      </c>
      <c r="AJ190">
        <v>70</v>
      </c>
      <c r="AK190">
        <v>2.68</v>
      </c>
      <c r="AL190">
        <v>10.74</v>
      </c>
      <c r="AM190">
        <v>20</v>
      </c>
      <c r="AN190">
        <v>2.68</v>
      </c>
      <c r="AO190">
        <v>9.4</v>
      </c>
      <c r="AP190">
        <v>22.22</v>
      </c>
      <c r="AQ190">
        <v>0</v>
      </c>
      <c r="AR190">
        <v>4.03</v>
      </c>
      <c r="AS190">
        <v>0</v>
      </c>
      <c r="AT190">
        <v>0</v>
      </c>
      <c r="AU190">
        <v>57.14</v>
      </c>
      <c r="AV190">
        <v>4.03</v>
      </c>
      <c r="AW190">
        <v>25.5</v>
      </c>
      <c r="AX190">
        <v>13.64</v>
      </c>
      <c r="AY190">
        <v>4.03</v>
      </c>
      <c r="AZ190">
        <v>17.45</v>
      </c>
      <c r="BA190">
        <v>18.75</v>
      </c>
      <c r="BB190">
        <v>1.34</v>
      </c>
      <c r="BC190">
        <v>4.03</v>
      </c>
      <c r="BD190">
        <v>25</v>
      </c>
      <c r="BE190">
        <v>33.33</v>
      </c>
      <c r="BF190">
        <v>76.92</v>
      </c>
      <c r="BG190">
        <v>5.37</v>
      </c>
      <c r="BH190">
        <v>46.98</v>
      </c>
      <c r="BI190">
        <v>10.26</v>
      </c>
      <c r="BJ190">
        <v>4.03</v>
      </c>
      <c r="BK190">
        <v>18.79</v>
      </c>
      <c r="BL190">
        <v>17.649999999999999</v>
      </c>
      <c r="BM190">
        <v>0</v>
      </c>
      <c r="BN190">
        <v>0</v>
      </c>
      <c r="BO190" t="s">
        <v>85</v>
      </c>
      <c r="BP190">
        <v>0</v>
      </c>
      <c r="BQ190">
        <v>100</v>
      </c>
      <c r="BR190">
        <v>11.11</v>
      </c>
      <c r="BS190">
        <v>82.35</v>
      </c>
      <c r="BT190">
        <v>0.93500000000000005</v>
      </c>
    </row>
    <row r="191" spans="1:72" x14ac:dyDescent="0.35">
      <c r="A191">
        <v>7</v>
      </c>
      <c r="B191" t="s">
        <v>44</v>
      </c>
      <c r="C191">
        <v>10</v>
      </c>
      <c r="D191">
        <v>6.38</v>
      </c>
      <c r="E191">
        <v>3</v>
      </c>
      <c r="F191">
        <v>6</v>
      </c>
      <c r="G191">
        <v>1</v>
      </c>
      <c r="H191">
        <v>3</v>
      </c>
      <c r="I191">
        <v>7</v>
      </c>
      <c r="J191">
        <v>0.35</v>
      </c>
      <c r="K191">
        <v>17.03</v>
      </c>
      <c r="L191">
        <v>93.64</v>
      </c>
      <c r="M191">
        <v>15.38</v>
      </c>
      <c r="N191">
        <v>17.03</v>
      </c>
      <c r="O191">
        <v>67.040000000000006</v>
      </c>
      <c r="P191">
        <v>20.25</v>
      </c>
      <c r="Q191">
        <v>12.77</v>
      </c>
      <c r="R191">
        <v>40.44</v>
      </c>
      <c r="S191">
        <v>24</v>
      </c>
      <c r="T191">
        <v>1.06</v>
      </c>
      <c r="U191">
        <v>3.19</v>
      </c>
      <c r="V191">
        <v>25</v>
      </c>
      <c r="W191">
        <v>2.2200000000000002</v>
      </c>
      <c r="X191">
        <v>6.1</v>
      </c>
      <c r="Y191">
        <v>26.68</v>
      </c>
      <c r="Z191">
        <v>9.58</v>
      </c>
      <c r="AA191">
        <v>54.27</v>
      </c>
      <c r="AB191">
        <v>15</v>
      </c>
      <c r="AC191">
        <v>6.38</v>
      </c>
      <c r="AD191">
        <v>31.92</v>
      </c>
      <c r="AE191">
        <v>16.670000000000002</v>
      </c>
      <c r="AF191">
        <v>1.06</v>
      </c>
      <c r="AG191">
        <v>2.13</v>
      </c>
      <c r="AH191">
        <v>33.33</v>
      </c>
      <c r="AI191">
        <v>16.670000000000002</v>
      </c>
      <c r="AJ191">
        <v>93.33</v>
      </c>
      <c r="AK191">
        <v>4.26</v>
      </c>
      <c r="AL191">
        <v>19.149999999999999</v>
      </c>
      <c r="AM191">
        <v>18.18</v>
      </c>
      <c r="AN191">
        <v>3.19</v>
      </c>
      <c r="AO191">
        <v>11.71</v>
      </c>
      <c r="AP191">
        <v>21.43</v>
      </c>
      <c r="AQ191">
        <v>1.06</v>
      </c>
      <c r="AR191">
        <v>0</v>
      </c>
      <c r="AS191">
        <v>100</v>
      </c>
      <c r="AT191">
        <v>33.33</v>
      </c>
      <c r="AU191">
        <v>100</v>
      </c>
      <c r="AV191">
        <v>5.32</v>
      </c>
      <c r="AW191">
        <v>35.119999999999997</v>
      </c>
      <c r="AX191">
        <v>13.16</v>
      </c>
      <c r="AY191">
        <v>3.19</v>
      </c>
      <c r="AZ191">
        <v>20.22</v>
      </c>
      <c r="BA191">
        <v>13.64</v>
      </c>
      <c r="BB191">
        <v>0</v>
      </c>
      <c r="BC191">
        <v>2.13</v>
      </c>
      <c r="BD191">
        <v>0</v>
      </c>
      <c r="BE191">
        <v>0</v>
      </c>
      <c r="BF191">
        <v>89.47</v>
      </c>
      <c r="BG191">
        <v>3.19</v>
      </c>
      <c r="BH191">
        <v>36.18</v>
      </c>
      <c r="BI191">
        <v>8.11</v>
      </c>
      <c r="BJ191">
        <v>2.13</v>
      </c>
      <c r="BK191">
        <v>8.51</v>
      </c>
      <c r="BL191">
        <v>20</v>
      </c>
      <c r="BM191">
        <v>0</v>
      </c>
      <c r="BN191">
        <v>1.06</v>
      </c>
      <c r="BO191">
        <v>0</v>
      </c>
      <c r="BP191">
        <v>0</v>
      </c>
      <c r="BQ191">
        <v>87.5</v>
      </c>
      <c r="BR191">
        <v>8.33</v>
      </c>
      <c r="BS191">
        <v>92.11</v>
      </c>
      <c r="BT191">
        <v>1.004</v>
      </c>
    </row>
    <row r="192" spans="1:72" x14ac:dyDescent="0.35">
      <c r="A192">
        <v>8</v>
      </c>
      <c r="B192" t="s">
        <v>45</v>
      </c>
      <c r="C192">
        <v>10</v>
      </c>
      <c r="D192">
        <v>5.09</v>
      </c>
      <c r="E192">
        <v>4</v>
      </c>
      <c r="F192">
        <v>6</v>
      </c>
      <c r="G192">
        <v>0</v>
      </c>
      <c r="H192">
        <v>3</v>
      </c>
      <c r="I192">
        <v>8</v>
      </c>
      <c r="J192">
        <v>0.4</v>
      </c>
      <c r="K192">
        <v>12.82</v>
      </c>
      <c r="L192">
        <v>101.36</v>
      </c>
      <c r="M192">
        <v>11.22</v>
      </c>
      <c r="N192">
        <v>11.65</v>
      </c>
      <c r="O192">
        <v>82.72</v>
      </c>
      <c r="P192">
        <v>12.35</v>
      </c>
      <c r="Q192">
        <v>10.49</v>
      </c>
      <c r="R192">
        <v>62.91</v>
      </c>
      <c r="S192">
        <v>14.29</v>
      </c>
      <c r="T192">
        <v>0</v>
      </c>
      <c r="U192">
        <v>11.65</v>
      </c>
      <c r="V192">
        <v>0</v>
      </c>
      <c r="W192">
        <v>0.47</v>
      </c>
      <c r="X192">
        <v>6.71</v>
      </c>
      <c r="Y192">
        <v>6.51</v>
      </c>
      <c r="Z192">
        <v>4.66</v>
      </c>
      <c r="AA192">
        <v>45.44</v>
      </c>
      <c r="AB192">
        <v>9.3000000000000007</v>
      </c>
      <c r="AC192">
        <v>3.5</v>
      </c>
      <c r="AD192">
        <v>34.950000000000003</v>
      </c>
      <c r="AE192">
        <v>9.09</v>
      </c>
      <c r="AF192">
        <v>0</v>
      </c>
      <c r="AG192">
        <v>5.83</v>
      </c>
      <c r="AH192">
        <v>0</v>
      </c>
      <c r="AI192">
        <v>0</v>
      </c>
      <c r="AJ192">
        <v>83.33</v>
      </c>
      <c r="AK192">
        <v>2.33</v>
      </c>
      <c r="AL192">
        <v>17.48</v>
      </c>
      <c r="AM192">
        <v>11.76</v>
      </c>
      <c r="AN192">
        <v>2.33</v>
      </c>
      <c r="AO192">
        <v>15.15</v>
      </c>
      <c r="AP192">
        <v>13.33</v>
      </c>
      <c r="AQ192">
        <v>0</v>
      </c>
      <c r="AR192">
        <v>2.33</v>
      </c>
      <c r="AS192">
        <v>0</v>
      </c>
      <c r="AT192">
        <v>0</v>
      </c>
      <c r="AU192">
        <v>84.62</v>
      </c>
      <c r="AV192">
        <v>2.33</v>
      </c>
      <c r="AW192">
        <v>27.96</v>
      </c>
      <c r="AX192">
        <v>7.69</v>
      </c>
      <c r="AY192">
        <v>1.17</v>
      </c>
      <c r="AZ192">
        <v>19.809999999999999</v>
      </c>
      <c r="BA192">
        <v>5.56</v>
      </c>
      <c r="BB192">
        <v>0</v>
      </c>
      <c r="BC192">
        <v>3.5</v>
      </c>
      <c r="BD192">
        <v>0</v>
      </c>
      <c r="BE192">
        <v>0</v>
      </c>
      <c r="BF192">
        <v>82.35</v>
      </c>
      <c r="BG192">
        <v>2.33</v>
      </c>
      <c r="BH192">
        <v>53.59</v>
      </c>
      <c r="BI192">
        <v>4.17</v>
      </c>
      <c r="BJ192">
        <v>1.17</v>
      </c>
      <c r="BK192">
        <v>27.96</v>
      </c>
      <c r="BL192">
        <v>4</v>
      </c>
      <c r="BM192">
        <v>0</v>
      </c>
      <c r="BN192">
        <v>5.83</v>
      </c>
      <c r="BO192">
        <v>0</v>
      </c>
      <c r="BP192">
        <v>0</v>
      </c>
      <c r="BQ192">
        <v>79.17</v>
      </c>
      <c r="BR192">
        <v>0</v>
      </c>
      <c r="BS192">
        <v>81.48</v>
      </c>
      <c r="BT192">
        <v>0.81499999999999995</v>
      </c>
    </row>
    <row r="193" spans="1:72" x14ac:dyDescent="0.35">
      <c r="A193">
        <v>9</v>
      </c>
      <c r="B193" t="s">
        <v>46</v>
      </c>
      <c r="C193">
        <v>10</v>
      </c>
      <c r="D193">
        <v>5.44</v>
      </c>
      <c r="E193">
        <v>6</v>
      </c>
      <c r="F193">
        <v>2</v>
      </c>
      <c r="G193">
        <v>2</v>
      </c>
      <c r="H193">
        <v>6</v>
      </c>
      <c r="I193">
        <v>14</v>
      </c>
      <c r="J193">
        <v>0.7</v>
      </c>
      <c r="K193">
        <v>11.42</v>
      </c>
      <c r="L193">
        <v>79.94</v>
      </c>
      <c r="M193">
        <v>12.5</v>
      </c>
      <c r="N193">
        <v>10.15</v>
      </c>
      <c r="O193">
        <v>62.18</v>
      </c>
      <c r="P193">
        <v>14.04</v>
      </c>
      <c r="Q193">
        <v>7.61</v>
      </c>
      <c r="R193">
        <v>36.799999999999997</v>
      </c>
      <c r="S193">
        <v>17.14</v>
      </c>
      <c r="T193">
        <v>0</v>
      </c>
      <c r="U193">
        <v>3.81</v>
      </c>
      <c r="V193">
        <v>0</v>
      </c>
      <c r="W193">
        <v>0.41</v>
      </c>
      <c r="X193">
        <v>4.8600000000000003</v>
      </c>
      <c r="Y193">
        <v>7.71</v>
      </c>
      <c r="Z193">
        <v>2.54</v>
      </c>
      <c r="AA193">
        <v>36.799999999999997</v>
      </c>
      <c r="AB193">
        <v>6.45</v>
      </c>
      <c r="AC193">
        <v>2.54</v>
      </c>
      <c r="AD193">
        <v>13.96</v>
      </c>
      <c r="AE193">
        <v>15.38</v>
      </c>
      <c r="AF193">
        <v>0</v>
      </c>
      <c r="AG193">
        <v>0</v>
      </c>
      <c r="AH193" t="s">
        <v>85</v>
      </c>
      <c r="AI193">
        <v>0</v>
      </c>
      <c r="AJ193">
        <v>100</v>
      </c>
      <c r="AK193">
        <v>1.27</v>
      </c>
      <c r="AL193">
        <v>17.77</v>
      </c>
      <c r="AM193">
        <v>6.67</v>
      </c>
      <c r="AN193">
        <v>1.27</v>
      </c>
      <c r="AO193">
        <v>8.8800000000000008</v>
      </c>
      <c r="AP193">
        <v>12.5</v>
      </c>
      <c r="AQ193">
        <v>0</v>
      </c>
      <c r="AR193">
        <v>0</v>
      </c>
      <c r="AS193" t="s">
        <v>85</v>
      </c>
      <c r="AT193">
        <v>0</v>
      </c>
      <c r="AU193">
        <v>100</v>
      </c>
      <c r="AV193">
        <v>1.27</v>
      </c>
      <c r="AW193">
        <v>19.03</v>
      </c>
      <c r="AX193">
        <v>6.25</v>
      </c>
      <c r="AY193">
        <v>1.27</v>
      </c>
      <c r="AZ193">
        <v>5.08</v>
      </c>
      <c r="BA193">
        <v>20</v>
      </c>
      <c r="BB193">
        <v>0</v>
      </c>
      <c r="BC193">
        <v>0</v>
      </c>
      <c r="BD193" t="s">
        <v>85</v>
      </c>
      <c r="BE193">
        <v>0</v>
      </c>
      <c r="BF193">
        <v>100</v>
      </c>
      <c r="BG193">
        <v>7.61</v>
      </c>
      <c r="BH193">
        <v>41.88</v>
      </c>
      <c r="BI193">
        <v>15.38</v>
      </c>
      <c r="BJ193">
        <v>3.81</v>
      </c>
      <c r="BK193">
        <v>22.84</v>
      </c>
      <c r="BL193">
        <v>14.29</v>
      </c>
      <c r="BM193">
        <v>0</v>
      </c>
      <c r="BN193">
        <v>3.81</v>
      </c>
      <c r="BO193">
        <v>0</v>
      </c>
      <c r="BP193">
        <v>0</v>
      </c>
      <c r="BQ193">
        <v>83.33</v>
      </c>
      <c r="BR193">
        <v>0</v>
      </c>
      <c r="BS193">
        <v>89.66</v>
      </c>
      <c r="BT193">
        <v>0.89700000000000002</v>
      </c>
    </row>
    <row r="194" spans="1:72" x14ac:dyDescent="0.35">
      <c r="A194">
        <v>10</v>
      </c>
      <c r="B194" t="s">
        <v>47</v>
      </c>
      <c r="C194">
        <v>10</v>
      </c>
      <c r="D194">
        <v>4.03</v>
      </c>
      <c r="E194">
        <v>4</v>
      </c>
      <c r="F194">
        <v>5</v>
      </c>
      <c r="G194">
        <v>1</v>
      </c>
      <c r="H194">
        <v>3</v>
      </c>
      <c r="I194">
        <v>9</v>
      </c>
      <c r="J194">
        <v>0.45</v>
      </c>
      <c r="K194">
        <v>19.3</v>
      </c>
      <c r="L194">
        <v>97.98</v>
      </c>
      <c r="M194">
        <v>16.46</v>
      </c>
      <c r="N194">
        <v>13.36</v>
      </c>
      <c r="O194">
        <v>78.680000000000007</v>
      </c>
      <c r="P194">
        <v>14.52</v>
      </c>
      <c r="Q194">
        <v>11.88</v>
      </c>
      <c r="R194">
        <v>54.93</v>
      </c>
      <c r="S194">
        <v>17.78</v>
      </c>
      <c r="T194">
        <v>0</v>
      </c>
      <c r="U194">
        <v>4.45</v>
      </c>
      <c r="V194">
        <v>0</v>
      </c>
      <c r="W194">
        <v>0.87</v>
      </c>
      <c r="X194">
        <v>6.52</v>
      </c>
      <c r="Y194">
        <v>11.72</v>
      </c>
      <c r="Z194">
        <v>7.42</v>
      </c>
      <c r="AA194">
        <v>35.630000000000003</v>
      </c>
      <c r="AB194">
        <v>17.239999999999998</v>
      </c>
      <c r="AC194">
        <v>5.94</v>
      </c>
      <c r="AD194">
        <v>28.21</v>
      </c>
      <c r="AE194">
        <v>17.39</v>
      </c>
      <c r="AF194">
        <v>0</v>
      </c>
      <c r="AG194">
        <v>2.97</v>
      </c>
      <c r="AH194">
        <v>0</v>
      </c>
      <c r="AI194">
        <v>0</v>
      </c>
      <c r="AJ194">
        <v>89.47</v>
      </c>
      <c r="AK194">
        <v>1.48</v>
      </c>
      <c r="AL194">
        <v>17.809999999999999</v>
      </c>
      <c r="AM194">
        <v>7.69</v>
      </c>
      <c r="AN194">
        <v>1.48</v>
      </c>
      <c r="AO194">
        <v>14.85</v>
      </c>
      <c r="AP194">
        <v>9.09</v>
      </c>
      <c r="AQ194">
        <v>0</v>
      </c>
      <c r="AR194">
        <v>2.97</v>
      </c>
      <c r="AS194">
        <v>0</v>
      </c>
      <c r="AT194">
        <v>0</v>
      </c>
      <c r="AU194">
        <v>80</v>
      </c>
      <c r="AV194">
        <v>5.94</v>
      </c>
      <c r="AW194">
        <v>17.809999999999999</v>
      </c>
      <c r="AX194">
        <v>25</v>
      </c>
      <c r="AY194">
        <v>4.45</v>
      </c>
      <c r="AZ194">
        <v>13.36</v>
      </c>
      <c r="BA194">
        <v>25</v>
      </c>
      <c r="BB194">
        <v>0</v>
      </c>
      <c r="BC194">
        <v>0</v>
      </c>
      <c r="BD194" t="s">
        <v>85</v>
      </c>
      <c r="BE194">
        <v>0</v>
      </c>
      <c r="BF194">
        <v>100</v>
      </c>
      <c r="BG194">
        <v>10.39</v>
      </c>
      <c r="BH194">
        <v>60.87</v>
      </c>
      <c r="BI194">
        <v>14.58</v>
      </c>
      <c r="BJ194">
        <v>5.94</v>
      </c>
      <c r="BK194">
        <v>26.72</v>
      </c>
      <c r="BL194">
        <v>18.18</v>
      </c>
      <c r="BM194">
        <v>0</v>
      </c>
      <c r="BN194">
        <v>1.48</v>
      </c>
      <c r="BO194">
        <v>0</v>
      </c>
      <c r="BP194">
        <v>0</v>
      </c>
      <c r="BQ194">
        <v>94.44</v>
      </c>
      <c r="BR194">
        <v>0</v>
      </c>
      <c r="BS194">
        <v>91.89</v>
      </c>
      <c r="BT194">
        <v>0.91900000000000004</v>
      </c>
    </row>
    <row r="195" spans="1:72" x14ac:dyDescent="0.35">
      <c r="A195">
        <v>11</v>
      </c>
      <c r="B195" t="s">
        <v>48</v>
      </c>
      <c r="C195">
        <v>10</v>
      </c>
      <c r="D195">
        <v>4.3499999999999996</v>
      </c>
      <c r="E195">
        <v>3</v>
      </c>
      <c r="F195">
        <v>7</v>
      </c>
      <c r="G195">
        <v>0</v>
      </c>
      <c r="H195">
        <v>3</v>
      </c>
      <c r="I195">
        <v>6</v>
      </c>
      <c r="J195">
        <v>0.3</v>
      </c>
      <c r="K195">
        <v>8.3699999999999992</v>
      </c>
      <c r="L195">
        <v>85.4</v>
      </c>
      <c r="M195">
        <v>8.93</v>
      </c>
      <c r="N195">
        <v>8.3699999999999992</v>
      </c>
      <c r="O195">
        <v>68.650000000000006</v>
      </c>
      <c r="P195">
        <v>10.87</v>
      </c>
      <c r="Q195">
        <v>8.3699999999999992</v>
      </c>
      <c r="R195">
        <v>48.56</v>
      </c>
      <c r="S195">
        <v>14.71</v>
      </c>
      <c r="T195">
        <v>0</v>
      </c>
      <c r="U195">
        <v>10.050000000000001</v>
      </c>
      <c r="V195">
        <v>0</v>
      </c>
      <c r="W195">
        <v>0.3</v>
      </c>
      <c r="X195">
        <v>6.49</v>
      </c>
      <c r="Y195">
        <v>4.47</v>
      </c>
      <c r="Z195">
        <v>1.67</v>
      </c>
      <c r="AA195">
        <v>45.21</v>
      </c>
      <c r="AB195">
        <v>3.57</v>
      </c>
      <c r="AC195">
        <v>1.67</v>
      </c>
      <c r="AD195">
        <v>35.159999999999997</v>
      </c>
      <c r="AE195">
        <v>4.55</v>
      </c>
      <c r="AF195">
        <v>0</v>
      </c>
      <c r="AG195">
        <v>8.3699999999999992</v>
      </c>
      <c r="AH195">
        <v>0</v>
      </c>
      <c r="AI195">
        <v>0</v>
      </c>
      <c r="AJ195">
        <v>76.19</v>
      </c>
      <c r="AK195">
        <v>0</v>
      </c>
      <c r="AL195">
        <v>16.739999999999998</v>
      </c>
      <c r="AM195">
        <v>0</v>
      </c>
      <c r="AN195">
        <v>0</v>
      </c>
      <c r="AO195">
        <v>16.739999999999998</v>
      </c>
      <c r="AP195">
        <v>0</v>
      </c>
      <c r="AQ195">
        <v>0</v>
      </c>
      <c r="AR195">
        <v>3.35</v>
      </c>
      <c r="AS195">
        <v>0</v>
      </c>
      <c r="AT195" t="s">
        <v>85</v>
      </c>
      <c r="AU195">
        <v>80</v>
      </c>
      <c r="AV195">
        <v>1.67</v>
      </c>
      <c r="AW195">
        <v>28.47</v>
      </c>
      <c r="AX195">
        <v>5.56</v>
      </c>
      <c r="AY195">
        <v>1.67</v>
      </c>
      <c r="AZ195">
        <v>18.420000000000002</v>
      </c>
      <c r="BA195">
        <v>8.33</v>
      </c>
      <c r="BB195">
        <v>0</v>
      </c>
      <c r="BC195">
        <v>5.0199999999999996</v>
      </c>
      <c r="BD195">
        <v>0</v>
      </c>
      <c r="BE195">
        <v>0</v>
      </c>
      <c r="BF195">
        <v>72.73</v>
      </c>
      <c r="BG195">
        <v>3.35</v>
      </c>
      <c r="BH195">
        <v>40.19</v>
      </c>
      <c r="BI195">
        <v>7.69</v>
      </c>
      <c r="BJ195">
        <v>3.35</v>
      </c>
      <c r="BK195">
        <v>13.4</v>
      </c>
      <c r="BL195">
        <v>20</v>
      </c>
      <c r="BM195">
        <v>0</v>
      </c>
      <c r="BN195">
        <v>1.67</v>
      </c>
      <c r="BO195">
        <v>0</v>
      </c>
      <c r="BP195">
        <v>0</v>
      </c>
      <c r="BQ195">
        <v>87.5</v>
      </c>
      <c r="BR195">
        <v>0</v>
      </c>
      <c r="BS195">
        <v>79.31</v>
      </c>
      <c r="BT195">
        <v>0.79300000000000004</v>
      </c>
    </row>
    <row r="196" spans="1:72" x14ac:dyDescent="0.35">
      <c r="A196">
        <v>12</v>
      </c>
      <c r="B196" t="s">
        <v>49</v>
      </c>
      <c r="C196">
        <v>10</v>
      </c>
      <c r="D196">
        <v>4.16</v>
      </c>
      <c r="E196">
        <v>7</v>
      </c>
      <c r="F196">
        <v>3</v>
      </c>
      <c r="G196">
        <v>0</v>
      </c>
      <c r="H196">
        <v>7</v>
      </c>
      <c r="I196">
        <v>14</v>
      </c>
      <c r="J196">
        <v>0.7</v>
      </c>
      <c r="K196">
        <v>12.66</v>
      </c>
      <c r="L196">
        <v>128.02000000000001</v>
      </c>
      <c r="M196">
        <v>9</v>
      </c>
      <c r="N196">
        <v>11.25</v>
      </c>
      <c r="O196">
        <v>85.81</v>
      </c>
      <c r="P196">
        <v>11.59</v>
      </c>
      <c r="Q196">
        <v>5.63</v>
      </c>
      <c r="R196">
        <v>56.27</v>
      </c>
      <c r="S196">
        <v>9.09</v>
      </c>
      <c r="T196">
        <v>0</v>
      </c>
      <c r="U196">
        <v>4.22</v>
      </c>
      <c r="V196">
        <v>0</v>
      </c>
      <c r="W196">
        <v>0.59</v>
      </c>
      <c r="X196">
        <v>7.55</v>
      </c>
      <c r="Y196">
        <v>7.29</v>
      </c>
      <c r="Z196">
        <v>5.63</v>
      </c>
      <c r="AA196">
        <v>75.97</v>
      </c>
      <c r="AB196">
        <v>6.9</v>
      </c>
      <c r="AC196">
        <v>2.81</v>
      </c>
      <c r="AD196">
        <v>32.36</v>
      </c>
      <c r="AE196">
        <v>8</v>
      </c>
      <c r="AF196">
        <v>0</v>
      </c>
      <c r="AG196">
        <v>2.81</v>
      </c>
      <c r="AH196">
        <v>0</v>
      </c>
      <c r="AI196">
        <v>0</v>
      </c>
      <c r="AJ196">
        <v>91.3</v>
      </c>
      <c r="AK196">
        <v>1.41</v>
      </c>
      <c r="AL196">
        <v>28.14</v>
      </c>
      <c r="AM196">
        <v>4.76</v>
      </c>
      <c r="AN196">
        <v>1.41</v>
      </c>
      <c r="AO196">
        <v>14.07</v>
      </c>
      <c r="AP196">
        <v>9.09</v>
      </c>
      <c r="AQ196">
        <v>0</v>
      </c>
      <c r="AR196">
        <v>1.41</v>
      </c>
      <c r="AS196">
        <v>0</v>
      </c>
      <c r="AT196">
        <v>0</v>
      </c>
      <c r="AU196">
        <v>90</v>
      </c>
      <c r="AV196">
        <v>4.22</v>
      </c>
      <c r="AW196">
        <v>47.83</v>
      </c>
      <c r="AX196">
        <v>8.11</v>
      </c>
      <c r="AY196">
        <v>1.41</v>
      </c>
      <c r="AZ196">
        <v>18.29</v>
      </c>
      <c r="BA196">
        <v>7.14</v>
      </c>
      <c r="BB196">
        <v>0</v>
      </c>
      <c r="BC196">
        <v>1.41</v>
      </c>
      <c r="BD196">
        <v>0</v>
      </c>
      <c r="BE196">
        <v>0</v>
      </c>
      <c r="BF196">
        <v>92.31</v>
      </c>
      <c r="BG196">
        <v>2.81</v>
      </c>
      <c r="BH196">
        <v>49.24</v>
      </c>
      <c r="BI196">
        <v>5.41</v>
      </c>
      <c r="BJ196">
        <v>1.41</v>
      </c>
      <c r="BK196">
        <v>23.92</v>
      </c>
      <c r="BL196">
        <v>5.56</v>
      </c>
      <c r="BM196">
        <v>0</v>
      </c>
      <c r="BN196">
        <v>1.41</v>
      </c>
      <c r="BO196">
        <v>0</v>
      </c>
      <c r="BP196">
        <v>0</v>
      </c>
      <c r="BQ196">
        <v>94.12</v>
      </c>
      <c r="BR196">
        <v>0</v>
      </c>
      <c r="BS196">
        <v>92.5</v>
      </c>
      <c r="BT196">
        <v>0.92500000000000004</v>
      </c>
    </row>
    <row r="197" spans="1:72" x14ac:dyDescent="0.35">
      <c r="A197">
        <v>13</v>
      </c>
      <c r="B197" t="s">
        <v>50</v>
      </c>
      <c r="C197">
        <v>10</v>
      </c>
      <c r="D197">
        <v>5.14</v>
      </c>
      <c r="E197">
        <v>6</v>
      </c>
      <c r="F197">
        <v>4</v>
      </c>
      <c r="G197">
        <v>0</v>
      </c>
      <c r="H197">
        <v>6</v>
      </c>
      <c r="I197">
        <v>12</v>
      </c>
      <c r="J197">
        <v>0.6</v>
      </c>
      <c r="K197">
        <v>13.76</v>
      </c>
      <c r="L197">
        <v>83.69</v>
      </c>
      <c r="M197">
        <v>14.12</v>
      </c>
      <c r="N197">
        <v>10.32</v>
      </c>
      <c r="O197">
        <v>66.5</v>
      </c>
      <c r="P197">
        <v>13.43</v>
      </c>
      <c r="Q197">
        <v>9.17</v>
      </c>
      <c r="R197">
        <v>49.3</v>
      </c>
      <c r="S197">
        <v>15.69</v>
      </c>
      <c r="T197">
        <v>0</v>
      </c>
      <c r="U197">
        <v>6.88</v>
      </c>
      <c r="V197">
        <v>0</v>
      </c>
      <c r="W197">
        <v>0.75</v>
      </c>
      <c r="X197">
        <v>5.58</v>
      </c>
      <c r="Y197">
        <v>11.88</v>
      </c>
      <c r="Z197">
        <v>5.73</v>
      </c>
      <c r="AA197">
        <v>41.27</v>
      </c>
      <c r="AB197">
        <v>12.2</v>
      </c>
      <c r="AC197">
        <v>4.59</v>
      </c>
      <c r="AD197">
        <v>27.52</v>
      </c>
      <c r="AE197">
        <v>14.29</v>
      </c>
      <c r="AF197">
        <v>0</v>
      </c>
      <c r="AG197">
        <v>4.59</v>
      </c>
      <c r="AH197">
        <v>0</v>
      </c>
      <c r="AI197">
        <v>0</v>
      </c>
      <c r="AJ197">
        <v>83.33</v>
      </c>
      <c r="AK197">
        <v>3.44</v>
      </c>
      <c r="AL197">
        <v>17.2</v>
      </c>
      <c r="AM197">
        <v>16.670000000000002</v>
      </c>
      <c r="AN197">
        <v>3.44</v>
      </c>
      <c r="AO197">
        <v>13.76</v>
      </c>
      <c r="AP197">
        <v>20</v>
      </c>
      <c r="AQ197">
        <v>0</v>
      </c>
      <c r="AR197">
        <v>4.59</v>
      </c>
      <c r="AS197">
        <v>0</v>
      </c>
      <c r="AT197">
        <v>0</v>
      </c>
      <c r="AU197">
        <v>66.67</v>
      </c>
      <c r="AV197">
        <v>2.29</v>
      </c>
      <c r="AW197">
        <v>24.08</v>
      </c>
      <c r="AX197">
        <v>8.6999999999999993</v>
      </c>
      <c r="AY197">
        <v>1.1499999999999999</v>
      </c>
      <c r="AZ197">
        <v>13.76</v>
      </c>
      <c r="BA197">
        <v>7.69</v>
      </c>
      <c r="BB197">
        <v>0</v>
      </c>
      <c r="BC197">
        <v>0</v>
      </c>
      <c r="BD197" t="s">
        <v>85</v>
      </c>
      <c r="BE197">
        <v>0</v>
      </c>
      <c r="BF197">
        <v>100</v>
      </c>
      <c r="BG197">
        <v>4.59</v>
      </c>
      <c r="BH197">
        <v>40.130000000000003</v>
      </c>
      <c r="BI197">
        <v>10.26</v>
      </c>
      <c r="BJ197">
        <v>2.29</v>
      </c>
      <c r="BK197">
        <v>20.64</v>
      </c>
      <c r="BL197">
        <v>10</v>
      </c>
      <c r="BM197">
        <v>0</v>
      </c>
      <c r="BN197">
        <v>2.29</v>
      </c>
      <c r="BO197">
        <v>0</v>
      </c>
      <c r="BP197">
        <v>0</v>
      </c>
      <c r="BQ197">
        <v>88.89</v>
      </c>
      <c r="BR197">
        <v>0</v>
      </c>
      <c r="BS197">
        <v>86.05</v>
      </c>
      <c r="BT197">
        <v>0.86</v>
      </c>
    </row>
    <row r="198" spans="1:72" x14ac:dyDescent="0.35">
      <c r="A198">
        <v>14</v>
      </c>
      <c r="B198" t="s">
        <v>51</v>
      </c>
      <c r="C198">
        <v>10</v>
      </c>
      <c r="D198">
        <v>5.4</v>
      </c>
      <c r="E198">
        <v>3</v>
      </c>
      <c r="F198">
        <v>5</v>
      </c>
      <c r="G198">
        <v>2</v>
      </c>
      <c r="H198">
        <v>3</v>
      </c>
      <c r="I198">
        <v>8</v>
      </c>
      <c r="J198">
        <v>0.4</v>
      </c>
      <c r="K198">
        <v>11.58</v>
      </c>
      <c r="L198">
        <v>110.69</v>
      </c>
      <c r="M198">
        <v>9.4700000000000006</v>
      </c>
      <c r="N198">
        <v>10.3</v>
      </c>
      <c r="O198">
        <v>87.52</v>
      </c>
      <c r="P198">
        <v>10.53</v>
      </c>
      <c r="Q198">
        <v>9.01</v>
      </c>
      <c r="R198">
        <v>65.64</v>
      </c>
      <c r="S198">
        <v>12.07</v>
      </c>
      <c r="T198">
        <v>0</v>
      </c>
      <c r="U198">
        <v>0</v>
      </c>
      <c r="V198" t="s">
        <v>85</v>
      </c>
      <c r="W198">
        <v>0.3</v>
      </c>
      <c r="X198">
        <v>6.83</v>
      </c>
      <c r="Y198">
        <v>4.17</v>
      </c>
      <c r="Z198">
        <v>3.86</v>
      </c>
      <c r="AA198">
        <v>51.48</v>
      </c>
      <c r="AB198">
        <v>6.98</v>
      </c>
      <c r="AC198">
        <v>2.57</v>
      </c>
      <c r="AD198">
        <v>33.46</v>
      </c>
      <c r="AE198">
        <v>7.14</v>
      </c>
      <c r="AF198">
        <v>0</v>
      </c>
      <c r="AG198">
        <v>0</v>
      </c>
      <c r="AH198" t="s">
        <v>85</v>
      </c>
      <c r="AI198">
        <v>0</v>
      </c>
      <c r="AJ198">
        <v>100</v>
      </c>
      <c r="AK198">
        <v>0</v>
      </c>
      <c r="AL198">
        <v>12.87</v>
      </c>
      <c r="AM198">
        <v>0</v>
      </c>
      <c r="AN198">
        <v>0</v>
      </c>
      <c r="AO198">
        <v>9.01</v>
      </c>
      <c r="AP198">
        <v>0</v>
      </c>
      <c r="AQ198">
        <v>0</v>
      </c>
      <c r="AR198">
        <v>0</v>
      </c>
      <c r="AS198" t="s">
        <v>85</v>
      </c>
      <c r="AT198" t="s">
        <v>85</v>
      </c>
      <c r="AU198">
        <v>100</v>
      </c>
      <c r="AV198">
        <v>3.86</v>
      </c>
      <c r="AW198">
        <v>38.61</v>
      </c>
      <c r="AX198">
        <v>9.09</v>
      </c>
      <c r="AY198">
        <v>2.57</v>
      </c>
      <c r="AZ198">
        <v>24.45</v>
      </c>
      <c r="BA198">
        <v>9.52</v>
      </c>
      <c r="BB198">
        <v>0</v>
      </c>
      <c r="BC198">
        <v>0</v>
      </c>
      <c r="BD198" t="s">
        <v>85</v>
      </c>
      <c r="BE198">
        <v>0</v>
      </c>
      <c r="BF198">
        <v>100</v>
      </c>
      <c r="BG198">
        <v>2.57</v>
      </c>
      <c r="BH198">
        <v>57.92</v>
      </c>
      <c r="BI198">
        <v>4.26</v>
      </c>
      <c r="BJ198">
        <v>1.29</v>
      </c>
      <c r="BK198">
        <v>32.18</v>
      </c>
      <c r="BL198">
        <v>3.85</v>
      </c>
      <c r="BM198">
        <v>0</v>
      </c>
      <c r="BN198">
        <v>0</v>
      </c>
      <c r="BO198" t="s">
        <v>85</v>
      </c>
      <c r="BP198">
        <v>0</v>
      </c>
      <c r="BQ198">
        <v>100</v>
      </c>
      <c r="BR198">
        <v>0</v>
      </c>
      <c r="BS198">
        <v>100</v>
      </c>
      <c r="BT198">
        <v>1</v>
      </c>
    </row>
    <row r="199" spans="1:72" x14ac:dyDescent="0.35">
      <c r="A199">
        <v>15</v>
      </c>
      <c r="B199" t="s">
        <v>52</v>
      </c>
      <c r="C199">
        <v>10</v>
      </c>
      <c r="D199">
        <v>5.41</v>
      </c>
      <c r="E199">
        <v>5</v>
      </c>
      <c r="F199">
        <v>4</v>
      </c>
      <c r="G199">
        <v>1</v>
      </c>
      <c r="H199">
        <v>5</v>
      </c>
      <c r="I199">
        <v>11</v>
      </c>
      <c r="J199">
        <v>0.55000000000000004</v>
      </c>
      <c r="K199">
        <v>10.26</v>
      </c>
      <c r="L199">
        <v>96.15</v>
      </c>
      <c r="M199">
        <v>9.64</v>
      </c>
      <c r="N199">
        <v>8.9700000000000006</v>
      </c>
      <c r="O199">
        <v>80.77</v>
      </c>
      <c r="P199">
        <v>10</v>
      </c>
      <c r="Q199">
        <v>8.9700000000000006</v>
      </c>
      <c r="R199">
        <v>67.95</v>
      </c>
      <c r="S199">
        <v>11.67</v>
      </c>
      <c r="T199">
        <v>1.28</v>
      </c>
      <c r="U199">
        <v>7.69</v>
      </c>
      <c r="V199">
        <v>14.29</v>
      </c>
      <c r="W199">
        <v>0.27</v>
      </c>
      <c r="X199">
        <v>6.18</v>
      </c>
      <c r="Y199">
        <v>4.21</v>
      </c>
      <c r="Z199">
        <v>2.56</v>
      </c>
      <c r="AA199">
        <v>39.74</v>
      </c>
      <c r="AB199">
        <v>6.06</v>
      </c>
      <c r="AC199">
        <v>2.56</v>
      </c>
      <c r="AD199">
        <v>34.619999999999997</v>
      </c>
      <c r="AE199">
        <v>6.9</v>
      </c>
      <c r="AF199">
        <v>1.28</v>
      </c>
      <c r="AG199">
        <v>5.13</v>
      </c>
      <c r="AH199">
        <v>20</v>
      </c>
      <c r="AI199">
        <v>50</v>
      </c>
      <c r="AJ199">
        <v>85.19</v>
      </c>
      <c r="AK199">
        <v>1.28</v>
      </c>
      <c r="AL199">
        <v>17.95</v>
      </c>
      <c r="AM199">
        <v>6.67</v>
      </c>
      <c r="AN199">
        <v>1.28</v>
      </c>
      <c r="AO199">
        <v>14.1</v>
      </c>
      <c r="AP199">
        <v>8.33</v>
      </c>
      <c r="AQ199">
        <v>0</v>
      </c>
      <c r="AR199">
        <v>2.56</v>
      </c>
      <c r="AS199">
        <v>0</v>
      </c>
      <c r="AT199">
        <v>0</v>
      </c>
      <c r="AU199">
        <v>81.819999999999993</v>
      </c>
      <c r="AV199">
        <v>1.28</v>
      </c>
      <c r="AW199">
        <v>21.79</v>
      </c>
      <c r="AX199">
        <v>5.56</v>
      </c>
      <c r="AY199">
        <v>1.28</v>
      </c>
      <c r="AZ199">
        <v>20.51</v>
      </c>
      <c r="BA199">
        <v>5.88</v>
      </c>
      <c r="BB199">
        <v>1.28</v>
      </c>
      <c r="BC199">
        <v>2.56</v>
      </c>
      <c r="BD199">
        <v>33.33</v>
      </c>
      <c r="BE199">
        <v>100</v>
      </c>
      <c r="BF199">
        <v>87.5</v>
      </c>
      <c r="BG199">
        <v>3.85</v>
      </c>
      <c r="BH199">
        <v>56.41</v>
      </c>
      <c r="BI199">
        <v>6.38</v>
      </c>
      <c r="BJ199">
        <v>2.56</v>
      </c>
      <c r="BK199">
        <v>33.33</v>
      </c>
      <c r="BL199">
        <v>7.14</v>
      </c>
      <c r="BM199">
        <v>0</v>
      </c>
      <c r="BN199">
        <v>2.56</v>
      </c>
      <c r="BO199">
        <v>0</v>
      </c>
      <c r="BP199">
        <v>0</v>
      </c>
      <c r="BQ199">
        <v>92.31</v>
      </c>
      <c r="BR199">
        <v>14.29</v>
      </c>
      <c r="BS199">
        <v>88.68</v>
      </c>
      <c r="BT199">
        <v>1.03</v>
      </c>
    </row>
    <row r="200" spans="1:72" x14ac:dyDescent="0.35">
      <c r="A200">
        <v>16</v>
      </c>
      <c r="B200" t="s">
        <v>53</v>
      </c>
      <c r="C200">
        <v>10</v>
      </c>
      <c r="D200">
        <v>5.08</v>
      </c>
      <c r="E200">
        <v>2</v>
      </c>
      <c r="F200">
        <v>3</v>
      </c>
      <c r="G200">
        <v>5</v>
      </c>
      <c r="H200">
        <v>2</v>
      </c>
      <c r="I200">
        <v>9</v>
      </c>
      <c r="J200">
        <v>0.45</v>
      </c>
      <c r="K200">
        <v>7.02</v>
      </c>
      <c r="L200">
        <v>111.08</v>
      </c>
      <c r="M200">
        <v>5.94</v>
      </c>
      <c r="N200">
        <v>3.51</v>
      </c>
      <c r="O200">
        <v>97.04</v>
      </c>
      <c r="P200">
        <v>3.49</v>
      </c>
      <c r="Q200">
        <v>3.51</v>
      </c>
      <c r="R200">
        <v>73.66</v>
      </c>
      <c r="S200">
        <v>4.55</v>
      </c>
      <c r="T200">
        <v>0</v>
      </c>
      <c r="U200">
        <v>9.35</v>
      </c>
      <c r="V200">
        <v>0</v>
      </c>
      <c r="W200">
        <v>0.31</v>
      </c>
      <c r="X200">
        <v>9.31</v>
      </c>
      <c r="Y200">
        <v>3.24</v>
      </c>
      <c r="Z200">
        <v>2.34</v>
      </c>
      <c r="AA200">
        <v>71.319999999999993</v>
      </c>
      <c r="AB200">
        <v>3.17</v>
      </c>
      <c r="AC200">
        <v>2.34</v>
      </c>
      <c r="AD200">
        <v>49.11</v>
      </c>
      <c r="AE200">
        <v>4.55</v>
      </c>
      <c r="AF200">
        <v>0</v>
      </c>
      <c r="AG200">
        <v>7.02</v>
      </c>
      <c r="AH200">
        <v>0</v>
      </c>
      <c r="AI200">
        <v>0</v>
      </c>
      <c r="AJ200">
        <v>85.71</v>
      </c>
      <c r="AK200">
        <v>2.34</v>
      </c>
      <c r="AL200">
        <v>29.23</v>
      </c>
      <c r="AM200">
        <v>7.41</v>
      </c>
      <c r="AN200">
        <v>2.34</v>
      </c>
      <c r="AO200">
        <v>23.38</v>
      </c>
      <c r="AP200">
        <v>9.09</v>
      </c>
      <c r="AQ200">
        <v>0</v>
      </c>
      <c r="AR200">
        <v>3.51</v>
      </c>
      <c r="AS200">
        <v>0</v>
      </c>
      <c r="AT200">
        <v>0</v>
      </c>
      <c r="AU200">
        <v>85</v>
      </c>
      <c r="AV200">
        <v>0</v>
      </c>
      <c r="AW200">
        <v>42.09</v>
      </c>
      <c r="AX200">
        <v>0</v>
      </c>
      <c r="AY200">
        <v>0</v>
      </c>
      <c r="AZ200">
        <v>25.72</v>
      </c>
      <c r="BA200">
        <v>0</v>
      </c>
      <c r="BB200">
        <v>0</v>
      </c>
      <c r="BC200">
        <v>3.51</v>
      </c>
      <c r="BD200">
        <v>0</v>
      </c>
      <c r="BE200" t="s">
        <v>85</v>
      </c>
      <c r="BF200">
        <v>86.36</v>
      </c>
      <c r="BG200">
        <v>2.34</v>
      </c>
      <c r="BH200">
        <v>39.75</v>
      </c>
      <c r="BI200">
        <v>5.56</v>
      </c>
      <c r="BJ200">
        <v>0</v>
      </c>
      <c r="BK200">
        <v>24.55</v>
      </c>
      <c r="BL200">
        <v>0</v>
      </c>
      <c r="BM200">
        <v>0</v>
      </c>
      <c r="BN200">
        <v>2.34</v>
      </c>
      <c r="BO200">
        <v>0</v>
      </c>
      <c r="BP200" t="s">
        <v>85</v>
      </c>
      <c r="BQ200">
        <v>90.48</v>
      </c>
      <c r="BR200">
        <v>0</v>
      </c>
      <c r="BS200">
        <v>87.3</v>
      </c>
      <c r="BT200">
        <v>0.873</v>
      </c>
    </row>
    <row r="201" spans="1:72" x14ac:dyDescent="0.35">
      <c r="A201">
        <v>17</v>
      </c>
      <c r="B201" t="s">
        <v>54</v>
      </c>
      <c r="C201">
        <v>10</v>
      </c>
      <c r="D201">
        <v>5.44</v>
      </c>
      <c r="E201">
        <v>7</v>
      </c>
      <c r="F201">
        <v>2</v>
      </c>
      <c r="G201">
        <v>1</v>
      </c>
      <c r="H201">
        <v>7</v>
      </c>
      <c r="I201">
        <v>15</v>
      </c>
      <c r="J201">
        <v>0.75</v>
      </c>
      <c r="K201">
        <v>12.68</v>
      </c>
      <c r="L201">
        <v>101.48</v>
      </c>
      <c r="M201">
        <v>11.11</v>
      </c>
      <c r="N201">
        <v>10.15</v>
      </c>
      <c r="O201">
        <v>84.99</v>
      </c>
      <c r="P201">
        <v>10.67</v>
      </c>
      <c r="Q201">
        <v>8.8800000000000008</v>
      </c>
      <c r="R201">
        <v>71.040000000000006</v>
      </c>
      <c r="S201">
        <v>11.11</v>
      </c>
      <c r="T201">
        <v>1.27</v>
      </c>
      <c r="U201">
        <v>13.95</v>
      </c>
      <c r="V201">
        <v>8.33</v>
      </c>
      <c r="W201">
        <v>0.79</v>
      </c>
      <c r="X201">
        <v>8.58</v>
      </c>
      <c r="Y201">
        <v>8.4700000000000006</v>
      </c>
      <c r="Z201">
        <v>6.34</v>
      </c>
      <c r="AA201">
        <v>58.35</v>
      </c>
      <c r="AB201">
        <v>9.8000000000000007</v>
      </c>
      <c r="AC201">
        <v>3.81</v>
      </c>
      <c r="AD201">
        <v>46.93</v>
      </c>
      <c r="AE201">
        <v>7.5</v>
      </c>
      <c r="AF201">
        <v>1.27</v>
      </c>
      <c r="AG201">
        <v>11.42</v>
      </c>
      <c r="AH201">
        <v>10</v>
      </c>
      <c r="AI201">
        <v>33.33</v>
      </c>
      <c r="AJ201">
        <v>75.680000000000007</v>
      </c>
      <c r="AK201">
        <v>5.07</v>
      </c>
      <c r="AL201">
        <v>29.18</v>
      </c>
      <c r="AM201">
        <v>14.81</v>
      </c>
      <c r="AN201">
        <v>2.54</v>
      </c>
      <c r="AO201">
        <v>26.64</v>
      </c>
      <c r="AP201">
        <v>8.6999999999999993</v>
      </c>
      <c r="AQ201">
        <v>1.27</v>
      </c>
      <c r="AR201">
        <v>8.8800000000000008</v>
      </c>
      <c r="AS201">
        <v>12.5</v>
      </c>
      <c r="AT201">
        <v>50</v>
      </c>
      <c r="AU201">
        <v>66.67</v>
      </c>
      <c r="AV201">
        <v>1.27</v>
      </c>
      <c r="AW201">
        <v>29.18</v>
      </c>
      <c r="AX201">
        <v>4.17</v>
      </c>
      <c r="AY201">
        <v>1.27</v>
      </c>
      <c r="AZ201">
        <v>20.3</v>
      </c>
      <c r="BA201">
        <v>5.88</v>
      </c>
      <c r="BB201">
        <v>0</v>
      </c>
      <c r="BC201">
        <v>2.54</v>
      </c>
      <c r="BD201">
        <v>0</v>
      </c>
      <c r="BE201">
        <v>0</v>
      </c>
      <c r="BF201">
        <v>87.5</v>
      </c>
      <c r="BG201">
        <v>5.07</v>
      </c>
      <c r="BH201">
        <v>41.86</v>
      </c>
      <c r="BI201">
        <v>10.81</v>
      </c>
      <c r="BJ201">
        <v>3.81</v>
      </c>
      <c r="BK201">
        <v>24.1</v>
      </c>
      <c r="BL201">
        <v>13.64</v>
      </c>
      <c r="BM201">
        <v>0</v>
      </c>
      <c r="BN201">
        <v>2.54</v>
      </c>
      <c r="BO201">
        <v>0</v>
      </c>
      <c r="BP201">
        <v>0</v>
      </c>
      <c r="BQ201">
        <v>89.47</v>
      </c>
      <c r="BR201">
        <v>14.29</v>
      </c>
      <c r="BS201">
        <v>80.36</v>
      </c>
      <c r="BT201">
        <v>0.94599999999999995</v>
      </c>
    </row>
    <row r="202" spans="1:72" x14ac:dyDescent="0.35">
      <c r="A202">
        <v>18</v>
      </c>
      <c r="B202" t="s">
        <v>55</v>
      </c>
      <c r="C202">
        <v>10</v>
      </c>
      <c r="D202">
        <v>5.28</v>
      </c>
      <c r="E202">
        <v>5</v>
      </c>
      <c r="F202">
        <v>4</v>
      </c>
      <c r="G202">
        <v>1</v>
      </c>
      <c r="H202">
        <v>3</v>
      </c>
      <c r="I202">
        <v>11</v>
      </c>
      <c r="J202">
        <v>0.55000000000000004</v>
      </c>
      <c r="K202">
        <v>10.99</v>
      </c>
      <c r="L202">
        <v>92.31</v>
      </c>
      <c r="M202">
        <v>10.64</v>
      </c>
      <c r="N202">
        <v>8.7899999999999991</v>
      </c>
      <c r="O202">
        <v>67.03</v>
      </c>
      <c r="P202">
        <v>11.59</v>
      </c>
      <c r="Q202">
        <v>6.59</v>
      </c>
      <c r="R202">
        <v>57.14</v>
      </c>
      <c r="S202">
        <v>10.34</v>
      </c>
      <c r="T202">
        <v>1.1000000000000001</v>
      </c>
      <c r="U202">
        <v>7.69</v>
      </c>
      <c r="V202">
        <v>12.5</v>
      </c>
      <c r="W202">
        <v>0.36</v>
      </c>
      <c r="X202">
        <v>7.09</v>
      </c>
      <c r="Y202">
        <v>4.8600000000000003</v>
      </c>
      <c r="Z202">
        <v>4.4000000000000004</v>
      </c>
      <c r="AA202">
        <v>49.45</v>
      </c>
      <c r="AB202">
        <v>8.16</v>
      </c>
      <c r="AC202">
        <v>3.3</v>
      </c>
      <c r="AD202">
        <v>35.159999999999997</v>
      </c>
      <c r="AE202">
        <v>8.57</v>
      </c>
      <c r="AF202">
        <v>1.1000000000000001</v>
      </c>
      <c r="AG202">
        <v>7.69</v>
      </c>
      <c r="AH202">
        <v>12.5</v>
      </c>
      <c r="AI202">
        <v>33.33</v>
      </c>
      <c r="AJ202">
        <v>78.13</v>
      </c>
      <c r="AK202">
        <v>1.1000000000000001</v>
      </c>
      <c r="AL202">
        <v>20.88</v>
      </c>
      <c r="AM202">
        <v>5</v>
      </c>
      <c r="AN202">
        <v>1.1000000000000001</v>
      </c>
      <c r="AO202">
        <v>19.78</v>
      </c>
      <c r="AP202">
        <v>5.26</v>
      </c>
      <c r="AQ202">
        <v>0</v>
      </c>
      <c r="AR202">
        <v>4.4000000000000004</v>
      </c>
      <c r="AS202">
        <v>0</v>
      </c>
      <c r="AT202">
        <v>0</v>
      </c>
      <c r="AU202">
        <v>77.78</v>
      </c>
      <c r="AV202">
        <v>3.3</v>
      </c>
      <c r="AW202">
        <v>28.57</v>
      </c>
      <c r="AX202">
        <v>10.34</v>
      </c>
      <c r="AY202">
        <v>2.2000000000000002</v>
      </c>
      <c r="AZ202">
        <v>15.38</v>
      </c>
      <c r="BA202">
        <v>12.5</v>
      </c>
      <c r="BB202">
        <v>1.1000000000000001</v>
      </c>
      <c r="BC202">
        <v>3.3</v>
      </c>
      <c r="BD202">
        <v>25</v>
      </c>
      <c r="BE202">
        <v>50</v>
      </c>
      <c r="BF202">
        <v>78.569999999999993</v>
      </c>
      <c r="BG202">
        <v>3.3</v>
      </c>
      <c r="BH202">
        <v>42.86</v>
      </c>
      <c r="BI202">
        <v>7.14</v>
      </c>
      <c r="BJ202">
        <v>1.1000000000000001</v>
      </c>
      <c r="BK202">
        <v>21.98</v>
      </c>
      <c r="BL202">
        <v>4.76</v>
      </c>
      <c r="BM202">
        <v>0</v>
      </c>
      <c r="BN202">
        <v>0</v>
      </c>
      <c r="BO202" t="s">
        <v>85</v>
      </c>
      <c r="BP202">
        <v>0</v>
      </c>
      <c r="BQ202">
        <v>100</v>
      </c>
      <c r="BR202">
        <v>16.670000000000002</v>
      </c>
      <c r="BS202">
        <v>86.54</v>
      </c>
      <c r="BT202">
        <v>1.032</v>
      </c>
    </row>
    <row r="203" spans="1:72" x14ac:dyDescent="0.35">
      <c r="A203">
        <v>19</v>
      </c>
      <c r="B203" t="s">
        <v>56</v>
      </c>
      <c r="C203">
        <v>10</v>
      </c>
      <c r="D203">
        <v>5.45</v>
      </c>
      <c r="E203">
        <v>7</v>
      </c>
      <c r="F203">
        <v>3</v>
      </c>
      <c r="G203">
        <v>0</v>
      </c>
      <c r="H203">
        <v>6</v>
      </c>
      <c r="I203">
        <v>14</v>
      </c>
      <c r="J203">
        <v>0.7</v>
      </c>
      <c r="K203">
        <v>7.59</v>
      </c>
      <c r="L203">
        <v>101.19</v>
      </c>
      <c r="M203">
        <v>6.98</v>
      </c>
      <c r="N203">
        <v>6.32</v>
      </c>
      <c r="O203">
        <v>77.16</v>
      </c>
      <c r="P203">
        <v>7.58</v>
      </c>
      <c r="Q203">
        <v>3.79</v>
      </c>
      <c r="R203">
        <v>54.39</v>
      </c>
      <c r="S203">
        <v>6.52</v>
      </c>
      <c r="T203">
        <v>0</v>
      </c>
      <c r="U203">
        <v>6.32</v>
      </c>
      <c r="V203">
        <v>0</v>
      </c>
      <c r="W203">
        <v>0.5</v>
      </c>
      <c r="X203">
        <v>7.46</v>
      </c>
      <c r="Y203">
        <v>6.28</v>
      </c>
      <c r="Z203">
        <v>5.0599999999999996</v>
      </c>
      <c r="AA203">
        <v>46.8</v>
      </c>
      <c r="AB203">
        <v>9.76</v>
      </c>
      <c r="AC203">
        <v>3.79</v>
      </c>
      <c r="AD203">
        <v>25.3</v>
      </c>
      <c r="AE203">
        <v>13.04</v>
      </c>
      <c r="AF203">
        <v>0</v>
      </c>
      <c r="AG203">
        <v>5.0599999999999996</v>
      </c>
      <c r="AH203">
        <v>0</v>
      </c>
      <c r="AI203">
        <v>0</v>
      </c>
      <c r="AJ203">
        <v>80</v>
      </c>
      <c r="AK203">
        <v>3.79</v>
      </c>
      <c r="AL203">
        <v>16.440000000000001</v>
      </c>
      <c r="AM203">
        <v>18.75</v>
      </c>
      <c r="AN203">
        <v>2.5299999999999998</v>
      </c>
      <c r="AO203">
        <v>10.119999999999999</v>
      </c>
      <c r="AP203">
        <v>20</v>
      </c>
      <c r="AQ203">
        <v>0</v>
      </c>
      <c r="AR203">
        <v>2.5299999999999998</v>
      </c>
      <c r="AS203">
        <v>0</v>
      </c>
      <c r="AT203">
        <v>0</v>
      </c>
      <c r="AU203">
        <v>75</v>
      </c>
      <c r="AV203">
        <v>1.26</v>
      </c>
      <c r="AW203">
        <v>30.36</v>
      </c>
      <c r="AX203">
        <v>4</v>
      </c>
      <c r="AY203">
        <v>1.26</v>
      </c>
      <c r="AZ203">
        <v>15.18</v>
      </c>
      <c r="BA203">
        <v>7.69</v>
      </c>
      <c r="BB203">
        <v>0</v>
      </c>
      <c r="BC203">
        <v>2.5299999999999998</v>
      </c>
      <c r="BD203">
        <v>0</v>
      </c>
      <c r="BE203">
        <v>0</v>
      </c>
      <c r="BF203">
        <v>83.33</v>
      </c>
      <c r="BG203">
        <v>1.26</v>
      </c>
      <c r="BH203">
        <v>54.39</v>
      </c>
      <c r="BI203">
        <v>2.27</v>
      </c>
      <c r="BJ203">
        <v>0</v>
      </c>
      <c r="BK203">
        <v>29.09</v>
      </c>
      <c r="BL203">
        <v>0</v>
      </c>
      <c r="BM203">
        <v>0</v>
      </c>
      <c r="BN203">
        <v>1.26</v>
      </c>
      <c r="BO203">
        <v>0</v>
      </c>
      <c r="BP203" t="s">
        <v>85</v>
      </c>
      <c r="BQ203">
        <v>95.65</v>
      </c>
      <c r="BR203">
        <v>0</v>
      </c>
      <c r="BS203">
        <v>88.37</v>
      </c>
      <c r="BT203">
        <v>0.88400000000000001</v>
      </c>
    </row>
    <row r="204" spans="1:72" x14ac:dyDescent="0.35">
      <c r="A204">
        <v>20</v>
      </c>
      <c r="B204" t="s">
        <v>57</v>
      </c>
      <c r="C204">
        <v>10</v>
      </c>
      <c r="D204">
        <v>6.04</v>
      </c>
      <c r="E204">
        <v>5</v>
      </c>
      <c r="F204">
        <v>5</v>
      </c>
      <c r="G204">
        <v>0</v>
      </c>
      <c r="H204">
        <v>5</v>
      </c>
      <c r="I204">
        <v>10</v>
      </c>
      <c r="J204">
        <v>0.5</v>
      </c>
      <c r="K204">
        <v>10.89</v>
      </c>
      <c r="L204">
        <v>87.13</v>
      </c>
      <c r="M204">
        <v>11.11</v>
      </c>
      <c r="N204">
        <v>9.9</v>
      </c>
      <c r="O204">
        <v>64.36</v>
      </c>
      <c r="P204">
        <v>13.33</v>
      </c>
      <c r="Q204">
        <v>8.91</v>
      </c>
      <c r="R204">
        <v>40.590000000000003</v>
      </c>
      <c r="S204">
        <v>18</v>
      </c>
      <c r="T204">
        <v>0.99</v>
      </c>
      <c r="U204">
        <v>2.97</v>
      </c>
      <c r="V204">
        <v>25</v>
      </c>
      <c r="W204">
        <v>1.17</v>
      </c>
      <c r="X204">
        <v>5.01</v>
      </c>
      <c r="Y204">
        <v>18.93</v>
      </c>
      <c r="Z204">
        <v>4.95</v>
      </c>
      <c r="AA204">
        <v>39.6</v>
      </c>
      <c r="AB204">
        <v>11.11</v>
      </c>
      <c r="AC204">
        <v>3.96</v>
      </c>
      <c r="AD204">
        <v>20.79</v>
      </c>
      <c r="AE204">
        <v>16</v>
      </c>
      <c r="AF204">
        <v>0</v>
      </c>
      <c r="AG204">
        <v>1.98</v>
      </c>
      <c r="AH204">
        <v>0</v>
      </c>
      <c r="AI204">
        <v>0</v>
      </c>
      <c r="AJ204">
        <v>90.48</v>
      </c>
      <c r="AK204">
        <v>3.96</v>
      </c>
      <c r="AL204">
        <v>10.89</v>
      </c>
      <c r="AM204">
        <v>26.67</v>
      </c>
      <c r="AN204">
        <v>3.96</v>
      </c>
      <c r="AO204">
        <v>8.91</v>
      </c>
      <c r="AP204">
        <v>30.77</v>
      </c>
      <c r="AQ204">
        <v>0</v>
      </c>
      <c r="AR204">
        <v>1.98</v>
      </c>
      <c r="AS204">
        <v>0</v>
      </c>
      <c r="AT204">
        <v>0</v>
      </c>
      <c r="AU204">
        <v>77.78</v>
      </c>
      <c r="AV204">
        <v>0.99</v>
      </c>
      <c r="AW204">
        <v>28.71</v>
      </c>
      <c r="AX204">
        <v>3.33</v>
      </c>
      <c r="AY204">
        <v>0</v>
      </c>
      <c r="AZ204">
        <v>11.88</v>
      </c>
      <c r="BA204">
        <v>0</v>
      </c>
      <c r="BB204">
        <v>0</v>
      </c>
      <c r="BC204">
        <v>0</v>
      </c>
      <c r="BD204" t="s">
        <v>85</v>
      </c>
      <c r="BE204" t="s">
        <v>85</v>
      </c>
      <c r="BF204">
        <v>100</v>
      </c>
      <c r="BG204">
        <v>2.97</v>
      </c>
      <c r="BH204">
        <v>46.53</v>
      </c>
      <c r="BI204">
        <v>6</v>
      </c>
      <c r="BJ204">
        <v>1.98</v>
      </c>
      <c r="BK204">
        <v>19.8</v>
      </c>
      <c r="BL204">
        <v>9.09</v>
      </c>
      <c r="BM204">
        <v>0</v>
      </c>
      <c r="BN204">
        <v>0.99</v>
      </c>
      <c r="BO204">
        <v>0</v>
      </c>
      <c r="BP204">
        <v>0</v>
      </c>
      <c r="BQ204">
        <v>95</v>
      </c>
      <c r="BR204">
        <v>11.11</v>
      </c>
      <c r="BS204">
        <v>92.68</v>
      </c>
      <c r="BT204">
        <v>1.038</v>
      </c>
    </row>
    <row r="205" spans="1:72" x14ac:dyDescent="0.35">
      <c r="A205">
        <v>21</v>
      </c>
      <c r="B205" t="s">
        <v>58</v>
      </c>
      <c r="C205">
        <v>10</v>
      </c>
      <c r="D205">
        <v>5.24</v>
      </c>
      <c r="E205">
        <v>3</v>
      </c>
      <c r="F205">
        <v>7</v>
      </c>
      <c r="G205">
        <v>0</v>
      </c>
      <c r="H205">
        <v>2</v>
      </c>
      <c r="I205">
        <v>6</v>
      </c>
      <c r="J205">
        <v>0.3</v>
      </c>
      <c r="K205">
        <v>14.43</v>
      </c>
      <c r="L205">
        <v>81.010000000000005</v>
      </c>
      <c r="M205">
        <v>15.12</v>
      </c>
      <c r="N205">
        <v>13.32</v>
      </c>
      <c r="O205">
        <v>64.36</v>
      </c>
      <c r="P205">
        <v>17.14</v>
      </c>
      <c r="Q205">
        <v>11.1</v>
      </c>
      <c r="R205">
        <v>54.38</v>
      </c>
      <c r="S205">
        <v>16.95</v>
      </c>
      <c r="T205">
        <v>1.1100000000000001</v>
      </c>
      <c r="U205">
        <v>11.1</v>
      </c>
      <c r="V205">
        <v>9.09</v>
      </c>
      <c r="W205">
        <v>0.9</v>
      </c>
      <c r="X205">
        <v>6.78</v>
      </c>
      <c r="Y205">
        <v>11.76</v>
      </c>
      <c r="Z205">
        <v>8.8800000000000008</v>
      </c>
      <c r="AA205">
        <v>55.49</v>
      </c>
      <c r="AB205">
        <v>13.79</v>
      </c>
      <c r="AC205">
        <v>6.66</v>
      </c>
      <c r="AD205">
        <v>37.729999999999997</v>
      </c>
      <c r="AE205">
        <v>15</v>
      </c>
      <c r="AF205">
        <v>1.1100000000000001</v>
      </c>
      <c r="AG205">
        <v>9.99</v>
      </c>
      <c r="AH205">
        <v>10</v>
      </c>
      <c r="AI205">
        <v>16.670000000000002</v>
      </c>
      <c r="AJ205">
        <v>73.53</v>
      </c>
      <c r="AK205">
        <v>3.33</v>
      </c>
      <c r="AL205">
        <v>25.52</v>
      </c>
      <c r="AM205">
        <v>11.54</v>
      </c>
      <c r="AN205">
        <v>3.33</v>
      </c>
      <c r="AO205">
        <v>23.3</v>
      </c>
      <c r="AP205">
        <v>12.5</v>
      </c>
      <c r="AQ205">
        <v>1.1100000000000001</v>
      </c>
      <c r="AR205">
        <v>6.66</v>
      </c>
      <c r="AS205">
        <v>14.29</v>
      </c>
      <c r="AT205">
        <v>33.33</v>
      </c>
      <c r="AU205">
        <v>71.430000000000007</v>
      </c>
      <c r="AV205">
        <v>5.55</v>
      </c>
      <c r="AW205">
        <v>29.96</v>
      </c>
      <c r="AX205">
        <v>15.63</v>
      </c>
      <c r="AY205">
        <v>3.33</v>
      </c>
      <c r="AZ205">
        <v>14.43</v>
      </c>
      <c r="BA205">
        <v>18.75</v>
      </c>
      <c r="BB205">
        <v>0</v>
      </c>
      <c r="BC205">
        <v>3.33</v>
      </c>
      <c r="BD205">
        <v>0</v>
      </c>
      <c r="BE205">
        <v>0</v>
      </c>
      <c r="BF205">
        <v>76.92</v>
      </c>
      <c r="BG205">
        <v>1.1100000000000001</v>
      </c>
      <c r="BH205">
        <v>24.41</v>
      </c>
      <c r="BI205">
        <v>4.3499999999999996</v>
      </c>
      <c r="BJ205">
        <v>0</v>
      </c>
      <c r="BK205">
        <v>15.54</v>
      </c>
      <c r="BL205">
        <v>0</v>
      </c>
      <c r="BM205">
        <v>0</v>
      </c>
      <c r="BN205">
        <v>1.1100000000000001</v>
      </c>
      <c r="BO205">
        <v>0</v>
      </c>
      <c r="BP205" t="s">
        <v>85</v>
      </c>
      <c r="BQ205">
        <v>92.86</v>
      </c>
      <c r="BR205">
        <v>10</v>
      </c>
      <c r="BS205">
        <v>79.59</v>
      </c>
      <c r="BT205">
        <v>0.89600000000000002</v>
      </c>
    </row>
    <row r="206" spans="1:72" x14ac:dyDescent="0.35">
      <c r="A206">
        <v>22</v>
      </c>
      <c r="B206" t="s">
        <v>59</v>
      </c>
      <c r="C206">
        <v>10</v>
      </c>
      <c r="D206">
        <v>5.45</v>
      </c>
      <c r="E206">
        <v>5</v>
      </c>
      <c r="F206">
        <v>5</v>
      </c>
      <c r="G206">
        <v>0</v>
      </c>
      <c r="H206">
        <v>5</v>
      </c>
      <c r="I206">
        <v>10</v>
      </c>
      <c r="J206">
        <v>0.5</v>
      </c>
      <c r="K206">
        <v>15.15</v>
      </c>
      <c r="L206">
        <v>85.83</v>
      </c>
      <c r="M206">
        <v>15</v>
      </c>
      <c r="N206">
        <v>12.62</v>
      </c>
      <c r="O206">
        <v>68.16</v>
      </c>
      <c r="P206">
        <v>15.63</v>
      </c>
      <c r="Q206">
        <v>12.62</v>
      </c>
      <c r="R206">
        <v>50.49</v>
      </c>
      <c r="S206">
        <v>20</v>
      </c>
      <c r="T206">
        <v>0</v>
      </c>
      <c r="U206">
        <v>7.57</v>
      </c>
      <c r="V206">
        <v>0</v>
      </c>
      <c r="W206">
        <v>0.32</v>
      </c>
      <c r="X206">
        <v>7.32</v>
      </c>
      <c r="Y206">
        <v>4.2300000000000004</v>
      </c>
      <c r="Z206">
        <v>2.52</v>
      </c>
      <c r="AA206">
        <v>51.75</v>
      </c>
      <c r="AB206">
        <v>4.6500000000000004</v>
      </c>
      <c r="AC206">
        <v>1.26</v>
      </c>
      <c r="AD206">
        <v>35.340000000000003</v>
      </c>
      <c r="AE206">
        <v>3.45</v>
      </c>
      <c r="AF206">
        <v>0</v>
      </c>
      <c r="AG206">
        <v>7.57</v>
      </c>
      <c r="AH206">
        <v>0</v>
      </c>
      <c r="AI206">
        <v>0</v>
      </c>
      <c r="AJ206">
        <v>78.569999999999993</v>
      </c>
      <c r="AK206">
        <v>1.26</v>
      </c>
      <c r="AL206">
        <v>27.77</v>
      </c>
      <c r="AM206">
        <v>4.3499999999999996</v>
      </c>
      <c r="AN206">
        <v>1.26</v>
      </c>
      <c r="AO206">
        <v>23.98</v>
      </c>
      <c r="AP206">
        <v>5</v>
      </c>
      <c r="AQ206">
        <v>0</v>
      </c>
      <c r="AR206">
        <v>7.57</v>
      </c>
      <c r="AS206">
        <v>0</v>
      </c>
      <c r="AT206">
        <v>0</v>
      </c>
      <c r="AU206">
        <v>68.42</v>
      </c>
      <c r="AV206">
        <v>1.26</v>
      </c>
      <c r="AW206">
        <v>23.98</v>
      </c>
      <c r="AX206">
        <v>5</v>
      </c>
      <c r="AY206">
        <v>0</v>
      </c>
      <c r="AZ206">
        <v>11.36</v>
      </c>
      <c r="BA206">
        <v>0</v>
      </c>
      <c r="BB206">
        <v>0</v>
      </c>
      <c r="BC206">
        <v>0</v>
      </c>
      <c r="BD206" t="s">
        <v>85</v>
      </c>
      <c r="BE206" t="s">
        <v>85</v>
      </c>
      <c r="BF206">
        <v>100</v>
      </c>
      <c r="BG206">
        <v>2.52</v>
      </c>
      <c r="BH206">
        <v>30.29</v>
      </c>
      <c r="BI206">
        <v>7.69</v>
      </c>
      <c r="BJ206">
        <v>1.26</v>
      </c>
      <c r="BK206">
        <v>15.15</v>
      </c>
      <c r="BL206">
        <v>7.69</v>
      </c>
      <c r="BM206">
        <v>0</v>
      </c>
      <c r="BN206">
        <v>0</v>
      </c>
      <c r="BO206" t="s">
        <v>85</v>
      </c>
      <c r="BP206">
        <v>0</v>
      </c>
      <c r="BQ206">
        <v>100</v>
      </c>
      <c r="BR206">
        <v>0</v>
      </c>
      <c r="BS206">
        <v>85</v>
      </c>
      <c r="BT206">
        <v>0.85</v>
      </c>
    </row>
    <row r="207" spans="1:72" x14ac:dyDescent="0.35">
      <c r="A207">
        <v>23</v>
      </c>
      <c r="B207" t="s">
        <v>60</v>
      </c>
      <c r="C207">
        <v>10</v>
      </c>
      <c r="D207">
        <v>4.59</v>
      </c>
      <c r="E207">
        <v>6</v>
      </c>
      <c r="F207">
        <v>4</v>
      </c>
      <c r="G207">
        <v>0</v>
      </c>
      <c r="H207">
        <v>5</v>
      </c>
      <c r="I207">
        <v>12</v>
      </c>
      <c r="J207">
        <v>0.6</v>
      </c>
      <c r="K207">
        <v>10.54</v>
      </c>
      <c r="L207">
        <v>57.24</v>
      </c>
      <c r="M207">
        <v>15.56</v>
      </c>
      <c r="N207">
        <v>10.54</v>
      </c>
      <c r="O207">
        <v>46.69</v>
      </c>
      <c r="P207">
        <v>18.420000000000002</v>
      </c>
      <c r="Q207">
        <v>10.54</v>
      </c>
      <c r="R207">
        <v>28.62</v>
      </c>
      <c r="S207">
        <v>26.92</v>
      </c>
      <c r="T207">
        <v>1.51</v>
      </c>
      <c r="U207">
        <v>10.54</v>
      </c>
      <c r="V207">
        <v>12.5</v>
      </c>
      <c r="W207">
        <v>1.1100000000000001</v>
      </c>
      <c r="X207">
        <v>5.05</v>
      </c>
      <c r="Y207">
        <v>18.04</v>
      </c>
      <c r="Z207">
        <v>6.03</v>
      </c>
      <c r="AA207">
        <v>31.63</v>
      </c>
      <c r="AB207">
        <v>16</v>
      </c>
      <c r="AC207">
        <v>6.03</v>
      </c>
      <c r="AD207">
        <v>21.09</v>
      </c>
      <c r="AE207">
        <v>22.22</v>
      </c>
      <c r="AF207">
        <v>1.51</v>
      </c>
      <c r="AG207">
        <v>9.0399999999999991</v>
      </c>
      <c r="AH207">
        <v>14.29</v>
      </c>
      <c r="AI207">
        <v>25</v>
      </c>
      <c r="AJ207">
        <v>57.14</v>
      </c>
      <c r="AK207">
        <v>4.5199999999999996</v>
      </c>
      <c r="AL207">
        <v>18.079999999999998</v>
      </c>
      <c r="AM207">
        <v>20</v>
      </c>
      <c r="AN207">
        <v>4.5199999999999996</v>
      </c>
      <c r="AO207">
        <v>15.06</v>
      </c>
      <c r="AP207">
        <v>23.08</v>
      </c>
      <c r="AQ207">
        <v>0</v>
      </c>
      <c r="AR207">
        <v>7.53</v>
      </c>
      <c r="AS207">
        <v>0</v>
      </c>
      <c r="AT207">
        <v>0</v>
      </c>
      <c r="AU207">
        <v>50</v>
      </c>
      <c r="AV207">
        <v>1.51</v>
      </c>
      <c r="AW207">
        <v>13.56</v>
      </c>
      <c r="AX207">
        <v>10</v>
      </c>
      <c r="AY207">
        <v>1.51</v>
      </c>
      <c r="AZ207">
        <v>6.03</v>
      </c>
      <c r="BA207">
        <v>20</v>
      </c>
      <c r="BB207">
        <v>1.51</v>
      </c>
      <c r="BC207">
        <v>1.51</v>
      </c>
      <c r="BD207">
        <v>50</v>
      </c>
      <c r="BE207">
        <v>100</v>
      </c>
      <c r="BF207">
        <v>75</v>
      </c>
      <c r="BG207">
        <v>3.01</v>
      </c>
      <c r="BH207">
        <v>24.1</v>
      </c>
      <c r="BI207">
        <v>11.11</v>
      </c>
      <c r="BJ207">
        <v>3.01</v>
      </c>
      <c r="BK207">
        <v>7.53</v>
      </c>
      <c r="BL207">
        <v>28.57</v>
      </c>
      <c r="BM207">
        <v>0</v>
      </c>
      <c r="BN207">
        <v>1.51</v>
      </c>
      <c r="BO207">
        <v>0</v>
      </c>
      <c r="BP207">
        <v>0</v>
      </c>
      <c r="BQ207">
        <v>80</v>
      </c>
      <c r="BR207">
        <v>14.29</v>
      </c>
      <c r="BS207">
        <v>63.16</v>
      </c>
      <c r="BT207">
        <v>0.77400000000000002</v>
      </c>
    </row>
    <row r="208" spans="1:72" x14ac:dyDescent="0.35">
      <c r="A208">
        <v>24</v>
      </c>
      <c r="B208" t="s">
        <v>61</v>
      </c>
      <c r="C208">
        <v>10</v>
      </c>
      <c r="D208">
        <v>6.41</v>
      </c>
      <c r="E208">
        <v>5</v>
      </c>
      <c r="F208">
        <v>3</v>
      </c>
      <c r="G208">
        <v>2</v>
      </c>
      <c r="H208">
        <v>3</v>
      </c>
      <c r="I208">
        <v>12</v>
      </c>
      <c r="J208">
        <v>0.6</v>
      </c>
      <c r="K208">
        <v>15.84</v>
      </c>
      <c r="L208">
        <v>93.96</v>
      </c>
      <c r="M208">
        <v>14.42</v>
      </c>
      <c r="N208">
        <v>14.78</v>
      </c>
      <c r="O208">
        <v>79.180000000000007</v>
      </c>
      <c r="P208">
        <v>15.73</v>
      </c>
      <c r="Q208">
        <v>11.61</v>
      </c>
      <c r="R208">
        <v>59.12</v>
      </c>
      <c r="S208">
        <v>16.420000000000002</v>
      </c>
      <c r="T208">
        <v>1.06</v>
      </c>
      <c r="U208">
        <v>9.5</v>
      </c>
      <c r="V208">
        <v>10</v>
      </c>
      <c r="W208">
        <v>0.86</v>
      </c>
      <c r="X208">
        <v>7.06</v>
      </c>
      <c r="Y208">
        <v>10.81</v>
      </c>
      <c r="Z208">
        <v>7.39</v>
      </c>
      <c r="AA208">
        <v>50.67</v>
      </c>
      <c r="AB208">
        <v>12.73</v>
      </c>
      <c r="AC208">
        <v>4.22</v>
      </c>
      <c r="AD208">
        <v>36.950000000000003</v>
      </c>
      <c r="AE208">
        <v>10.26</v>
      </c>
      <c r="AF208">
        <v>1.06</v>
      </c>
      <c r="AG208">
        <v>8.4499999999999993</v>
      </c>
      <c r="AH208">
        <v>11.11</v>
      </c>
      <c r="AI208">
        <v>25</v>
      </c>
      <c r="AJ208">
        <v>77.14</v>
      </c>
      <c r="AK208">
        <v>4.22</v>
      </c>
      <c r="AL208">
        <v>17.95</v>
      </c>
      <c r="AM208">
        <v>19.05</v>
      </c>
      <c r="AN208">
        <v>3.17</v>
      </c>
      <c r="AO208">
        <v>14.78</v>
      </c>
      <c r="AP208">
        <v>17.649999999999999</v>
      </c>
      <c r="AQ208">
        <v>1.06</v>
      </c>
      <c r="AR208">
        <v>5.28</v>
      </c>
      <c r="AS208">
        <v>16.670000000000002</v>
      </c>
      <c r="AT208">
        <v>33.33</v>
      </c>
      <c r="AU208">
        <v>64.290000000000006</v>
      </c>
      <c r="AV208">
        <v>3.17</v>
      </c>
      <c r="AW208">
        <v>32.729999999999997</v>
      </c>
      <c r="AX208">
        <v>8.82</v>
      </c>
      <c r="AY208">
        <v>1.06</v>
      </c>
      <c r="AZ208">
        <v>22.17</v>
      </c>
      <c r="BA208">
        <v>4.55</v>
      </c>
      <c r="BB208">
        <v>0</v>
      </c>
      <c r="BC208">
        <v>3.17</v>
      </c>
      <c r="BD208">
        <v>0</v>
      </c>
      <c r="BE208">
        <v>0</v>
      </c>
      <c r="BF208">
        <v>85.71</v>
      </c>
      <c r="BG208">
        <v>1.06</v>
      </c>
      <c r="BH208">
        <v>38.01</v>
      </c>
      <c r="BI208">
        <v>2.7</v>
      </c>
      <c r="BJ208">
        <v>1.06</v>
      </c>
      <c r="BK208">
        <v>21.11</v>
      </c>
      <c r="BL208">
        <v>4.76</v>
      </c>
      <c r="BM208">
        <v>0</v>
      </c>
      <c r="BN208">
        <v>1.06</v>
      </c>
      <c r="BO208">
        <v>0</v>
      </c>
      <c r="BP208">
        <v>0</v>
      </c>
      <c r="BQ208">
        <v>95</v>
      </c>
      <c r="BR208">
        <v>9.09</v>
      </c>
      <c r="BS208">
        <v>83.93</v>
      </c>
      <c r="BT208">
        <v>0.93</v>
      </c>
    </row>
    <row r="209" spans="1:72" x14ac:dyDescent="0.35">
      <c r="A209">
        <v>25</v>
      </c>
      <c r="B209" t="s">
        <v>62</v>
      </c>
      <c r="C209">
        <v>10</v>
      </c>
      <c r="D209">
        <v>5.41</v>
      </c>
      <c r="E209">
        <v>6</v>
      </c>
      <c r="F209">
        <v>2</v>
      </c>
      <c r="G209">
        <v>2</v>
      </c>
      <c r="H209">
        <v>5</v>
      </c>
      <c r="I209">
        <v>14</v>
      </c>
      <c r="J209">
        <v>0.7</v>
      </c>
      <c r="K209">
        <v>14.09</v>
      </c>
      <c r="L209">
        <v>120.38</v>
      </c>
      <c r="M209">
        <v>10.48</v>
      </c>
      <c r="N209">
        <v>14.09</v>
      </c>
      <c r="O209">
        <v>96.05</v>
      </c>
      <c r="P209">
        <v>12.79</v>
      </c>
      <c r="Q209">
        <v>11.53</v>
      </c>
      <c r="R209">
        <v>74.28</v>
      </c>
      <c r="S209">
        <v>13.43</v>
      </c>
      <c r="T209">
        <v>3.84</v>
      </c>
      <c r="U209">
        <v>12.81</v>
      </c>
      <c r="V209">
        <v>23.08</v>
      </c>
      <c r="W209">
        <v>1.18</v>
      </c>
      <c r="X209">
        <v>10.73</v>
      </c>
      <c r="Y209">
        <v>9.8699999999999992</v>
      </c>
      <c r="Z209">
        <v>5.12</v>
      </c>
      <c r="AA209">
        <v>73</v>
      </c>
      <c r="AB209">
        <v>6.56</v>
      </c>
      <c r="AC209">
        <v>3.84</v>
      </c>
      <c r="AD209">
        <v>44.82</v>
      </c>
      <c r="AE209">
        <v>7.89</v>
      </c>
      <c r="AF209">
        <v>2.56</v>
      </c>
      <c r="AG209">
        <v>10.25</v>
      </c>
      <c r="AH209">
        <v>20</v>
      </c>
      <c r="AI209">
        <v>66.67</v>
      </c>
      <c r="AJ209">
        <v>77.14</v>
      </c>
      <c r="AK209">
        <v>5.12</v>
      </c>
      <c r="AL209">
        <v>38.42</v>
      </c>
      <c r="AM209">
        <v>11.76</v>
      </c>
      <c r="AN209">
        <v>3.84</v>
      </c>
      <c r="AO209">
        <v>30.74</v>
      </c>
      <c r="AP209">
        <v>11.11</v>
      </c>
      <c r="AQ209">
        <v>2.56</v>
      </c>
      <c r="AR209">
        <v>10.25</v>
      </c>
      <c r="AS209">
        <v>20</v>
      </c>
      <c r="AT209">
        <v>66.67</v>
      </c>
      <c r="AU209">
        <v>66.67</v>
      </c>
      <c r="AV209">
        <v>0</v>
      </c>
      <c r="AW209">
        <v>34.58</v>
      </c>
      <c r="AX209">
        <v>0</v>
      </c>
      <c r="AY209">
        <v>0</v>
      </c>
      <c r="AZ209">
        <v>14.09</v>
      </c>
      <c r="BA209">
        <v>0</v>
      </c>
      <c r="BB209">
        <v>0</v>
      </c>
      <c r="BC209">
        <v>0</v>
      </c>
      <c r="BD209" t="s">
        <v>85</v>
      </c>
      <c r="BE209" t="s">
        <v>85</v>
      </c>
      <c r="BF209">
        <v>100</v>
      </c>
      <c r="BG209">
        <v>3.84</v>
      </c>
      <c r="BH209">
        <v>47.39</v>
      </c>
      <c r="BI209">
        <v>7.5</v>
      </c>
      <c r="BJ209">
        <v>3.84</v>
      </c>
      <c r="BK209">
        <v>29.46</v>
      </c>
      <c r="BL209">
        <v>11.54</v>
      </c>
      <c r="BM209">
        <v>0</v>
      </c>
      <c r="BN209">
        <v>2.56</v>
      </c>
      <c r="BO209">
        <v>0</v>
      </c>
      <c r="BP209">
        <v>0</v>
      </c>
      <c r="BQ209">
        <v>91.3</v>
      </c>
      <c r="BR209">
        <v>33.33</v>
      </c>
      <c r="BS209">
        <v>82.76</v>
      </c>
      <c r="BT209">
        <v>1.161</v>
      </c>
    </row>
    <row r="210" spans="1:72" x14ac:dyDescent="0.35">
      <c r="A210">
        <v>26</v>
      </c>
      <c r="B210" t="s">
        <v>63</v>
      </c>
      <c r="C210">
        <v>10</v>
      </c>
      <c r="D210">
        <v>5.28</v>
      </c>
      <c r="E210">
        <v>7</v>
      </c>
      <c r="F210">
        <v>2</v>
      </c>
      <c r="G210">
        <v>1</v>
      </c>
      <c r="H210">
        <v>6</v>
      </c>
      <c r="I210">
        <v>15</v>
      </c>
      <c r="J210">
        <v>0.75</v>
      </c>
      <c r="K210">
        <v>18.66</v>
      </c>
      <c r="L210">
        <v>79.02</v>
      </c>
      <c r="M210">
        <v>19.100000000000001</v>
      </c>
      <c r="N210">
        <v>16.46</v>
      </c>
      <c r="O210">
        <v>59.27</v>
      </c>
      <c r="P210">
        <v>21.74</v>
      </c>
      <c r="Q210">
        <v>15.37</v>
      </c>
      <c r="R210">
        <v>37.32</v>
      </c>
      <c r="S210">
        <v>29.17</v>
      </c>
      <c r="T210">
        <v>1.1000000000000001</v>
      </c>
      <c r="U210">
        <v>6.59</v>
      </c>
      <c r="V210">
        <v>14.29</v>
      </c>
      <c r="W210">
        <v>1.84</v>
      </c>
      <c r="X210">
        <v>6.06</v>
      </c>
      <c r="Y210">
        <v>23.28</v>
      </c>
      <c r="Z210">
        <v>13.17</v>
      </c>
      <c r="AA210">
        <v>42.8</v>
      </c>
      <c r="AB210">
        <v>23.53</v>
      </c>
      <c r="AC210">
        <v>12.07</v>
      </c>
      <c r="AD210">
        <v>27.44</v>
      </c>
      <c r="AE210">
        <v>30.56</v>
      </c>
      <c r="AF210">
        <v>1.1000000000000001</v>
      </c>
      <c r="AG210">
        <v>6.59</v>
      </c>
      <c r="AH210">
        <v>14.29</v>
      </c>
      <c r="AI210">
        <v>9.09</v>
      </c>
      <c r="AJ210">
        <v>76</v>
      </c>
      <c r="AK210">
        <v>7.68</v>
      </c>
      <c r="AL210">
        <v>18.66</v>
      </c>
      <c r="AM210">
        <v>29.17</v>
      </c>
      <c r="AN210">
        <v>6.59</v>
      </c>
      <c r="AO210">
        <v>12.07</v>
      </c>
      <c r="AP210">
        <v>35.29</v>
      </c>
      <c r="AQ210">
        <v>0</v>
      </c>
      <c r="AR210">
        <v>5.49</v>
      </c>
      <c r="AS210">
        <v>0</v>
      </c>
      <c r="AT210">
        <v>0</v>
      </c>
      <c r="AU210">
        <v>54.55</v>
      </c>
      <c r="AV210">
        <v>5.49</v>
      </c>
      <c r="AW210">
        <v>24.15</v>
      </c>
      <c r="AX210">
        <v>18.52</v>
      </c>
      <c r="AY210">
        <v>5.49</v>
      </c>
      <c r="AZ210">
        <v>15.37</v>
      </c>
      <c r="BA210">
        <v>26.32</v>
      </c>
      <c r="BB210">
        <v>1.1000000000000001</v>
      </c>
      <c r="BC210">
        <v>1.1000000000000001</v>
      </c>
      <c r="BD210">
        <v>50</v>
      </c>
      <c r="BE210">
        <v>20</v>
      </c>
      <c r="BF210">
        <v>92.86</v>
      </c>
      <c r="BG210">
        <v>3.29</v>
      </c>
      <c r="BH210">
        <v>36.22</v>
      </c>
      <c r="BI210">
        <v>8.33</v>
      </c>
      <c r="BJ210">
        <v>1.1000000000000001</v>
      </c>
      <c r="BK210">
        <v>9.8800000000000008</v>
      </c>
      <c r="BL210">
        <v>10</v>
      </c>
      <c r="BM210">
        <v>0</v>
      </c>
      <c r="BN210">
        <v>0</v>
      </c>
      <c r="BO210" t="s">
        <v>85</v>
      </c>
      <c r="BP210">
        <v>0</v>
      </c>
      <c r="BQ210">
        <v>100</v>
      </c>
      <c r="BR210">
        <v>7.14</v>
      </c>
      <c r="BS210">
        <v>82.35</v>
      </c>
      <c r="BT210">
        <v>0.89500000000000002</v>
      </c>
    </row>
    <row r="211" spans="1:72" x14ac:dyDescent="0.35">
      <c r="A211">
        <v>27</v>
      </c>
      <c r="B211" t="s">
        <v>64</v>
      </c>
      <c r="C211">
        <v>10</v>
      </c>
      <c r="D211">
        <v>3.29</v>
      </c>
      <c r="E211">
        <v>6</v>
      </c>
      <c r="F211">
        <v>3</v>
      </c>
      <c r="G211">
        <v>1</v>
      </c>
      <c r="H211">
        <v>6</v>
      </c>
      <c r="I211">
        <v>13</v>
      </c>
      <c r="J211">
        <v>0.65</v>
      </c>
      <c r="K211">
        <v>13.81</v>
      </c>
      <c r="L211">
        <v>84.56</v>
      </c>
      <c r="M211">
        <v>14.04</v>
      </c>
      <c r="N211">
        <v>12.08</v>
      </c>
      <c r="O211">
        <v>69.03</v>
      </c>
      <c r="P211">
        <v>14.89</v>
      </c>
      <c r="Q211">
        <v>12.08</v>
      </c>
      <c r="R211">
        <v>51.77</v>
      </c>
      <c r="S211">
        <v>18.920000000000002</v>
      </c>
      <c r="T211">
        <v>0</v>
      </c>
      <c r="U211">
        <v>12.08</v>
      </c>
      <c r="V211">
        <v>0</v>
      </c>
      <c r="W211">
        <v>0.53</v>
      </c>
      <c r="X211">
        <v>6.8</v>
      </c>
      <c r="Y211">
        <v>7.19</v>
      </c>
      <c r="Z211">
        <v>5.18</v>
      </c>
      <c r="AA211">
        <v>50.05</v>
      </c>
      <c r="AB211">
        <v>9.3800000000000008</v>
      </c>
      <c r="AC211">
        <v>5.18</v>
      </c>
      <c r="AD211">
        <v>34.520000000000003</v>
      </c>
      <c r="AE211">
        <v>13.04</v>
      </c>
      <c r="AF211">
        <v>0</v>
      </c>
      <c r="AG211">
        <v>10.35</v>
      </c>
      <c r="AH211">
        <v>0</v>
      </c>
      <c r="AI211">
        <v>0</v>
      </c>
      <c r="AJ211">
        <v>70</v>
      </c>
      <c r="AK211">
        <v>0</v>
      </c>
      <c r="AL211">
        <v>22.44</v>
      </c>
      <c r="AM211">
        <v>0</v>
      </c>
      <c r="AN211">
        <v>0</v>
      </c>
      <c r="AO211">
        <v>20.71</v>
      </c>
      <c r="AP211">
        <v>0</v>
      </c>
      <c r="AQ211">
        <v>0</v>
      </c>
      <c r="AR211">
        <v>6.9</v>
      </c>
      <c r="AS211">
        <v>0</v>
      </c>
      <c r="AT211" t="s">
        <v>85</v>
      </c>
      <c r="AU211">
        <v>66.67</v>
      </c>
      <c r="AV211">
        <v>5.18</v>
      </c>
      <c r="AW211">
        <v>27.61</v>
      </c>
      <c r="AX211">
        <v>15.79</v>
      </c>
      <c r="AY211">
        <v>5.18</v>
      </c>
      <c r="AZ211">
        <v>13.81</v>
      </c>
      <c r="BA211">
        <v>27.27</v>
      </c>
      <c r="BB211">
        <v>0</v>
      </c>
      <c r="BC211">
        <v>3.45</v>
      </c>
      <c r="BD211">
        <v>0</v>
      </c>
      <c r="BE211">
        <v>0</v>
      </c>
      <c r="BF211">
        <v>75</v>
      </c>
      <c r="BG211">
        <v>0</v>
      </c>
      <c r="BH211">
        <v>34.520000000000003</v>
      </c>
      <c r="BI211">
        <v>0</v>
      </c>
      <c r="BJ211">
        <v>0</v>
      </c>
      <c r="BK211">
        <v>17.260000000000002</v>
      </c>
      <c r="BL211">
        <v>0</v>
      </c>
      <c r="BM211">
        <v>0</v>
      </c>
      <c r="BN211">
        <v>1.73</v>
      </c>
      <c r="BO211">
        <v>0</v>
      </c>
      <c r="BP211" t="s">
        <v>85</v>
      </c>
      <c r="BQ211">
        <v>90</v>
      </c>
      <c r="BR211">
        <v>0</v>
      </c>
      <c r="BS211">
        <v>76.67</v>
      </c>
      <c r="BT211">
        <v>0.76700000000000002</v>
      </c>
    </row>
    <row r="212" spans="1:72" x14ac:dyDescent="0.35">
      <c r="A212">
        <v>28</v>
      </c>
      <c r="B212" t="s">
        <v>65</v>
      </c>
      <c r="C212">
        <v>10</v>
      </c>
      <c r="D212">
        <v>5.54</v>
      </c>
      <c r="E212">
        <v>5</v>
      </c>
      <c r="F212">
        <v>4</v>
      </c>
      <c r="G212">
        <v>1</v>
      </c>
      <c r="H212">
        <v>4</v>
      </c>
      <c r="I212">
        <v>11</v>
      </c>
      <c r="J212">
        <v>0.55000000000000004</v>
      </c>
      <c r="K212">
        <v>13.48</v>
      </c>
      <c r="L212">
        <v>77.2</v>
      </c>
      <c r="M212">
        <v>14.86</v>
      </c>
      <c r="N212">
        <v>12.25</v>
      </c>
      <c r="O212">
        <v>58.82</v>
      </c>
      <c r="P212">
        <v>17.239999999999998</v>
      </c>
      <c r="Q212">
        <v>9.8000000000000007</v>
      </c>
      <c r="R212">
        <v>39.21</v>
      </c>
      <c r="S212">
        <v>20</v>
      </c>
      <c r="T212">
        <v>0</v>
      </c>
      <c r="U212">
        <v>7.35</v>
      </c>
      <c r="V212">
        <v>0</v>
      </c>
      <c r="W212">
        <v>0.32</v>
      </c>
      <c r="X212">
        <v>4.7</v>
      </c>
      <c r="Y212">
        <v>6.32</v>
      </c>
      <c r="Z212">
        <v>4.9000000000000004</v>
      </c>
      <c r="AA212">
        <v>42.89</v>
      </c>
      <c r="AB212">
        <v>10.26</v>
      </c>
      <c r="AC212">
        <v>3.68</v>
      </c>
      <c r="AD212">
        <v>20.83</v>
      </c>
      <c r="AE212">
        <v>15</v>
      </c>
      <c r="AF212">
        <v>0</v>
      </c>
      <c r="AG212">
        <v>3.68</v>
      </c>
      <c r="AH212">
        <v>0</v>
      </c>
      <c r="AI212">
        <v>0</v>
      </c>
      <c r="AJ212">
        <v>82.35</v>
      </c>
      <c r="AK212">
        <v>0</v>
      </c>
      <c r="AL212">
        <v>14.7</v>
      </c>
      <c r="AM212">
        <v>0</v>
      </c>
      <c r="AN212">
        <v>0</v>
      </c>
      <c r="AO212">
        <v>8.58</v>
      </c>
      <c r="AP212">
        <v>0</v>
      </c>
      <c r="AQ212">
        <v>0</v>
      </c>
      <c r="AR212">
        <v>2.4500000000000002</v>
      </c>
      <c r="AS212">
        <v>0</v>
      </c>
      <c r="AT212" t="s">
        <v>85</v>
      </c>
      <c r="AU212">
        <v>71.430000000000007</v>
      </c>
      <c r="AV212">
        <v>4.9000000000000004</v>
      </c>
      <c r="AW212">
        <v>28.18</v>
      </c>
      <c r="AX212">
        <v>14.81</v>
      </c>
      <c r="AY212">
        <v>3.68</v>
      </c>
      <c r="AZ212">
        <v>12.25</v>
      </c>
      <c r="BA212">
        <v>23.08</v>
      </c>
      <c r="BB212">
        <v>0</v>
      </c>
      <c r="BC212">
        <v>1.23</v>
      </c>
      <c r="BD212">
        <v>0</v>
      </c>
      <c r="BE212">
        <v>0</v>
      </c>
      <c r="BF212">
        <v>90</v>
      </c>
      <c r="BG212">
        <v>1.23</v>
      </c>
      <c r="BH212">
        <v>34.31</v>
      </c>
      <c r="BI212">
        <v>3.45</v>
      </c>
      <c r="BJ212">
        <v>1.23</v>
      </c>
      <c r="BK212">
        <v>18.38</v>
      </c>
      <c r="BL212">
        <v>6.25</v>
      </c>
      <c r="BM212">
        <v>0</v>
      </c>
      <c r="BN212">
        <v>3.68</v>
      </c>
      <c r="BO212">
        <v>0</v>
      </c>
      <c r="BP212">
        <v>0</v>
      </c>
      <c r="BQ212">
        <v>80</v>
      </c>
      <c r="BR212">
        <v>0</v>
      </c>
      <c r="BS212">
        <v>81.25</v>
      </c>
      <c r="BT212">
        <v>0.81299999999999994</v>
      </c>
    </row>
    <row r="213" spans="1:72" x14ac:dyDescent="0.35">
      <c r="A213">
        <v>29</v>
      </c>
      <c r="B213" t="s">
        <v>68</v>
      </c>
      <c r="C213">
        <v>10</v>
      </c>
      <c r="D213">
        <v>4.3899999999999997</v>
      </c>
      <c r="E213">
        <v>7</v>
      </c>
      <c r="F213">
        <v>3</v>
      </c>
      <c r="G213">
        <v>0</v>
      </c>
      <c r="H213">
        <v>7</v>
      </c>
      <c r="I213">
        <v>14</v>
      </c>
      <c r="J213">
        <v>0.7</v>
      </c>
      <c r="K213">
        <v>13.18</v>
      </c>
      <c r="L213">
        <v>97.21</v>
      </c>
      <c r="M213">
        <v>11.94</v>
      </c>
      <c r="N213">
        <v>11.53</v>
      </c>
      <c r="O213">
        <v>67.55</v>
      </c>
      <c r="P213">
        <v>14.58</v>
      </c>
      <c r="Q213">
        <v>9.89</v>
      </c>
      <c r="R213">
        <v>52.72</v>
      </c>
      <c r="S213">
        <v>15.79</v>
      </c>
      <c r="T213">
        <v>0</v>
      </c>
      <c r="U213">
        <v>8.24</v>
      </c>
      <c r="V213">
        <v>0</v>
      </c>
      <c r="W213">
        <v>0.34</v>
      </c>
      <c r="X213">
        <v>6.37</v>
      </c>
      <c r="Y213">
        <v>5.0599999999999996</v>
      </c>
      <c r="Z213">
        <v>3.3</v>
      </c>
      <c r="AA213">
        <v>52.72</v>
      </c>
      <c r="AB213">
        <v>5.88</v>
      </c>
      <c r="AC213">
        <v>1.65</v>
      </c>
      <c r="AD213">
        <v>26.36</v>
      </c>
      <c r="AE213">
        <v>5.88</v>
      </c>
      <c r="AF213">
        <v>0</v>
      </c>
      <c r="AG213">
        <v>6.59</v>
      </c>
      <c r="AH213">
        <v>0</v>
      </c>
      <c r="AI213">
        <v>0</v>
      </c>
      <c r="AJ213">
        <v>75</v>
      </c>
      <c r="AK213">
        <v>1.65</v>
      </c>
      <c r="AL213">
        <v>23.07</v>
      </c>
      <c r="AM213">
        <v>6.67</v>
      </c>
      <c r="AN213">
        <v>0</v>
      </c>
      <c r="AO213">
        <v>16.48</v>
      </c>
      <c r="AP213">
        <v>0</v>
      </c>
      <c r="AQ213">
        <v>0</v>
      </c>
      <c r="AR213">
        <v>4.9400000000000004</v>
      </c>
      <c r="AS213">
        <v>0</v>
      </c>
      <c r="AT213" t="s">
        <v>85</v>
      </c>
      <c r="AU213">
        <v>70</v>
      </c>
      <c r="AV213">
        <v>1.65</v>
      </c>
      <c r="AW213">
        <v>29.66</v>
      </c>
      <c r="AX213">
        <v>5.26</v>
      </c>
      <c r="AY213">
        <v>1.65</v>
      </c>
      <c r="AZ213">
        <v>9.89</v>
      </c>
      <c r="BA213">
        <v>14.29</v>
      </c>
      <c r="BB213">
        <v>0</v>
      </c>
      <c r="BC213">
        <v>1.65</v>
      </c>
      <c r="BD213">
        <v>0</v>
      </c>
      <c r="BE213">
        <v>0</v>
      </c>
      <c r="BF213">
        <v>83.33</v>
      </c>
      <c r="BG213">
        <v>1.65</v>
      </c>
      <c r="BH213">
        <v>44.49</v>
      </c>
      <c r="BI213">
        <v>3.57</v>
      </c>
      <c r="BJ213">
        <v>1.65</v>
      </c>
      <c r="BK213">
        <v>26.36</v>
      </c>
      <c r="BL213">
        <v>5.88</v>
      </c>
      <c r="BM213">
        <v>0</v>
      </c>
      <c r="BN213">
        <v>1.65</v>
      </c>
      <c r="BO213">
        <v>0</v>
      </c>
      <c r="BP213">
        <v>0</v>
      </c>
      <c r="BQ213">
        <v>93.75</v>
      </c>
      <c r="BR213">
        <v>0</v>
      </c>
      <c r="BS213">
        <v>84.38</v>
      </c>
      <c r="BT213">
        <v>0.84399999999999997</v>
      </c>
    </row>
    <row r="214" spans="1:72" x14ac:dyDescent="0.35">
      <c r="A214">
        <v>30</v>
      </c>
      <c r="B214" t="s">
        <v>66</v>
      </c>
      <c r="C214">
        <v>10</v>
      </c>
      <c r="D214">
        <v>3.22</v>
      </c>
      <c r="E214">
        <v>6</v>
      </c>
      <c r="F214">
        <v>3</v>
      </c>
      <c r="G214">
        <v>1</v>
      </c>
      <c r="H214">
        <v>6</v>
      </c>
      <c r="I214">
        <v>13</v>
      </c>
      <c r="J214">
        <v>0.65</v>
      </c>
      <c r="K214">
        <v>7.14</v>
      </c>
      <c r="L214">
        <v>112.44</v>
      </c>
      <c r="M214">
        <v>5.97</v>
      </c>
      <c r="N214">
        <v>5.35</v>
      </c>
      <c r="O214">
        <v>74.959999999999994</v>
      </c>
      <c r="P214">
        <v>6.67</v>
      </c>
      <c r="Q214">
        <v>3.57</v>
      </c>
      <c r="R214">
        <v>55.33</v>
      </c>
      <c r="S214">
        <v>6.06</v>
      </c>
      <c r="T214">
        <v>0</v>
      </c>
      <c r="U214">
        <v>5.35</v>
      </c>
      <c r="V214">
        <v>0</v>
      </c>
      <c r="W214">
        <v>0.28999999999999998</v>
      </c>
      <c r="X214">
        <v>6.45</v>
      </c>
      <c r="Y214">
        <v>4.28</v>
      </c>
      <c r="Z214">
        <v>5.35</v>
      </c>
      <c r="AA214">
        <v>60.68</v>
      </c>
      <c r="AB214">
        <v>8.11</v>
      </c>
      <c r="AC214">
        <v>3.57</v>
      </c>
      <c r="AD214">
        <v>32.130000000000003</v>
      </c>
      <c r="AE214">
        <v>10</v>
      </c>
      <c r="AF214">
        <v>0</v>
      </c>
      <c r="AG214">
        <v>5.35</v>
      </c>
      <c r="AH214">
        <v>0</v>
      </c>
      <c r="AI214">
        <v>0</v>
      </c>
      <c r="AJ214">
        <v>83.33</v>
      </c>
      <c r="AK214">
        <v>0</v>
      </c>
      <c r="AL214">
        <v>23.2</v>
      </c>
      <c r="AM214">
        <v>0</v>
      </c>
      <c r="AN214">
        <v>0</v>
      </c>
      <c r="AO214">
        <v>17.850000000000001</v>
      </c>
      <c r="AP214">
        <v>0</v>
      </c>
      <c r="AQ214">
        <v>0</v>
      </c>
      <c r="AR214">
        <v>3.57</v>
      </c>
      <c r="AS214">
        <v>0</v>
      </c>
      <c r="AT214" t="s">
        <v>85</v>
      </c>
      <c r="AU214">
        <v>80</v>
      </c>
      <c r="AV214">
        <v>5.35</v>
      </c>
      <c r="AW214">
        <v>37.479999999999997</v>
      </c>
      <c r="AX214">
        <v>12.5</v>
      </c>
      <c r="AY214">
        <v>3.57</v>
      </c>
      <c r="AZ214">
        <v>14.28</v>
      </c>
      <c r="BA214">
        <v>20</v>
      </c>
      <c r="BB214">
        <v>0</v>
      </c>
      <c r="BC214">
        <v>1.78</v>
      </c>
      <c r="BD214">
        <v>0</v>
      </c>
      <c r="BE214">
        <v>0</v>
      </c>
      <c r="BF214">
        <v>87.5</v>
      </c>
      <c r="BG214">
        <v>1.78</v>
      </c>
      <c r="BH214">
        <v>49.98</v>
      </c>
      <c r="BI214">
        <v>3.45</v>
      </c>
      <c r="BJ214">
        <v>0</v>
      </c>
      <c r="BK214">
        <v>21.42</v>
      </c>
      <c r="BL214">
        <v>0</v>
      </c>
      <c r="BM214">
        <v>0</v>
      </c>
      <c r="BN214">
        <v>0</v>
      </c>
      <c r="BO214" t="s">
        <v>85</v>
      </c>
      <c r="BP214" t="s">
        <v>85</v>
      </c>
      <c r="BQ214">
        <v>100</v>
      </c>
      <c r="BR214">
        <v>0</v>
      </c>
      <c r="BS214">
        <v>90.32</v>
      </c>
      <c r="BT214">
        <v>0.90300000000000002</v>
      </c>
    </row>
    <row r="215" spans="1:72" x14ac:dyDescent="0.35">
      <c r="A215">
        <v>31</v>
      </c>
      <c r="B215" t="s">
        <v>67</v>
      </c>
      <c r="C215">
        <v>10</v>
      </c>
      <c r="D215">
        <v>5.35</v>
      </c>
      <c r="E215">
        <v>8</v>
      </c>
      <c r="F215">
        <v>2</v>
      </c>
      <c r="G215">
        <v>0</v>
      </c>
      <c r="H215">
        <v>7</v>
      </c>
      <c r="I215">
        <v>16</v>
      </c>
      <c r="J215">
        <v>0.8</v>
      </c>
      <c r="K215">
        <v>11.8</v>
      </c>
      <c r="L215">
        <v>61.62</v>
      </c>
      <c r="M215">
        <v>16.07</v>
      </c>
      <c r="N215">
        <v>10.49</v>
      </c>
      <c r="O215">
        <v>47.2</v>
      </c>
      <c r="P215">
        <v>18.18</v>
      </c>
      <c r="Q215">
        <v>9.18</v>
      </c>
      <c r="R215">
        <v>39.33</v>
      </c>
      <c r="S215">
        <v>18.920000000000002</v>
      </c>
      <c r="T215">
        <v>0</v>
      </c>
      <c r="U215">
        <v>5.24</v>
      </c>
      <c r="V215">
        <v>0</v>
      </c>
      <c r="W215">
        <v>0.4</v>
      </c>
      <c r="X215">
        <v>4.4000000000000004</v>
      </c>
      <c r="Y215">
        <v>8.36</v>
      </c>
      <c r="Z215">
        <v>3.93</v>
      </c>
      <c r="AA215">
        <v>34.090000000000003</v>
      </c>
      <c r="AB215">
        <v>10.34</v>
      </c>
      <c r="AC215">
        <v>2.62</v>
      </c>
      <c r="AD215">
        <v>22.29</v>
      </c>
      <c r="AE215">
        <v>10.53</v>
      </c>
      <c r="AF215">
        <v>0</v>
      </c>
      <c r="AG215">
        <v>3.93</v>
      </c>
      <c r="AH215">
        <v>0</v>
      </c>
      <c r="AI215">
        <v>0</v>
      </c>
      <c r="AJ215">
        <v>82.35</v>
      </c>
      <c r="AK215">
        <v>1.31</v>
      </c>
      <c r="AL215">
        <v>19.66</v>
      </c>
      <c r="AM215">
        <v>6.25</v>
      </c>
      <c r="AN215">
        <v>1.31</v>
      </c>
      <c r="AO215">
        <v>17.04</v>
      </c>
      <c r="AP215">
        <v>7.14</v>
      </c>
      <c r="AQ215">
        <v>0</v>
      </c>
      <c r="AR215">
        <v>2.62</v>
      </c>
      <c r="AS215">
        <v>0</v>
      </c>
      <c r="AT215">
        <v>0</v>
      </c>
      <c r="AU215">
        <v>84.62</v>
      </c>
      <c r="AV215">
        <v>2.62</v>
      </c>
      <c r="AW215">
        <v>14.42</v>
      </c>
      <c r="AX215">
        <v>15.38</v>
      </c>
      <c r="AY215">
        <v>1.31</v>
      </c>
      <c r="AZ215">
        <v>5.24</v>
      </c>
      <c r="BA215">
        <v>20</v>
      </c>
      <c r="BB215">
        <v>0</v>
      </c>
      <c r="BC215">
        <v>1.31</v>
      </c>
      <c r="BD215">
        <v>0</v>
      </c>
      <c r="BE215">
        <v>0</v>
      </c>
      <c r="BF215">
        <v>75</v>
      </c>
      <c r="BG215">
        <v>2.62</v>
      </c>
      <c r="BH215">
        <v>27.53</v>
      </c>
      <c r="BI215">
        <v>8.6999999999999993</v>
      </c>
      <c r="BJ215">
        <v>2.62</v>
      </c>
      <c r="BK215">
        <v>17.04</v>
      </c>
      <c r="BL215">
        <v>13.33</v>
      </c>
      <c r="BM215">
        <v>0</v>
      </c>
      <c r="BN215">
        <v>1.31</v>
      </c>
      <c r="BO215">
        <v>0</v>
      </c>
      <c r="BP215">
        <v>0</v>
      </c>
      <c r="BQ215">
        <v>92.31</v>
      </c>
      <c r="BR215">
        <v>0</v>
      </c>
      <c r="BS215">
        <v>86.67</v>
      </c>
      <c r="BT215">
        <v>0.86699999999999999</v>
      </c>
    </row>
    <row r="255" spans="1:41" x14ac:dyDescent="0.3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</row>
    <row r="256" spans="1:41" x14ac:dyDescent="0.3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</row>
    <row r="257" spans="1:72" x14ac:dyDescent="0.3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</row>
    <row r="258" spans="1:72" x14ac:dyDescent="0.3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</row>
    <row r="259" spans="1:72" x14ac:dyDescent="0.3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</row>
    <row r="260" spans="1:72" x14ac:dyDescent="0.3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</row>
    <row r="261" spans="1:72" x14ac:dyDescent="0.3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</row>
    <row r="262" spans="1:72" x14ac:dyDescent="0.35">
      <c r="A262" s="65"/>
      <c r="B262" s="66"/>
      <c r="C262" s="67"/>
      <c r="D262" s="70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  <c r="AA262" s="67"/>
      <c r="AB262" s="67"/>
      <c r="AC262" s="67"/>
      <c r="AD262" s="67"/>
      <c r="AE262" s="67"/>
      <c r="AF262" s="67"/>
      <c r="AG262" s="67"/>
      <c r="AH262" s="67"/>
      <c r="AI262" s="67"/>
      <c r="AJ262" s="67"/>
      <c r="AK262" s="67"/>
      <c r="AL262" s="67"/>
      <c r="AM262" s="67"/>
      <c r="AN262" s="67"/>
      <c r="AO262" s="67"/>
      <c r="AP262" s="67"/>
      <c r="AQ262" s="67"/>
      <c r="AR262" s="6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</row>
    <row r="263" spans="1:72" x14ac:dyDescent="0.35">
      <c r="A263" s="67"/>
      <c r="B263" s="68"/>
      <c r="C263" s="69"/>
      <c r="D263" s="71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</row>
    <row r="264" spans="1:72" x14ac:dyDescent="0.35">
      <c r="A264" s="65"/>
      <c r="B264" s="66"/>
      <c r="C264" s="67"/>
      <c r="D264" s="70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7"/>
      <c r="AH264" s="67"/>
      <c r="AI264" s="67"/>
      <c r="AJ264" s="67"/>
      <c r="AK264" s="67"/>
      <c r="AL264" s="67"/>
      <c r="AM264" s="67"/>
      <c r="AN264" s="67"/>
      <c r="AO264" s="67"/>
      <c r="AP264" s="67"/>
      <c r="AQ264" s="67"/>
      <c r="AR264" s="67"/>
      <c r="AS264" s="57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</row>
    <row r="265" spans="1:72" x14ac:dyDescent="0.35">
      <c r="A265" s="67"/>
      <c r="B265" s="68"/>
      <c r="C265" s="69"/>
      <c r="D265" s="71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57"/>
      <c r="AT265" s="57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</row>
    <row r="266" spans="1:72" x14ac:dyDescent="0.35">
      <c r="A266" s="65"/>
      <c r="B266" s="66"/>
      <c r="C266" s="67"/>
      <c r="D266" s="70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</row>
    <row r="267" spans="1:72" x14ac:dyDescent="0.35">
      <c r="A267" s="67"/>
      <c r="B267" s="68"/>
      <c r="C267" s="69"/>
      <c r="D267" s="71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69"/>
      <c r="AN267" s="69"/>
      <c r="AO267" s="69"/>
      <c r="AP267" s="69"/>
      <c r="AQ267" s="69"/>
      <c r="AR267" s="69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  <c r="BD267" s="57"/>
      <c r="BE267" s="57"/>
      <c r="BF267" s="57"/>
      <c r="BG267" s="57"/>
      <c r="BH267" s="57"/>
      <c r="BI267" s="57"/>
    </row>
    <row r="268" spans="1:72" x14ac:dyDescent="0.35">
      <c r="A268" s="65"/>
      <c r="B268" s="66"/>
      <c r="C268" s="67"/>
      <c r="D268" s="70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  <c r="AF268" s="67"/>
      <c r="AG268" s="67"/>
      <c r="AH268" s="67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  <c r="BD268" s="57"/>
      <c r="BE268" s="57"/>
      <c r="BF268" s="57"/>
      <c r="BG268" s="57"/>
      <c r="BH268" s="57"/>
      <c r="BI268" s="57"/>
    </row>
    <row r="269" spans="1:72" x14ac:dyDescent="0.35">
      <c r="A269" s="67"/>
      <c r="B269" s="68"/>
      <c r="C269" s="69"/>
      <c r="D269" s="71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57"/>
      <c r="AT269" s="57"/>
      <c r="AU269" s="57"/>
      <c r="AV269" s="57"/>
      <c r="AW269" s="57"/>
      <c r="AX269" s="57"/>
      <c r="AY269" s="57"/>
      <c r="AZ269" s="57"/>
      <c r="BA269" s="57"/>
      <c r="BB269" s="57"/>
      <c r="BC269" s="57"/>
      <c r="BD269" s="57"/>
      <c r="BE269" s="57"/>
      <c r="BF269" s="57"/>
      <c r="BG269" s="57"/>
      <c r="BH269" s="57"/>
      <c r="BI269" s="57"/>
    </row>
    <row r="270" spans="1:72" x14ac:dyDescent="0.35">
      <c r="A270" s="65"/>
      <c r="B270" s="66"/>
      <c r="C270" s="67"/>
      <c r="D270" s="70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  <c r="AF270" s="67"/>
      <c r="AG270" s="67"/>
      <c r="AH270" s="67"/>
      <c r="AI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57"/>
      <c r="AT270" s="57"/>
      <c r="AU270" s="57"/>
      <c r="AV270" s="57"/>
      <c r="AW270" s="57"/>
      <c r="AX270" s="57"/>
      <c r="AY270" s="57"/>
      <c r="AZ270" s="57"/>
      <c r="BA270" s="57"/>
      <c r="BB270" s="57"/>
      <c r="BC270" s="57"/>
      <c r="BD270" s="57"/>
      <c r="BE270" s="57"/>
      <c r="BF270" s="57"/>
      <c r="BG270" s="57"/>
      <c r="BH270" s="57"/>
      <c r="BI270" s="57"/>
    </row>
    <row r="271" spans="1:72" x14ac:dyDescent="0.35">
      <c r="A271" s="67"/>
      <c r="B271" s="68"/>
      <c r="C271" s="69"/>
      <c r="D271" s="71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69"/>
      <c r="AN271" s="69"/>
      <c r="AO271" s="69"/>
      <c r="AP271" s="69"/>
      <c r="AQ271" s="69"/>
      <c r="AR271" s="69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</row>
    <row r="272" spans="1:72" x14ac:dyDescent="0.35">
      <c r="A272" s="65"/>
      <c r="B272" s="66"/>
      <c r="C272" s="67"/>
      <c r="D272" s="70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  <c r="AF272" s="67"/>
      <c r="AG272" s="67"/>
      <c r="AH272" s="67"/>
      <c r="AI272" s="67"/>
      <c r="AJ272" s="67"/>
      <c r="AK272" s="67"/>
      <c r="AL272" s="67"/>
      <c r="AM272" s="67"/>
      <c r="AN272" s="67"/>
      <c r="AO272" s="67"/>
      <c r="AP272" s="67"/>
      <c r="AQ272" s="67"/>
      <c r="AR272" s="67"/>
      <c r="AS272" s="57"/>
      <c r="AT272" s="57"/>
      <c r="AU272" s="57"/>
      <c r="AV272" s="57"/>
      <c r="AW272" s="57"/>
      <c r="AX272" s="57"/>
      <c r="AY272" s="57"/>
      <c r="AZ272" s="57"/>
      <c r="BA272" s="57"/>
      <c r="BB272" s="57"/>
      <c r="BC272" s="57"/>
      <c r="BD272" s="57"/>
      <c r="BE272" s="57"/>
      <c r="BF272" s="57"/>
      <c r="BG272" s="57"/>
      <c r="BH272" s="57"/>
      <c r="BI272" s="57"/>
    </row>
    <row r="273" spans="1:61" x14ac:dyDescent="0.35">
      <c r="A273" s="67"/>
      <c r="B273" s="68"/>
      <c r="C273" s="69"/>
      <c r="D273" s="71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  <c r="AA273" s="69"/>
      <c r="AB273" s="69"/>
      <c r="AC273" s="69"/>
      <c r="AD273" s="69"/>
      <c r="AE273" s="69"/>
      <c r="AF273" s="69"/>
      <c r="AG273" s="69"/>
      <c r="AH273" s="69"/>
      <c r="AI273" s="69"/>
      <c r="AJ273" s="69"/>
      <c r="AK273" s="69"/>
      <c r="AL273" s="69"/>
      <c r="AM273" s="69"/>
      <c r="AN273" s="69"/>
      <c r="AO273" s="69"/>
      <c r="AP273" s="69"/>
      <c r="AQ273" s="69"/>
      <c r="AR273" s="69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  <c r="BD273" s="57"/>
      <c r="BE273" s="57"/>
      <c r="BF273" s="57"/>
      <c r="BG273" s="57"/>
      <c r="BH273" s="57"/>
      <c r="BI273" s="57"/>
    </row>
    <row r="274" spans="1:61" x14ac:dyDescent="0.35">
      <c r="A274" s="65"/>
      <c r="B274" s="66"/>
      <c r="C274" s="67"/>
      <c r="D274" s="70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  <c r="AF274" s="67"/>
      <c r="AG274" s="67"/>
      <c r="AH274" s="67"/>
      <c r="AI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  <c r="BD274" s="57"/>
      <c r="BE274" s="57"/>
      <c r="BF274" s="57"/>
      <c r="BG274" s="57"/>
      <c r="BH274" s="57"/>
      <c r="BI274" s="57"/>
    </row>
    <row r="275" spans="1:61" x14ac:dyDescent="0.35">
      <c r="A275" s="67"/>
      <c r="B275" s="68"/>
      <c r="C275" s="69"/>
      <c r="D275" s="71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  <c r="AA275" s="69"/>
      <c r="AB275" s="69"/>
      <c r="AC275" s="69"/>
      <c r="AD275" s="69"/>
      <c r="AE275" s="69"/>
      <c r="AF275" s="69"/>
      <c r="AG275" s="69"/>
      <c r="AH275" s="69"/>
      <c r="AI275" s="69"/>
      <c r="AJ275" s="69"/>
      <c r="AK275" s="69"/>
      <c r="AL275" s="69"/>
      <c r="AM275" s="69"/>
      <c r="AN275" s="69"/>
      <c r="AO275" s="69"/>
      <c r="AP275" s="69"/>
      <c r="AQ275" s="69"/>
      <c r="AR275" s="69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</row>
    <row r="276" spans="1:61" x14ac:dyDescent="0.35">
      <c r="A276" s="65"/>
      <c r="B276" s="66"/>
      <c r="C276" s="67"/>
      <c r="D276" s="70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  <c r="AF276" s="67"/>
      <c r="AG276" s="67"/>
      <c r="AH276" s="67"/>
      <c r="AI276" s="67"/>
      <c r="AJ276" s="67"/>
      <c r="AK276" s="67"/>
      <c r="AL276" s="67"/>
      <c r="AM276" s="67"/>
      <c r="AN276" s="67"/>
      <c r="AO276" s="67"/>
      <c r="AP276" s="67"/>
      <c r="AQ276" s="67"/>
      <c r="AR276" s="67"/>
      <c r="AS276" s="57"/>
      <c r="AT276" s="57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</row>
    <row r="277" spans="1:61" x14ac:dyDescent="0.35">
      <c r="A277" s="67"/>
      <c r="B277" s="68"/>
      <c r="C277" s="69"/>
      <c r="D277" s="71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  <c r="AA277" s="69"/>
      <c r="AB277" s="69"/>
      <c r="AC277" s="69"/>
      <c r="AD277" s="69"/>
      <c r="AE277" s="69"/>
      <c r="AF277" s="69"/>
      <c r="AG277" s="69"/>
      <c r="AH277" s="69"/>
      <c r="AI277" s="69"/>
      <c r="AJ277" s="69"/>
      <c r="AK277" s="69"/>
      <c r="AL277" s="69"/>
      <c r="AM277" s="69"/>
      <c r="AN277" s="69"/>
      <c r="AO277" s="69"/>
      <c r="AP277" s="69"/>
      <c r="AQ277" s="69"/>
      <c r="AR277" s="69"/>
      <c r="AS277" s="57"/>
      <c r="AT277" s="57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</row>
    <row r="278" spans="1:61" x14ac:dyDescent="0.35">
      <c r="A278" s="65"/>
      <c r="B278" s="66"/>
      <c r="C278" s="67"/>
      <c r="D278" s="70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  <c r="AF278" s="67"/>
      <c r="AG278" s="67"/>
      <c r="AH278" s="67"/>
      <c r="AI278" s="67"/>
      <c r="AJ278" s="67"/>
      <c r="AK278" s="67"/>
      <c r="AL278" s="67"/>
      <c r="AM278" s="67"/>
      <c r="AN278" s="67"/>
      <c r="AO278" s="67"/>
      <c r="AP278" s="67"/>
      <c r="AQ278" s="67"/>
      <c r="AR278" s="67"/>
      <c r="AS278" s="57"/>
      <c r="AT278" s="57"/>
      <c r="AU278" s="57"/>
      <c r="AV278" s="57"/>
      <c r="AW278" s="57"/>
      <c r="AX278" s="57"/>
      <c r="AY278" s="57"/>
      <c r="AZ278" s="57"/>
      <c r="BA278" s="57"/>
      <c r="BB278" s="57"/>
      <c r="BC278" s="57"/>
      <c r="BD278" s="57"/>
      <c r="BE278" s="57"/>
      <c r="BF278" s="57"/>
      <c r="BG278" s="57"/>
      <c r="BH278" s="57"/>
      <c r="BI278" s="57"/>
    </row>
    <row r="279" spans="1:61" x14ac:dyDescent="0.35">
      <c r="A279" s="67"/>
      <c r="B279" s="68"/>
      <c r="C279" s="69"/>
      <c r="D279" s="71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69"/>
      <c r="AN279" s="69"/>
      <c r="AO279" s="69"/>
      <c r="AP279" s="69"/>
      <c r="AQ279" s="69"/>
      <c r="AR279" s="69"/>
      <c r="AS279" s="57"/>
      <c r="AT279" s="57"/>
      <c r="AU279" s="57"/>
      <c r="AV279" s="57"/>
      <c r="AW279" s="57"/>
      <c r="AX279" s="57"/>
      <c r="AY279" s="57"/>
      <c r="AZ279" s="57"/>
      <c r="BA279" s="57"/>
      <c r="BB279" s="57"/>
      <c r="BC279" s="57"/>
      <c r="BD279" s="57"/>
      <c r="BE279" s="57"/>
      <c r="BF279" s="57"/>
      <c r="BG279" s="57"/>
      <c r="BH279" s="57"/>
      <c r="BI279" s="57"/>
    </row>
    <row r="280" spans="1:61" x14ac:dyDescent="0.35">
      <c r="A280" s="65"/>
      <c r="B280" s="66"/>
      <c r="C280" s="67"/>
      <c r="D280" s="70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  <c r="AF280" s="67"/>
      <c r="AG280" s="67"/>
      <c r="AH280" s="67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  <c r="BD280" s="57"/>
      <c r="BE280" s="57"/>
      <c r="BF280" s="57"/>
      <c r="BG280" s="57"/>
      <c r="BH280" s="57"/>
      <c r="BI280" s="57"/>
    </row>
    <row r="281" spans="1:61" x14ac:dyDescent="0.35">
      <c r="A281" s="67"/>
      <c r="B281" s="68"/>
      <c r="C281" s="69"/>
      <c r="D281" s="71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  <c r="BD281" s="57"/>
      <c r="BE281" s="57"/>
      <c r="BF281" s="57"/>
      <c r="BG281" s="57"/>
      <c r="BH281" s="57"/>
      <c r="BI281" s="57"/>
    </row>
    <row r="282" spans="1:61" x14ac:dyDescent="0.35">
      <c r="A282" s="65"/>
      <c r="B282" s="66"/>
      <c r="C282" s="67"/>
      <c r="D282" s="70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  <c r="AF282" s="67"/>
      <c r="AG282" s="67"/>
      <c r="AH282" s="67"/>
      <c r="AI282" s="67"/>
      <c r="AJ282" s="67"/>
      <c r="AK282" s="67"/>
      <c r="AL282" s="67"/>
      <c r="AM282" s="67"/>
      <c r="AN282" s="67"/>
      <c r="AO282" s="67"/>
      <c r="AP282" s="67"/>
      <c r="AQ282" s="67"/>
      <c r="AR282" s="6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  <c r="BD282" s="57"/>
      <c r="BE282" s="57"/>
      <c r="BF282" s="57"/>
      <c r="BG282" s="57"/>
      <c r="BH282" s="57"/>
      <c r="BI282" s="57"/>
    </row>
    <row r="283" spans="1:61" x14ac:dyDescent="0.35">
      <c r="A283" s="67"/>
      <c r="B283" s="68"/>
      <c r="C283" s="69"/>
      <c r="D283" s="71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69"/>
      <c r="AN283" s="69"/>
      <c r="AO283" s="69"/>
      <c r="AP283" s="69"/>
      <c r="AQ283" s="69"/>
      <c r="AR283" s="69"/>
      <c r="AS283" s="57"/>
      <c r="AT283" s="57"/>
      <c r="AU283" s="57"/>
      <c r="AV283" s="57"/>
      <c r="AW283" s="57"/>
      <c r="AX283" s="57"/>
      <c r="AY283" s="57"/>
      <c r="AZ283" s="57"/>
      <c r="BA283" s="57"/>
      <c r="BB283" s="57"/>
      <c r="BC283" s="57"/>
      <c r="BD283" s="57"/>
      <c r="BE283" s="57"/>
      <c r="BF283" s="57"/>
      <c r="BG283" s="57"/>
      <c r="BH283" s="57"/>
      <c r="BI283" s="57"/>
    </row>
    <row r="284" spans="1:61" x14ac:dyDescent="0.35">
      <c r="A284" s="65"/>
      <c r="B284" s="66"/>
      <c r="C284" s="67"/>
      <c r="D284" s="70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  <c r="AF284" s="67"/>
      <c r="AG284" s="67"/>
      <c r="AH284" s="67"/>
      <c r="AI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57"/>
      <c r="AT284" s="57"/>
      <c r="AU284" s="57"/>
      <c r="AV284" s="57"/>
      <c r="AW284" s="57"/>
      <c r="AX284" s="57"/>
      <c r="AY284" s="57"/>
      <c r="AZ284" s="57"/>
      <c r="BA284" s="57"/>
      <c r="BB284" s="57"/>
      <c r="BC284" s="57"/>
      <c r="BD284" s="57"/>
      <c r="BE284" s="57"/>
      <c r="BF284" s="57"/>
      <c r="BG284" s="57"/>
      <c r="BH284" s="57"/>
      <c r="BI284" s="57"/>
    </row>
    <row r="285" spans="1:61" x14ac:dyDescent="0.35">
      <c r="A285" s="67"/>
      <c r="B285" s="68"/>
      <c r="C285" s="69"/>
      <c r="D285" s="71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57"/>
      <c r="AT285" s="57"/>
      <c r="AU285" s="57"/>
      <c r="AV285" s="57"/>
      <c r="AW285" s="57"/>
      <c r="AX285" s="57"/>
      <c r="AY285" s="57"/>
      <c r="AZ285" s="57"/>
      <c r="BA285" s="57"/>
      <c r="BB285" s="57"/>
      <c r="BC285" s="57"/>
      <c r="BD285" s="57"/>
      <c r="BE285" s="57"/>
      <c r="BF285" s="57"/>
      <c r="BG285" s="57"/>
      <c r="BH285" s="57"/>
      <c r="BI285" s="57"/>
    </row>
    <row r="286" spans="1:61" x14ac:dyDescent="0.35">
      <c r="A286" s="65"/>
      <c r="B286" s="66"/>
      <c r="C286" s="67"/>
      <c r="D286" s="70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  <c r="AF286" s="67"/>
      <c r="AG286" s="67"/>
      <c r="AH286" s="67"/>
      <c r="AI286" s="67"/>
      <c r="AJ286" s="67"/>
      <c r="AK286" s="67"/>
      <c r="AL286" s="67"/>
      <c r="AM286" s="67"/>
      <c r="AN286" s="67"/>
      <c r="AO286" s="67"/>
      <c r="AP286" s="67"/>
      <c r="AQ286" s="67"/>
      <c r="AR286" s="67"/>
      <c r="AS286" s="57"/>
      <c r="AT286" s="57"/>
      <c r="AU286" s="57"/>
      <c r="AV286" s="57"/>
      <c r="AW286" s="57"/>
      <c r="AX286" s="57"/>
      <c r="AY286" s="57"/>
      <c r="AZ286" s="57"/>
      <c r="BA286" s="57"/>
      <c r="BB286" s="57"/>
      <c r="BC286" s="57"/>
      <c r="BD286" s="57"/>
      <c r="BE286" s="57"/>
      <c r="BF286" s="57"/>
      <c r="BG286" s="57"/>
      <c r="BH286" s="57"/>
      <c r="BI286" s="57"/>
    </row>
    <row r="287" spans="1:61" x14ac:dyDescent="0.35">
      <c r="A287" s="67"/>
      <c r="B287" s="68"/>
      <c r="C287" s="69"/>
      <c r="D287" s="71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69"/>
      <c r="AN287" s="69"/>
      <c r="AO287" s="69"/>
      <c r="AP287" s="69"/>
      <c r="AQ287" s="69"/>
      <c r="AR287" s="69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  <c r="BD287" s="57"/>
      <c r="BE287" s="57"/>
      <c r="BF287" s="57"/>
      <c r="BG287" s="57"/>
      <c r="BH287" s="57"/>
      <c r="BI287" s="57"/>
    </row>
    <row r="288" spans="1:61" x14ac:dyDescent="0.35">
      <c r="A288" s="65"/>
      <c r="B288" s="66"/>
      <c r="C288" s="67"/>
      <c r="D288" s="70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  <c r="AF288" s="67"/>
      <c r="AG288" s="67"/>
      <c r="AH288" s="67"/>
      <c r="AI288" s="67"/>
      <c r="AJ288" s="67"/>
      <c r="AK288" s="67"/>
      <c r="AL288" s="67"/>
      <c r="AM288" s="67"/>
      <c r="AN288" s="67"/>
      <c r="AO288" s="67"/>
      <c r="AP288" s="67"/>
      <c r="AQ288" s="67"/>
      <c r="AR288" s="6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  <c r="BD288" s="57"/>
      <c r="BE288" s="57"/>
      <c r="BF288" s="57"/>
      <c r="BG288" s="57"/>
      <c r="BH288" s="57"/>
      <c r="BI288" s="57"/>
    </row>
    <row r="289" spans="1:61" x14ac:dyDescent="0.35">
      <c r="A289" s="67"/>
      <c r="B289" s="68"/>
      <c r="C289" s="69"/>
      <c r="D289" s="71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</row>
    <row r="290" spans="1:61" x14ac:dyDescent="0.35">
      <c r="A290" s="65"/>
      <c r="B290" s="66"/>
      <c r="C290" s="67"/>
      <c r="D290" s="70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  <c r="AF290" s="67"/>
      <c r="AG290" s="67"/>
      <c r="AH290" s="67"/>
      <c r="AI290" s="67"/>
      <c r="AJ290" s="67"/>
      <c r="AK290" s="67"/>
      <c r="AL290" s="67"/>
      <c r="AM290" s="67"/>
      <c r="AN290" s="67"/>
      <c r="AO290" s="67"/>
      <c r="AP290" s="67"/>
      <c r="AQ290" s="67"/>
      <c r="AR290" s="6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</row>
    <row r="291" spans="1:61" x14ac:dyDescent="0.35">
      <c r="A291" s="67"/>
      <c r="B291" s="68"/>
      <c r="C291" s="69"/>
      <c r="D291" s="71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69"/>
      <c r="AN291" s="69"/>
      <c r="AO291" s="69"/>
      <c r="AP291" s="69"/>
      <c r="AQ291" s="69"/>
      <c r="AR291" s="69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</row>
    <row r="292" spans="1:61" x14ac:dyDescent="0.35">
      <c r="A292" s="65"/>
      <c r="B292" s="66"/>
      <c r="C292" s="67"/>
      <c r="D292" s="70"/>
      <c r="E292" s="67"/>
      <c r="F292" s="67"/>
      <c r="AS292" s="57"/>
      <c r="AT292" s="57"/>
      <c r="AU292" s="57"/>
      <c r="AV292" s="57"/>
      <c r="AW292" s="57"/>
      <c r="AX292" s="57"/>
      <c r="AY292" s="57"/>
      <c r="AZ292" s="57"/>
      <c r="BA292" s="57"/>
      <c r="BB292" s="57"/>
      <c r="BC292" s="57"/>
      <c r="BD292" s="57"/>
      <c r="BE292" s="57"/>
      <c r="BF292" s="57"/>
      <c r="BG292" s="57"/>
      <c r="BH292" s="57"/>
      <c r="BI292" s="57"/>
    </row>
    <row r="293" spans="1:61" x14ac:dyDescent="0.35">
      <c r="A293" s="67"/>
      <c r="B293" s="68"/>
      <c r="C293" s="69"/>
      <c r="D293" s="71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69"/>
      <c r="AN293" s="69"/>
      <c r="AO293" s="69"/>
      <c r="AP293" s="69"/>
      <c r="AQ293" s="69"/>
      <c r="AR293" s="69"/>
      <c r="AS293" s="57"/>
      <c r="AT293" s="57"/>
      <c r="AU293" s="57"/>
      <c r="AV293" s="57"/>
      <c r="AW293" s="57"/>
      <c r="AX293" s="57"/>
      <c r="AY293" s="57"/>
      <c r="AZ293" s="57"/>
      <c r="BA293" s="57"/>
      <c r="BB293" s="57"/>
      <c r="BC293" s="57"/>
      <c r="BD293" s="57"/>
      <c r="BE293" s="57"/>
      <c r="BF293" s="57"/>
      <c r="BG293" s="57"/>
      <c r="BH293" s="57"/>
      <c r="BI293" s="57"/>
    </row>
    <row r="294" spans="1:61" x14ac:dyDescent="0.35">
      <c r="A294" s="65"/>
      <c r="B294" s="66"/>
      <c r="C294" s="67"/>
      <c r="D294" s="70"/>
      <c r="E294" s="67"/>
      <c r="F294" s="6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  <c r="BD294" s="57"/>
      <c r="BE294" s="57"/>
      <c r="BF294" s="57"/>
      <c r="BG294" s="57"/>
      <c r="BH294" s="57"/>
      <c r="BI294" s="57"/>
    </row>
    <row r="295" spans="1:61" x14ac:dyDescent="0.35">
      <c r="A295" s="65"/>
      <c r="B295" s="66"/>
      <c r="C295" s="67"/>
      <c r="D295" s="70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  <c r="AF295" s="67"/>
      <c r="AG295" s="67"/>
      <c r="AH295" s="67"/>
      <c r="AI295" s="67"/>
      <c r="AJ295" s="67"/>
      <c r="AK295" s="67"/>
      <c r="AL295" s="67"/>
      <c r="AM295" s="67"/>
      <c r="AN295" s="67"/>
      <c r="AO295" s="67"/>
      <c r="AP295" s="67"/>
      <c r="AQ295" s="67"/>
      <c r="AR295" s="67"/>
      <c r="AS295" s="57"/>
      <c r="AT295" s="57"/>
      <c r="AU295" s="57"/>
      <c r="AV295" s="57"/>
      <c r="AW295" s="57"/>
      <c r="AX295" s="57"/>
      <c r="AY295" s="57"/>
      <c r="AZ295" s="57"/>
      <c r="BA295" s="57"/>
      <c r="BB295" s="57"/>
      <c r="BC295" s="57"/>
      <c r="BD295" s="57"/>
      <c r="BE295" s="57"/>
      <c r="BF295" s="57"/>
      <c r="BG295" s="57"/>
      <c r="BH295" s="57"/>
      <c r="BI295" s="57"/>
    </row>
    <row r="296" spans="1:61" x14ac:dyDescent="0.35">
      <c r="A296" s="67"/>
      <c r="B296" s="68"/>
      <c r="C296" s="69"/>
      <c r="D296" s="71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69"/>
      <c r="AN296" s="69"/>
      <c r="AO296" s="69"/>
      <c r="AP296" s="69"/>
      <c r="AQ296" s="69"/>
      <c r="AR296" s="69"/>
      <c r="AS296" s="57"/>
      <c r="AT296" s="57"/>
      <c r="AU296" s="57"/>
      <c r="AV296" s="57"/>
      <c r="AW296" s="57"/>
      <c r="AX296" s="57"/>
      <c r="AY296" s="57"/>
      <c r="AZ296" s="57"/>
      <c r="BA296" s="57"/>
      <c r="BB296" s="57"/>
      <c r="BC296" s="57"/>
      <c r="BD296" s="57"/>
      <c r="BE296" s="57"/>
      <c r="BF296" s="57"/>
      <c r="BG296" s="57"/>
      <c r="BH296" s="57"/>
      <c r="BI296" s="57"/>
    </row>
    <row r="297" spans="1:61" x14ac:dyDescent="0.35">
      <c r="A297" s="65"/>
      <c r="B297" s="66"/>
      <c r="C297" s="67"/>
      <c r="D297" s="70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  <c r="AF297" s="67"/>
      <c r="AG297" s="67"/>
      <c r="AH297" s="67"/>
      <c r="AI297" s="67"/>
      <c r="AJ297" s="67"/>
      <c r="AK297" s="67"/>
      <c r="AL297" s="67"/>
      <c r="AM297" s="67"/>
      <c r="AN297" s="67"/>
      <c r="AO297" s="67"/>
      <c r="AP297" s="67"/>
      <c r="AQ297" s="67"/>
      <c r="AR297" s="67"/>
      <c r="AS297" s="57"/>
      <c r="AT297" s="57"/>
      <c r="AU297" s="57"/>
      <c r="AV297" s="57"/>
      <c r="AW297" s="57"/>
      <c r="AX297" s="57"/>
      <c r="AY297" s="57"/>
      <c r="AZ297" s="57"/>
      <c r="BA297" s="57"/>
      <c r="BB297" s="57"/>
      <c r="BC297" s="57"/>
      <c r="BD297" s="57"/>
      <c r="BE297" s="57"/>
      <c r="BF297" s="57"/>
      <c r="BG297" s="57"/>
      <c r="BH297" s="57"/>
      <c r="BI297" s="57"/>
    </row>
    <row r="298" spans="1:61" x14ac:dyDescent="0.35">
      <c r="A298" s="67"/>
      <c r="B298" s="68"/>
      <c r="C298" s="69"/>
      <c r="D298" s="71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  <c r="AA298" s="69"/>
      <c r="AB298" s="69"/>
      <c r="AC298" s="69"/>
      <c r="AD298" s="69"/>
      <c r="AE298" s="69"/>
      <c r="AF298" s="69"/>
      <c r="AG298" s="69"/>
      <c r="AH298" s="69"/>
      <c r="AI298" s="69"/>
      <c r="AJ298" s="69"/>
      <c r="AK298" s="69"/>
      <c r="AL298" s="69"/>
      <c r="AM298" s="69"/>
      <c r="AN298" s="69"/>
      <c r="AO298" s="69"/>
      <c r="AP298" s="69"/>
      <c r="AQ298" s="69"/>
      <c r="AR298" s="69"/>
      <c r="AS298" s="57"/>
      <c r="AT298" s="57"/>
      <c r="AU298" s="57"/>
      <c r="AV298" s="57"/>
      <c r="AW298" s="57"/>
      <c r="AX298" s="57"/>
      <c r="AY298" s="57"/>
      <c r="AZ298" s="57"/>
      <c r="BA298" s="57"/>
      <c r="BB298" s="57"/>
      <c r="BC298" s="57"/>
      <c r="BD298" s="57"/>
      <c r="BE298" s="57"/>
      <c r="BF298" s="57"/>
      <c r="BG298" s="57"/>
      <c r="BH298" s="57"/>
      <c r="BI298" s="57"/>
    </row>
    <row r="299" spans="1:61" x14ac:dyDescent="0.35">
      <c r="A299" s="65"/>
      <c r="B299" s="66"/>
      <c r="C299" s="67"/>
      <c r="D299" s="70"/>
      <c r="E299" s="67"/>
      <c r="AS299" s="57"/>
      <c r="AT299" s="57"/>
      <c r="AU299" s="57"/>
      <c r="AV299" s="57"/>
      <c r="AW299" s="57"/>
      <c r="AX299" s="57"/>
      <c r="AY299" s="57"/>
      <c r="AZ299" s="57"/>
      <c r="BA299" s="57"/>
      <c r="BB299" s="57"/>
      <c r="BC299" s="57"/>
      <c r="BD299" s="57"/>
      <c r="BE299" s="57"/>
      <c r="BF299" s="57"/>
      <c r="BG299" s="57"/>
      <c r="BH299" s="57"/>
      <c r="BI299" s="57"/>
    </row>
    <row r="300" spans="1:61" x14ac:dyDescent="0.3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57"/>
      <c r="AP300" s="57"/>
      <c r="AQ300" s="57"/>
      <c r="AR300" s="57"/>
      <c r="AS300" s="57"/>
      <c r="AT300" s="57"/>
      <c r="AU300" s="57"/>
      <c r="AV300" s="57"/>
      <c r="AW300" s="57"/>
      <c r="AX300" s="57"/>
      <c r="AY300" s="57"/>
      <c r="AZ300" s="57"/>
      <c r="BA300" s="57"/>
      <c r="BB300" s="57"/>
      <c r="BC300" s="57"/>
      <c r="BD300" s="57"/>
      <c r="BE300" s="57"/>
      <c r="BF300" s="57"/>
      <c r="BG300" s="57"/>
      <c r="BH300" s="57"/>
      <c r="BI300" s="57"/>
    </row>
    <row r="301" spans="1:61" x14ac:dyDescent="0.3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  <c r="BD301" s="57"/>
      <c r="BE301" s="57"/>
      <c r="BF301" s="57"/>
      <c r="BG301" s="57"/>
      <c r="BH301" s="57"/>
      <c r="BI301" s="57"/>
    </row>
    <row r="302" spans="1:61" x14ac:dyDescent="0.3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57"/>
      <c r="AP302" s="57"/>
      <c r="AQ302" s="57"/>
      <c r="AR302" s="57"/>
      <c r="AS302" s="57"/>
      <c r="AT302" s="57"/>
      <c r="AU302" s="57"/>
      <c r="AV302" s="57"/>
      <c r="AW302" s="57"/>
      <c r="AX302" s="57"/>
      <c r="AY302" s="57"/>
      <c r="AZ302" s="57"/>
      <c r="BA302" s="57"/>
      <c r="BB302" s="57"/>
      <c r="BC302" s="57"/>
      <c r="BD302" s="57"/>
      <c r="BE302" s="57"/>
      <c r="BF302" s="57"/>
      <c r="BG302" s="57"/>
      <c r="BH302" s="57"/>
      <c r="BI302" s="57"/>
    </row>
    <row r="303" spans="1:61" x14ac:dyDescent="0.3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  <c r="BD303" s="57"/>
      <c r="BE303" s="57"/>
      <c r="BF303" s="57"/>
      <c r="BG303" s="57"/>
      <c r="BH303" s="57"/>
      <c r="BI303" s="57"/>
    </row>
    <row r="304" spans="1:61" x14ac:dyDescent="0.3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57"/>
      <c r="AN304" s="57"/>
      <c r="AO304" s="57"/>
      <c r="AP304" s="57"/>
      <c r="AQ304" s="57"/>
      <c r="AR304" s="57"/>
      <c r="AS304" s="57"/>
      <c r="AT304" s="57"/>
      <c r="AU304" s="57"/>
      <c r="AV304" s="57"/>
      <c r="AW304" s="57"/>
      <c r="AX304" s="57"/>
      <c r="AY304" s="57"/>
      <c r="AZ304" s="57"/>
      <c r="BA304" s="57"/>
      <c r="BB304" s="57"/>
      <c r="BC304" s="57"/>
      <c r="BD304" s="57"/>
      <c r="BE304" s="57"/>
      <c r="BF304" s="57"/>
      <c r="BG304" s="57"/>
      <c r="BH304" s="57"/>
      <c r="BI304" s="57"/>
    </row>
    <row r="305" spans="1:80" x14ac:dyDescent="0.3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57"/>
      <c r="AN305" s="57"/>
      <c r="AO305" s="57"/>
      <c r="AP305" s="57"/>
      <c r="AQ305" s="57"/>
      <c r="AR305" s="57"/>
      <c r="AS305" s="57"/>
      <c r="AT305" s="57"/>
      <c r="AU305" s="57"/>
      <c r="AV305" s="57"/>
      <c r="AW305" s="57"/>
      <c r="AX305" s="57"/>
      <c r="AY305" s="57"/>
      <c r="AZ305" s="57"/>
      <c r="BA305" s="57"/>
      <c r="BB305" s="57"/>
      <c r="BC305" s="57"/>
      <c r="BD305" s="57"/>
      <c r="BE305" s="57"/>
      <c r="BF305" s="57"/>
      <c r="BG305" s="57"/>
      <c r="BH305" s="57"/>
      <c r="BI305" s="57"/>
    </row>
    <row r="306" spans="1:80" x14ac:dyDescent="0.3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57"/>
      <c r="AN306" s="57"/>
      <c r="AO306" s="57"/>
      <c r="AP306" s="57"/>
      <c r="AQ306" s="57"/>
      <c r="AR306" s="57"/>
      <c r="AS306" s="57"/>
      <c r="AT306" s="57"/>
      <c r="AU306" s="57"/>
      <c r="AV306" s="57"/>
      <c r="AW306" s="57"/>
      <c r="AX306" s="57"/>
      <c r="AY306" s="57"/>
      <c r="AZ306" s="57"/>
      <c r="BA306" s="57"/>
      <c r="BB306" s="57"/>
      <c r="BC306" s="57"/>
      <c r="BD306" s="57"/>
      <c r="BE306" s="57"/>
      <c r="BF306" s="57"/>
      <c r="BG306" s="57"/>
      <c r="BH306" s="57"/>
      <c r="BI306" s="57"/>
    </row>
    <row r="307" spans="1:80" x14ac:dyDescent="0.3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  <c r="AK307" s="57"/>
      <c r="AL307" s="57"/>
      <c r="AM307" s="57"/>
      <c r="AN307" s="57"/>
      <c r="AO307" s="57"/>
      <c r="AP307" s="57"/>
      <c r="AQ307" s="57"/>
      <c r="AR307" s="57"/>
      <c r="AS307" s="57"/>
      <c r="AT307" s="57"/>
      <c r="AU307" s="57"/>
      <c r="AV307" s="57"/>
      <c r="AW307" s="57"/>
      <c r="AX307" s="57"/>
      <c r="AY307" s="57"/>
      <c r="AZ307" s="57"/>
      <c r="BA307" s="57"/>
      <c r="BB307" s="57"/>
      <c r="BC307" s="57"/>
      <c r="BD307" s="57"/>
      <c r="BE307" s="57"/>
      <c r="BF307" s="57"/>
      <c r="BG307" s="57"/>
      <c r="BH307" s="57"/>
      <c r="BI307" s="57"/>
    </row>
    <row r="308" spans="1:80" x14ac:dyDescent="0.3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  <c r="AK308" s="57"/>
      <c r="AL308" s="57"/>
      <c r="AM308" s="57"/>
      <c r="AN308" s="57"/>
      <c r="AO308" s="57"/>
      <c r="AP308" s="57"/>
      <c r="AQ308" s="57"/>
      <c r="AR308" s="57"/>
      <c r="AS308" s="57"/>
      <c r="AT308" s="57"/>
      <c r="AU308" s="57"/>
      <c r="AV308" s="57"/>
      <c r="AW308" s="57"/>
      <c r="AX308" s="57"/>
      <c r="AY308" s="57"/>
      <c r="AZ308" s="57"/>
      <c r="BA308" s="57"/>
      <c r="BB308" s="57"/>
      <c r="BC308" s="57"/>
      <c r="BD308" s="57"/>
      <c r="BE308" s="57"/>
      <c r="BF308" s="57"/>
      <c r="BG308" s="57"/>
      <c r="BH308" s="57"/>
      <c r="BI308" s="57"/>
    </row>
    <row r="309" spans="1:80" x14ac:dyDescent="0.3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  <c r="AK309" s="57"/>
      <c r="AL309" s="57"/>
      <c r="AM309" s="57"/>
      <c r="AN309" s="57"/>
      <c r="AO309" s="57"/>
      <c r="AP309" s="57"/>
      <c r="AQ309" s="57"/>
      <c r="AR309" s="57"/>
      <c r="AS309" s="57"/>
      <c r="AT309" s="57"/>
      <c r="AU309" s="57"/>
      <c r="AV309" s="57"/>
      <c r="AW309" s="57"/>
      <c r="AX309" s="57"/>
      <c r="AY309" s="57"/>
      <c r="AZ309" s="57"/>
      <c r="BA309" s="57"/>
      <c r="BB309" s="57"/>
      <c r="BC309" s="57"/>
      <c r="BD309" s="57"/>
      <c r="BE309" s="57"/>
      <c r="BF309" s="57"/>
      <c r="BG309" s="57"/>
      <c r="BH309" s="57"/>
      <c r="BI309" s="57"/>
    </row>
    <row r="310" spans="1:80" x14ac:dyDescent="0.3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57"/>
      <c r="AP310" s="57"/>
      <c r="AQ310" s="57"/>
      <c r="AR310" s="57"/>
      <c r="AS310" s="57"/>
      <c r="AT310" s="57"/>
      <c r="AU310" s="57"/>
      <c r="AV310" s="57"/>
      <c r="AW310" s="57"/>
      <c r="AX310" s="57"/>
      <c r="AY310" s="57"/>
      <c r="AZ310" s="57"/>
      <c r="BA310" s="57"/>
      <c r="BB310" s="57"/>
      <c r="BC310" s="57"/>
      <c r="BD310" s="57"/>
      <c r="BE310" s="57"/>
      <c r="BF310" s="57"/>
      <c r="BG310" s="57"/>
      <c r="BH310" s="57"/>
      <c r="BI310" s="57"/>
    </row>
    <row r="311" spans="1:80" x14ac:dyDescent="0.3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  <c r="AK311" s="57"/>
      <c r="AL311" s="57"/>
      <c r="AM311" s="57"/>
      <c r="AN311" s="57"/>
      <c r="AO311" s="57"/>
      <c r="AP311" s="57"/>
      <c r="AQ311" s="57"/>
      <c r="AR311" s="57"/>
      <c r="AS311" s="57"/>
      <c r="AT311" s="57"/>
      <c r="AU311" s="57"/>
      <c r="AV311" s="57"/>
      <c r="AW311" s="57"/>
      <c r="AX311" s="57"/>
      <c r="AY311" s="57"/>
      <c r="AZ311" s="57"/>
      <c r="BA311" s="57"/>
      <c r="BB311" s="57"/>
      <c r="BC311" s="57"/>
      <c r="BD311" s="57"/>
      <c r="BE311" s="57"/>
      <c r="BF311" s="57"/>
      <c r="BG311" s="57"/>
      <c r="BH311" s="57"/>
      <c r="BI311" s="57"/>
    </row>
    <row r="312" spans="1:80" x14ac:dyDescent="0.3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  <c r="AK312" s="57"/>
      <c r="AL312" s="57"/>
      <c r="AM312" s="57"/>
      <c r="AN312" s="57"/>
      <c r="AO312" s="57"/>
      <c r="AP312" s="57"/>
      <c r="AQ312" s="57"/>
      <c r="AR312" s="57"/>
      <c r="AS312" s="57"/>
      <c r="AT312" s="57"/>
      <c r="AU312" s="57"/>
      <c r="AV312" s="57"/>
      <c r="AW312" s="57"/>
      <c r="AX312" s="57"/>
      <c r="AY312" s="57"/>
      <c r="AZ312" s="57"/>
      <c r="BA312" s="57"/>
      <c r="BB312" s="57"/>
      <c r="BC312" s="57"/>
      <c r="BD312" s="57"/>
      <c r="BE312" s="57"/>
      <c r="BF312" s="57"/>
      <c r="BG312" s="57"/>
      <c r="BH312" s="57"/>
      <c r="BI312" s="57"/>
    </row>
    <row r="313" spans="1:80" x14ac:dyDescent="0.35">
      <c r="I313" s="61"/>
      <c r="J313" s="58"/>
    </row>
    <row r="314" spans="1:80" x14ac:dyDescent="0.35">
      <c r="I314" s="62"/>
      <c r="J314" s="58"/>
    </row>
    <row r="315" spans="1:80" x14ac:dyDescent="0.35">
      <c r="I315" s="52"/>
      <c r="J315" s="58"/>
    </row>
    <row r="316" spans="1:80" x14ac:dyDescent="0.35">
      <c r="I316" s="52"/>
      <c r="J316" s="58"/>
    </row>
    <row r="317" spans="1:80" x14ac:dyDescent="0.35">
      <c r="I317" s="52"/>
      <c r="J317" s="58"/>
    </row>
    <row r="318" spans="1:80" x14ac:dyDescent="0.35">
      <c r="I318" s="52"/>
      <c r="J318" s="58"/>
    </row>
    <row r="319" spans="1:80" x14ac:dyDescent="0.35">
      <c r="I319" s="52"/>
      <c r="J319" s="58"/>
    </row>
    <row r="320" spans="1:80" x14ac:dyDescent="0.35">
      <c r="I320" s="53"/>
      <c r="J320" s="58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  <c r="BK320" s="53"/>
      <c r="BL320" s="53"/>
      <c r="BM320" s="53"/>
      <c r="BN320" s="53"/>
      <c r="BO320" s="53"/>
      <c r="BP320" s="53"/>
      <c r="BQ320" s="53"/>
      <c r="BR320" s="53"/>
      <c r="BS320" s="53"/>
      <c r="BT320" s="53"/>
      <c r="BU320" s="53"/>
      <c r="BV320" s="53"/>
      <c r="BW320" s="53"/>
      <c r="BX320" s="53"/>
      <c r="BY320" s="53"/>
      <c r="BZ320" s="53"/>
      <c r="CA320" s="53"/>
      <c r="CB320" s="53"/>
    </row>
    <row r="321" spans="1:80" x14ac:dyDescent="0.35">
      <c r="I321" s="54"/>
      <c r="J321" s="58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  <c r="BM321" s="54"/>
      <c r="BN321" s="54"/>
      <c r="BO321" s="54"/>
      <c r="BP321" s="54"/>
      <c r="BQ321" s="54"/>
      <c r="BR321" s="54"/>
      <c r="BS321" s="54"/>
      <c r="BT321" s="54"/>
      <c r="BU321" s="54"/>
      <c r="BV321" s="54"/>
      <c r="BW321" s="54"/>
      <c r="BX321" s="54"/>
      <c r="BY321" s="54"/>
      <c r="BZ321" s="54"/>
      <c r="CA321" s="54"/>
      <c r="CB321" s="54"/>
    </row>
    <row r="322" spans="1:80" x14ac:dyDescent="0.35">
      <c r="I322" s="54"/>
      <c r="J322" s="58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  <c r="BM322" s="54"/>
      <c r="BN322" s="54"/>
      <c r="BO322" s="54"/>
      <c r="BP322" s="54"/>
      <c r="BQ322" s="54"/>
      <c r="BR322" s="54"/>
      <c r="BS322" s="54"/>
      <c r="BT322" s="54"/>
      <c r="BU322" s="54"/>
      <c r="BV322" s="54"/>
      <c r="BW322" s="54"/>
      <c r="BX322" s="54"/>
      <c r="BY322" s="54"/>
      <c r="BZ322" s="54"/>
      <c r="CA322" s="54"/>
      <c r="CB322" s="54"/>
    </row>
    <row r="323" spans="1:80" x14ac:dyDescent="0.35">
      <c r="I323" s="54"/>
      <c r="J323" s="58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  <c r="BM323" s="54"/>
      <c r="BN323" s="54"/>
      <c r="BO323" s="54"/>
      <c r="BP323" s="54"/>
      <c r="BQ323" s="54"/>
      <c r="BR323" s="54"/>
      <c r="BS323" s="54"/>
      <c r="BT323" s="54"/>
      <c r="BU323" s="54"/>
      <c r="BV323" s="54"/>
      <c r="BW323" s="54"/>
      <c r="BX323" s="54"/>
      <c r="BY323" s="54"/>
      <c r="BZ323" s="54"/>
      <c r="CA323" s="54"/>
      <c r="CB323" s="54"/>
    </row>
    <row r="324" spans="1:80" x14ac:dyDescent="0.35">
      <c r="I324" s="54"/>
      <c r="J324" s="63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  <c r="BM324" s="54"/>
      <c r="BN324" s="54"/>
      <c r="BO324" s="54"/>
      <c r="BP324" s="54"/>
      <c r="BQ324" s="54"/>
      <c r="BR324" s="54"/>
      <c r="BS324" s="54"/>
      <c r="BT324" s="54"/>
      <c r="BU324" s="54"/>
      <c r="BV324" s="54"/>
      <c r="BW324" s="54"/>
      <c r="BX324" s="54"/>
      <c r="BY324" s="54"/>
      <c r="BZ324" s="54"/>
      <c r="CA324" s="54"/>
      <c r="CB324" s="54"/>
    </row>
    <row r="325" spans="1:80" x14ac:dyDescent="0.35">
      <c r="I325" s="54"/>
      <c r="J325" s="63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  <c r="BM325" s="54"/>
      <c r="BN325" s="54"/>
      <c r="BO325" s="54"/>
      <c r="BP325" s="54"/>
      <c r="BQ325" s="54"/>
      <c r="BR325" s="54"/>
      <c r="BS325" s="54"/>
      <c r="BT325" s="54"/>
      <c r="BU325" s="54"/>
      <c r="BV325" s="54"/>
      <c r="BW325" s="54"/>
      <c r="BX325" s="54"/>
      <c r="BY325" s="54"/>
      <c r="BZ325" s="54"/>
      <c r="CA325" s="54"/>
      <c r="CB325" s="54"/>
    </row>
    <row r="326" spans="1:80" x14ac:dyDescent="0.35">
      <c r="I326" s="54"/>
      <c r="J326" s="63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  <c r="BM326" s="54"/>
      <c r="BN326" s="54"/>
      <c r="BO326" s="54"/>
      <c r="BP326" s="54"/>
      <c r="BQ326" s="54"/>
      <c r="BR326" s="54"/>
      <c r="BS326" s="54"/>
      <c r="BT326" s="54"/>
      <c r="BU326" s="54"/>
      <c r="BV326" s="54"/>
      <c r="BW326" s="54"/>
      <c r="BX326" s="54"/>
      <c r="BY326" s="54"/>
      <c r="BZ326" s="54"/>
      <c r="CA326" s="54"/>
      <c r="CB326" s="54"/>
    </row>
    <row r="327" spans="1:80" x14ac:dyDescent="0.35">
      <c r="I327" s="54"/>
      <c r="J327" s="63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  <c r="BM327" s="54"/>
      <c r="BN327" s="54"/>
      <c r="BO327" s="54"/>
      <c r="BP327" s="54"/>
      <c r="BQ327" s="54"/>
      <c r="BR327" s="54"/>
      <c r="BS327" s="54"/>
      <c r="BT327" s="54"/>
      <c r="BU327" s="54"/>
      <c r="BV327" s="54"/>
      <c r="BW327" s="54"/>
      <c r="BX327" s="54"/>
      <c r="BY327" s="54"/>
      <c r="BZ327" s="54"/>
      <c r="CA327" s="54"/>
      <c r="CB327" s="54"/>
    </row>
    <row r="328" spans="1:80" x14ac:dyDescent="0.35">
      <c r="I328" s="54"/>
      <c r="J328" s="63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  <c r="BM328" s="54"/>
      <c r="BN328" s="54"/>
      <c r="BO328" s="54"/>
      <c r="BP328" s="54"/>
      <c r="BQ328" s="54"/>
      <c r="BR328" s="54"/>
      <c r="BS328" s="54"/>
      <c r="BT328" s="54"/>
      <c r="BU328" s="54"/>
      <c r="BV328" s="54"/>
      <c r="BW328" s="54"/>
      <c r="BX328" s="54"/>
      <c r="BY328" s="54"/>
      <c r="BZ328" s="54"/>
      <c r="CA328" s="54"/>
      <c r="CB328" s="54"/>
    </row>
    <row r="329" spans="1:80" x14ac:dyDescent="0.35">
      <c r="A329" s="57"/>
      <c r="B329" s="57"/>
      <c r="C329" s="57"/>
      <c r="D329" s="59"/>
      <c r="F329" s="57"/>
      <c r="G329" s="57"/>
      <c r="H329" s="57"/>
      <c r="I329" s="54"/>
      <c r="J329" s="63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  <c r="BM329" s="54"/>
      <c r="BN329" s="54"/>
      <c r="BO329" s="54"/>
      <c r="BP329" s="54"/>
      <c r="BQ329" s="54"/>
      <c r="BR329" s="54"/>
      <c r="BS329" s="54"/>
      <c r="BT329" s="54"/>
      <c r="BU329" s="54"/>
      <c r="BV329" s="54"/>
      <c r="BW329" s="54"/>
      <c r="BX329" s="54"/>
      <c r="BY329" s="54"/>
      <c r="BZ329" s="54"/>
      <c r="CA329" s="54"/>
      <c r="CB329" s="54"/>
    </row>
    <row r="330" spans="1:80" x14ac:dyDescent="0.35">
      <c r="A330" s="57"/>
      <c r="B330" s="57"/>
      <c r="C330" s="57"/>
      <c r="D330" s="57"/>
      <c r="E330" s="57"/>
      <c r="F330" s="57"/>
      <c r="G330" s="57"/>
      <c r="H330" s="57"/>
      <c r="I330" s="54"/>
      <c r="J330" s="63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  <c r="BM330" s="54"/>
      <c r="BN330" s="54"/>
      <c r="BO330" s="54"/>
      <c r="BP330" s="54"/>
      <c r="BQ330" s="54"/>
      <c r="BR330" s="54"/>
      <c r="BS330" s="54"/>
      <c r="BT330" s="54"/>
      <c r="BU330" s="54"/>
      <c r="BV330" s="54"/>
      <c r="BW330" s="54"/>
      <c r="BX330" s="54"/>
      <c r="BY330" s="54"/>
      <c r="BZ330" s="54"/>
      <c r="CA330" s="54"/>
      <c r="CB330" s="54"/>
    </row>
    <row r="331" spans="1:80" x14ac:dyDescent="0.35">
      <c r="A331" s="57"/>
      <c r="B331" s="57"/>
      <c r="C331" s="57"/>
      <c r="D331" s="57"/>
      <c r="E331" s="57"/>
      <c r="F331" s="57"/>
      <c r="G331" s="57"/>
      <c r="H331" s="57"/>
      <c r="I331" s="54"/>
      <c r="J331" s="63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  <c r="BM331" s="54"/>
      <c r="BN331" s="54"/>
      <c r="BO331" s="54"/>
      <c r="BP331" s="54"/>
      <c r="BQ331" s="54"/>
      <c r="BR331" s="54"/>
      <c r="BS331" s="54"/>
      <c r="BT331" s="54"/>
      <c r="BU331" s="54"/>
      <c r="BV331" s="54"/>
      <c r="BW331" s="54"/>
      <c r="BX331" s="54"/>
      <c r="BY331" s="54"/>
      <c r="BZ331" s="54"/>
      <c r="CA331" s="54"/>
      <c r="CB331" s="54"/>
    </row>
    <row r="332" spans="1:80" x14ac:dyDescent="0.35">
      <c r="A332" s="57"/>
      <c r="B332" s="57"/>
      <c r="C332" s="57"/>
      <c r="D332" s="57"/>
      <c r="E332" s="57"/>
      <c r="F332" s="57"/>
      <c r="G332" s="57"/>
      <c r="H332" s="57"/>
      <c r="I332" s="54"/>
      <c r="J332" s="63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  <c r="BM332" s="54"/>
      <c r="BN332" s="54"/>
      <c r="BO332" s="54"/>
      <c r="BP332" s="54"/>
      <c r="BQ332" s="54"/>
      <c r="BR332" s="54"/>
      <c r="BS332" s="54"/>
      <c r="BT332" s="54"/>
      <c r="BU332" s="54"/>
      <c r="BV332" s="54"/>
      <c r="BW332" s="54"/>
      <c r="BX332" s="54"/>
      <c r="BY332" s="54"/>
      <c r="BZ332" s="54"/>
      <c r="CA332" s="54"/>
      <c r="CB332" s="54"/>
    </row>
    <row r="333" spans="1:80" x14ac:dyDescent="0.35">
      <c r="A333" s="57"/>
      <c r="B333" s="57"/>
      <c r="C333" s="57"/>
      <c r="D333" s="57"/>
      <c r="E333" s="57"/>
      <c r="F333" s="57"/>
      <c r="G333" s="57"/>
      <c r="H333" s="57"/>
      <c r="I333" s="54"/>
      <c r="J333" s="63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  <c r="BM333" s="54"/>
      <c r="BN333" s="54"/>
      <c r="BO333" s="54"/>
      <c r="BP333" s="54"/>
      <c r="BQ333" s="54"/>
      <c r="BR333" s="54"/>
      <c r="BS333" s="54"/>
      <c r="BT333" s="54"/>
      <c r="BU333" s="54"/>
      <c r="BV333" s="54"/>
      <c r="BW333" s="54"/>
      <c r="BX333" s="54"/>
      <c r="BY333" s="54"/>
      <c r="BZ333" s="54"/>
      <c r="CA333" s="54"/>
      <c r="CB333" s="54"/>
    </row>
    <row r="334" spans="1:80" x14ac:dyDescent="0.35">
      <c r="A334" s="57"/>
      <c r="B334" s="57"/>
      <c r="C334" s="57"/>
      <c r="D334" s="57"/>
      <c r="E334" s="57"/>
      <c r="F334" s="57"/>
      <c r="G334" s="57"/>
      <c r="H334" s="57"/>
      <c r="I334" s="54"/>
      <c r="J334" s="63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</row>
    <row r="335" spans="1:80" x14ac:dyDescent="0.35">
      <c r="A335" s="57"/>
      <c r="B335" s="57"/>
      <c r="C335" s="57"/>
      <c r="D335" s="57"/>
      <c r="E335" s="57"/>
      <c r="F335" s="57"/>
      <c r="G335" s="57"/>
      <c r="H335" s="57"/>
      <c r="I335" s="54"/>
      <c r="J335" s="63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  <c r="BM335" s="54"/>
      <c r="BN335" s="54"/>
      <c r="BO335" s="54"/>
      <c r="BP335" s="54"/>
      <c r="BQ335" s="54"/>
      <c r="BR335" s="54"/>
      <c r="BS335" s="54"/>
      <c r="BT335" s="54"/>
      <c r="BU335" s="54"/>
      <c r="BV335" s="54"/>
      <c r="BW335" s="54"/>
      <c r="BX335" s="54"/>
      <c r="BY335" s="54"/>
      <c r="BZ335" s="54"/>
      <c r="CA335" s="54"/>
      <c r="CB335" s="54"/>
    </row>
    <row r="336" spans="1:80" x14ac:dyDescent="0.35">
      <c r="A336" s="57"/>
      <c r="B336" s="57"/>
      <c r="C336" s="57"/>
      <c r="D336" s="57"/>
      <c r="E336" s="57"/>
      <c r="F336" s="57"/>
      <c r="G336" s="57"/>
      <c r="H336" s="57"/>
      <c r="I336" s="54"/>
      <c r="J336" s="63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  <c r="BM336" s="54"/>
      <c r="BN336" s="54"/>
      <c r="BO336" s="54"/>
      <c r="BP336" s="54"/>
      <c r="BQ336" s="54"/>
      <c r="BR336" s="54"/>
      <c r="BS336" s="54"/>
      <c r="BT336" s="54"/>
      <c r="BU336" s="54"/>
      <c r="BV336" s="54"/>
      <c r="BW336" s="54"/>
      <c r="BX336" s="54"/>
      <c r="BY336" s="54"/>
      <c r="BZ336" s="54"/>
      <c r="CA336" s="54"/>
      <c r="CB336" s="54"/>
    </row>
    <row r="337" spans="1:80" x14ac:dyDescent="0.35">
      <c r="A337" s="57"/>
      <c r="B337" s="57"/>
      <c r="C337" s="57"/>
      <c r="D337" s="57"/>
      <c r="E337" s="57"/>
      <c r="F337" s="57"/>
      <c r="G337" s="57"/>
      <c r="H337" s="57"/>
      <c r="I337" s="54"/>
      <c r="J337" s="63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  <c r="BM337" s="54"/>
      <c r="BN337" s="54"/>
      <c r="BO337" s="54"/>
      <c r="BP337" s="54"/>
      <c r="BQ337" s="54"/>
      <c r="BR337" s="54"/>
      <c r="BS337" s="54"/>
      <c r="BT337" s="54"/>
      <c r="BU337" s="54"/>
      <c r="BV337" s="54"/>
      <c r="BW337" s="54"/>
      <c r="BX337" s="54"/>
      <c r="BY337" s="54"/>
      <c r="BZ337" s="54"/>
      <c r="CA337" s="54"/>
      <c r="CB337" s="54"/>
    </row>
    <row r="338" spans="1:80" x14ac:dyDescent="0.35">
      <c r="A338" s="57"/>
      <c r="B338" s="57"/>
      <c r="C338" s="57"/>
      <c r="D338" s="57"/>
      <c r="E338" s="57"/>
      <c r="F338" s="57"/>
      <c r="G338" s="57"/>
      <c r="H338" s="57"/>
      <c r="I338" s="54"/>
      <c r="J338" s="63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  <c r="BM338" s="54"/>
      <c r="BN338" s="54"/>
      <c r="BO338" s="54"/>
      <c r="BP338" s="54"/>
      <c r="BQ338" s="54"/>
      <c r="BR338" s="54"/>
      <c r="BS338" s="54"/>
      <c r="BT338" s="54"/>
      <c r="BU338" s="54"/>
      <c r="BV338" s="54"/>
      <c r="BW338" s="54"/>
      <c r="BX338" s="54"/>
      <c r="BY338" s="54"/>
      <c r="BZ338" s="54"/>
      <c r="CA338" s="54"/>
      <c r="CB338" s="54"/>
    </row>
    <row r="339" spans="1:80" x14ac:dyDescent="0.35">
      <c r="A339" s="57"/>
      <c r="B339" s="57"/>
      <c r="C339" s="57"/>
      <c r="D339" s="57"/>
      <c r="E339" s="57"/>
      <c r="F339" s="57"/>
      <c r="G339" s="57"/>
      <c r="H339" s="57"/>
      <c r="I339" s="54"/>
      <c r="J339" s="63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  <c r="BM339" s="54"/>
      <c r="BN339" s="54"/>
      <c r="BO339" s="54"/>
      <c r="BP339" s="54"/>
      <c r="BQ339" s="54"/>
      <c r="BR339" s="54"/>
      <c r="BS339" s="54"/>
      <c r="BT339" s="54"/>
      <c r="BU339" s="54"/>
      <c r="BV339" s="54"/>
      <c r="BW339" s="54"/>
      <c r="BX339" s="54"/>
      <c r="BY339" s="54"/>
      <c r="BZ339" s="54"/>
      <c r="CA339" s="54"/>
      <c r="CB339" s="54"/>
    </row>
    <row r="340" spans="1:80" x14ac:dyDescent="0.35">
      <c r="A340" s="57"/>
      <c r="B340" s="57"/>
      <c r="C340" s="57"/>
      <c r="D340" s="57"/>
      <c r="E340" s="57"/>
      <c r="F340" s="57"/>
      <c r="G340" s="57"/>
      <c r="H340" s="57"/>
      <c r="I340" s="54"/>
      <c r="J340" s="63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  <c r="BM340" s="54"/>
      <c r="BN340" s="54"/>
      <c r="BO340" s="54"/>
      <c r="BP340" s="54"/>
      <c r="BQ340" s="54"/>
      <c r="BR340" s="54"/>
      <c r="BS340" s="54"/>
      <c r="BT340" s="54"/>
      <c r="BU340" s="54"/>
      <c r="BV340" s="54"/>
      <c r="BW340" s="54"/>
      <c r="BX340" s="54"/>
      <c r="BY340" s="54"/>
      <c r="BZ340" s="54"/>
      <c r="CA340" s="54"/>
      <c r="CB340" s="54"/>
    </row>
    <row r="341" spans="1:80" x14ac:dyDescent="0.35">
      <c r="A341" s="57"/>
      <c r="B341" s="57"/>
      <c r="C341" s="57"/>
      <c r="D341" s="57"/>
      <c r="E341" s="57"/>
      <c r="F341" s="57"/>
      <c r="G341" s="57"/>
      <c r="H341" s="57"/>
      <c r="I341" s="54"/>
      <c r="J341" s="63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  <c r="BM341" s="54"/>
      <c r="BN341" s="54"/>
      <c r="BO341" s="54"/>
      <c r="BP341" s="54"/>
      <c r="BQ341" s="54"/>
      <c r="BR341" s="54"/>
      <c r="BS341" s="54"/>
      <c r="BT341" s="54"/>
      <c r="BU341" s="54"/>
      <c r="BV341" s="54"/>
      <c r="BW341" s="54"/>
      <c r="BX341" s="54"/>
      <c r="BY341" s="54"/>
      <c r="BZ341" s="54"/>
      <c r="CA341" s="54"/>
      <c r="CB341" s="54"/>
    </row>
    <row r="342" spans="1:80" x14ac:dyDescent="0.35">
      <c r="A342" s="57"/>
      <c r="B342" s="57"/>
      <c r="C342" s="57"/>
      <c r="D342" s="57"/>
      <c r="E342" s="57"/>
      <c r="F342" s="57"/>
      <c r="G342" s="57"/>
      <c r="H342" s="57"/>
      <c r="I342" s="54"/>
      <c r="J342" s="63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  <c r="BM342" s="54"/>
      <c r="BN342" s="54"/>
      <c r="BO342" s="54"/>
      <c r="BP342" s="54"/>
      <c r="BQ342" s="54"/>
      <c r="BR342" s="54"/>
      <c r="BS342" s="54"/>
      <c r="BT342" s="54"/>
      <c r="BU342" s="54"/>
      <c r="BV342" s="54"/>
      <c r="BW342" s="54"/>
      <c r="BX342" s="54"/>
      <c r="BY342" s="54"/>
      <c r="BZ342" s="54"/>
      <c r="CA342" s="54"/>
      <c r="CB342" s="54"/>
    </row>
    <row r="343" spans="1:80" x14ac:dyDescent="0.35">
      <c r="A343" s="57"/>
      <c r="B343" s="57"/>
      <c r="C343" s="57"/>
      <c r="D343" s="57"/>
      <c r="E343" s="57"/>
      <c r="F343" s="57"/>
      <c r="G343" s="57"/>
      <c r="H343" s="57"/>
      <c r="I343" s="54"/>
      <c r="J343" s="63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  <c r="BM343" s="54"/>
      <c r="BN343" s="54"/>
      <c r="BO343" s="54"/>
      <c r="BP343" s="54"/>
      <c r="BQ343" s="54"/>
      <c r="BR343" s="54"/>
      <c r="BS343" s="54"/>
      <c r="BT343" s="54"/>
      <c r="BU343" s="54"/>
      <c r="BV343" s="54"/>
      <c r="BW343" s="54"/>
      <c r="BX343" s="54"/>
      <c r="BY343" s="54"/>
      <c r="BZ343" s="54"/>
      <c r="CA343" s="54"/>
      <c r="CB343" s="54"/>
    </row>
    <row r="344" spans="1:80" x14ac:dyDescent="0.35">
      <c r="A344" s="57"/>
      <c r="B344" s="57"/>
      <c r="C344" s="57"/>
      <c r="D344" s="57"/>
      <c r="E344" s="57"/>
      <c r="F344" s="57"/>
      <c r="G344" s="57"/>
      <c r="H344" s="57"/>
      <c r="I344" s="54"/>
      <c r="J344" s="63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  <c r="BM344" s="54"/>
      <c r="BN344" s="54"/>
      <c r="BO344" s="54"/>
      <c r="BP344" s="54"/>
      <c r="BQ344" s="54"/>
      <c r="BR344" s="54"/>
      <c r="BS344" s="54"/>
      <c r="BT344" s="54"/>
      <c r="BU344" s="54"/>
      <c r="BV344" s="54"/>
      <c r="BW344" s="54"/>
      <c r="BX344" s="54"/>
      <c r="BY344" s="54"/>
      <c r="BZ344" s="54"/>
      <c r="CA344" s="54"/>
      <c r="CB344" s="54"/>
    </row>
    <row r="345" spans="1:80" x14ac:dyDescent="0.35">
      <c r="A345" s="57"/>
      <c r="B345" s="57"/>
      <c r="C345" s="57"/>
      <c r="D345" s="57"/>
      <c r="E345" s="57"/>
      <c r="F345" s="57"/>
      <c r="G345" s="57"/>
      <c r="H345" s="57"/>
      <c r="I345" s="54"/>
      <c r="J345" s="63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  <c r="BM345" s="54"/>
      <c r="BN345" s="54"/>
      <c r="BO345" s="54"/>
      <c r="BP345" s="54"/>
      <c r="BQ345" s="54"/>
      <c r="BR345" s="54"/>
      <c r="BS345" s="54"/>
      <c r="BT345" s="54"/>
      <c r="BU345" s="54"/>
      <c r="BV345" s="54"/>
      <c r="BW345" s="54"/>
      <c r="BX345" s="54"/>
      <c r="BY345" s="54"/>
      <c r="BZ345" s="54"/>
      <c r="CA345" s="54"/>
      <c r="CB345" s="54"/>
    </row>
    <row r="346" spans="1:80" x14ac:dyDescent="0.35">
      <c r="A346" s="57"/>
      <c r="B346" s="57"/>
      <c r="C346" s="57"/>
      <c r="D346" s="57"/>
      <c r="E346" s="57"/>
      <c r="F346" s="57"/>
      <c r="G346" s="57"/>
      <c r="H346" s="57"/>
      <c r="I346" s="54"/>
      <c r="J346" s="63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</row>
    <row r="347" spans="1:80" x14ac:dyDescent="0.35">
      <c r="A347" s="57"/>
      <c r="B347" s="57"/>
      <c r="C347" s="57"/>
      <c r="D347" s="57"/>
      <c r="E347" s="57"/>
      <c r="F347" s="57"/>
      <c r="G347" s="57"/>
      <c r="H347" s="57"/>
      <c r="I347" s="54"/>
      <c r="J347" s="63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  <c r="BM347" s="54"/>
      <c r="BN347" s="54"/>
      <c r="BO347" s="54"/>
      <c r="BP347" s="54"/>
      <c r="BQ347" s="54"/>
      <c r="BR347" s="54"/>
      <c r="BS347" s="54"/>
      <c r="BT347" s="54"/>
      <c r="BU347" s="54"/>
      <c r="BV347" s="54"/>
      <c r="BW347" s="54"/>
      <c r="BX347" s="54"/>
      <c r="BY347" s="54"/>
      <c r="BZ347" s="54"/>
      <c r="CA347" s="54"/>
      <c r="CB347" s="54"/>
    </row>
    <row r="348" spans="1:80" x14ac:dyDescent="0.35">
      <c r="A348" s="57"/>
      <c r="B348" s="57"/>
      <c r="C348" s="57"/>
      <c r="D348" s="57"/>
      <c r="E348" s="57"/>
      <c r="F348" s="57"/>
      <c r="G348" s="57"/>
      <c r="H348" s="57"/>
      <c r="I348" s="54"/>
      <c r="J348" s="63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  <c r="BM348" s="54"/>
      <c r="BN348" s="54"/>
      <c r="BO348" s="54"/>
      <c r="BP348" s="54"/>
      <c r="BQ348" s="54"/>
      <c r="BR348" s="54"/>
      <c r="BS348" s="54"/>
      <c r="BT348" s="54"/>
      <c r="BU348" s="54"/>
      <c r="BV348" s="54"/>
      <c r="BW348" s="54"/>
      <c r="BX348" s="54"/>
      <c r="BY348" s="54"/>
      <c r="BZ348" s="54"/>
      <c r="CA348" s="54"/>
      <c r="CB348" s="54"/>
    </row>
    <row r="349" spans="1:80" x14ac:dyDescent="0.35">
      <c r="A349" s="57"/>
      <c r="B349" s="57"/>
      <c r="C349" s="57"/>
      <c r="D349" s="57"/>
      <c r="E349" s="57"/>
      <c r="F349" s="57"/>
      <c r="G349" s="57"/>
      <c r="H349" s="57"/>
      <c r="I349" s="54"/>
      <c r="J349" s="63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  <c r="BM349" s="54"/>
      <c r="BN349" s="54"/>
      <c r="BO349" s="54"/>
      <c r="BP349" s="54"/>
      <c r="BQ349" s="54"/>
      <c r="BR349" s="54"/>
      <c r="BS349" s="54"/>
      <c r="BT349" s="54"/>
      <c r="BU349" s="54"/>
      <c r="BV349" s="54"/>
      <c r="BW349" s="54"/>
      <c r="BX349" s="54"/>
      <c r="BY349" s="54"/>
      <c r="BZ349" s="54"/>
      <c r="CA349" s="54"/>
      <c r="CB349" s="54"/>
    </row>
    <row r="350" spans="1:80" x14ac:dyDescent="0.35">
      <c r="A350" s="57"/>
      <c r="B350" s="57"/>
      <c r="C350" s="57"/>
      <c r="D350" s="57"/>
      <c r="E350" s="57"/>
      <c r="F350" s="57"/>
      <c r="G350" s="57"/>
      <c r="H350" s="57"/>
      <c r="I350" s="54"/>
      <c r="J350" s="63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  <c r="BM350" s="54"/>
      <c r="BN350" s="54"/>
      <c r="BO350" s="54"/>
      <c r="BP350" s="54"/>
      <c r="BQ350" s="54"/>
      <c r="BR350" s="54"/>
      <c r="BS350" s="54"/>
      <c r="BT350" s="54"/>
      <c r="BU350" s="54"/>
      <c r="BV350" s="54"/>
      <c r="BW350" s="54"/>
      <c r="BX350" s="54"/>
      <c r="BY350" s="54"/>
      <c r="BZ350" s="54"/>
      <c r="CA350" s="54"/>
      <c r="CB350" s="54"/>
    </row>
    <row r="351" spans="1:80" x14ac:dyDescent="0.35">
      <c r="I351" s="54"/>
      <c r="J351" s="63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  <c r="BM351" s="54"/>
      <c r="BN351" s="54"/>
      <c r="BO351" s="54"/>
      <c r="BP351" s="54"/>
      <c r="BQ351" s="54"/>
      <c r="BR351" s="54"/>
      <c r="BS351" s="54"/>
      <c r="BT351" s="54"/>
      <c r="BU351" s="54"/>
      <c r="BV351" s="54"/>
      <c r="BW351" s="54"/>
      <c r="BX351" s="54"/>
      <c r="BY351" s="54"/>
      <c r="BZ351" s="54"/>
      <c r="CA351" s="54"/>
      <c r="CB351" s="54"/>
    </row>
    <row r="352" spans="1:80" x14ac:dyDescent="0.35">
      <c r="I352" s="64"/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53F2D-5ACC-4AF6-820C-6D75F0F44911}">
  <sheetPr codeName="Sheet3"/>
  <dimension ref="A1:AA78"/>
  <sheetViews>
    <sheetView zoomScale="61" workbookViewId="0">
      <selection activeCell="A42" sqref="A42:Y48"/>
    </sheetView>
  </sheetViews>
  <sheetFormatPr defaultRowHeight="14.5" x14ac:dyDescent="0.35"/>
  <cols>
    <col min="1" max="1" width="19.7265625" bestFit="1" customWidth="1"/>
    <col min="6" max="6" width="13.90625" bestFit="1" customWidth="1"/>
    <col min="12" max="12" width="16.36328125" bestFit="1" customWidth="1"/>
    <col min="13" max="13" width="16.36328125" customWidth="1"/>
    <col min="14" max="14" width="20.08984375" bestFit="1" customWidth="1"/>
    <col min="25" max="25" width="14.54296875" bestFit="1" customWidth="1"/>
    <col min="26" max="26" width="13.36328125" customWidth="1"/>
    <col min="27" max="27" width="13.54296875" bestFit="1" customWidth="1"/>
  </cols>
  <sheetData>
    <row r="1" spans="1:27" ht="14.5" customHeight="1" x14ac:dyDescent="0.6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8"/>
      <c r="AA1" s="11"/>
    </row>
    <row r="2" spans="1:27" ht="14.5" customHeight="1" x14ac:dyDescent="0.6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8"/>
      <c r="AA2" s="11"/>
    </row>
    <row r="3" spans="1:27" x14ac:dyDescent="0.35">
      <c r="A3" s="73" t="s">
        <v>80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6"/>
      <c r="N3" s="73" t="s">
        <v>126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6"/>
      <c r="AA3" s="11"/>
    </row>
    <row r="4" spans="1:27" x14ac:dyDescent="0.35">
      <c r="A4" s="2"/>
      <c r="B4" s="2" t="s">
        <v>71</v>
      </c>
      <c r="C4" s="2" t="s">
        <v>19</v>
      </c>
      <c r="D4" s="2" t="s">
        <v>72</v>
      </c>
      <c r="E4" s="2" t="s">
        <v>73</v>
      </c>
      <c r="F4" s="2" t="s">
        <v>77</v>
      </c>
      <c r="G4" s="2" t="s">
        <v>74</v>
      </c>
      <c r="H4" s="2" t="s">
        <v>75</v>
      </c>
      <c r="I4" s="2" t="s">
        <v>76</v>
      </c>
      <c r="J4" s="2" t="s">
        <v>34</v>
      </c>
      <c r="K4" s="2" t="s">
        <v>36</v>
      </c>
      <c r="L4" s="2" t="s">
        <v>70</v>
      </c>
      <c r="M4" s="2"/>
      <c r="N4" s="2"/>
      <c r="O4" s="2" t="s">
        <v>71</v>
      </c>
      <c r="P4" s="2" t="s">
        <v>19</v>
      </c>
      <c r="Q4" s="2" t="s">
        <v>72</v>
      </c>
      <c r="R4" s="2" t="s">
        <v>73</v>
      </c>
      <c r="S4" s="2" t="s">
        <v>77</v>
      </c>
      <c r="T4" s="2" t="s">
        <v>74</v>
      </c>
      <c r="U4" s="2" t="s">
        <v>75</v>
      </c>
      <c r="V4" s="2" t="s">
        <v>76</v>
      </c>
      <c r="W4" s="2" t="s">
        <v>34</v>
      </c>
      <c r="X4" s="2" t="s">
        <v>36</v>
      </c>
      <c r="Y4" s="2" t="s">
        <v>70</v>
      </c>
      <c r="Z4" s="2"/>
      <c r="AA4" s="11"/>
    </row>
    <row r="5" spans="1:27" x14ac:dyDescent="0.35">
      <c r="A5" s="2" t="s">
        <v>83</v>
      </c>
      <c r="B5" s="2">
        <v>8.2620009010327525E-2</v>
      </c>
      <c r="C5" s="2">
        <v>7.2415331423571955E-2</v>
      </c>
      <c r="D5" s="2">
        <v>-6.2616691066341934E-2</v>
      </c>
      <c r="E5" s="2">
        <v>0.53334792611403314</v>
      </c>
      <c r="F5" s="2">
        <v>-6.5218005738646126E-2</v>
      </c>
      <c r="G5" s="2">
        <v>0.52891843826525298</v>
      </c>
      <c r="H5" s="2">
        <v>-2.3928749397253687E-2</v>
      </c>
      <c r="I5" s="2">
        <v>0.74377634955464755</v>
      </c>
      <c r="J5" s="2">
        <v>8.632535996615695E-2</v>
      </c>
      <c r="K5" s="2">
        <v>-0.28099979668454367</v>
      </c>
      <c r="L5" s="2">
        <v>11.047009121253957</v>
      </c>
      <c r="M5" s="2"/>
      <c r="N5" s="2" t="s">
        <v>83</v>
      </c>
      <c r="O5" s="2">
        <v>8.2620009010327525E-2</v>
      </c>
      <c r="P5" s="2">
        <v>7.2415331423571955E-2</v>
      </c>
      <c r="Q5" s="2">
        <v>-6.2616691066341934E-2</v>
      </c>
      <c r="R5" s="2">
        <v>0.53334792611403314</v>
      </c>
      <c r="S5" s="2">
        <v>-6.5218005738646126E-2</v>
      </c>
      <c r="T5" s="2">
        <v>0.52891843826525331</v>
      </c>
      <c r="U5" s="2">
        <v>-2.3928749397253687E-2</v>
      </c>
      <c r="V5" s="2">
        <v>0.74377634955464755</v>
      </c>
      <c r="W5" s="2">
        <v>8.632535996615695E-2</v>
      </c>
      <c r="X5" s="2">
        <v>-0.28099979668454367</v>
      </c>
      <c r="Y5" s="2">
        <v>11.047009121254</v>
      </c>
      <c r="Z5" s="2"/>
      <c r="AA5" s="11"/>
    </row>
    <row r="6" spans="1:27" x14ac:dyDescent="0.35">
      <c r="A6" s="4" t="s">
        <v>81</v>
      </c>
      <c r="B6" s="4" t="s">
        <v>71</v>
      </c>
      <c r="C6" s="4" t="s">
        <v>19</v>
      </c>
      <c r="D6" s="4" t="s">
        <v>72</v>
      </c>
      <c r="E6" s="4" t="s">
        <v>73</v>
      </c>
      <c r="F6" s="4" t="s">
        <v>77</v>
      </c>
      <c r="G6" s="4" t="s">
        <v>74</v>
      </c>
      <c r="H6" s="4" t="s">
        <v>75</v>
      </c>
      <c r="I6" s="4" t="s">
        <v>76</v>
      </c>
      <c r="J6" s="4" t="s">
        <v>34</v>
      </c>
      <c r="K6" s="4" t="s">
        <v>36</v>
      </c>
      <c r="L6" s="4" t="s">
        <v>82</v>
      </c>
      <c r="M6" s="4" t="s">
        <v>124</v>
      </c>
      <c r="N6" s="4" t="s">
        <v>81</v>
      </c>
      <c r="O6" s="4" t="s">
        <v>71</v>
      </c>
      <c r="P6" s="4" t="s">
        <v>19</v>
      </c>
      <c r="Q6" s="4" t="s">
        <v>72</v>
      </c>
      <c r="R6" s="4" t="s">
        <v>73</v>
      </c>
      <c r="S6" s="4" t="s">
        <v>77</v>
      </c>
      <c r="T6" s="4" t="s">
        <v>74</v>
      </c>
      <c r="U6" s="4" t="s">
        <v>75</v>
      </c>
      <c r="V6" s="4" t="s">
        <v>76</v>
      </c>
      <c r="W6" s="4" t="s">
        <v>34</v>
      </c>
      <c r="X6" s="4" t="s">
        <v>36</v>
      </c>
      <c r="Y6" s="4" t="s">
        <v>82</v>
      </c>
      <c r="Z6" s="4" t="s">
        <v>124</v>
      </c>
      <c r="AA6" s="11" t="s">
        <v>69</v>
      </c>
    </row>
    <row r="7" spans="1:27" x14ac:dyDescent="0.35">
      <c r="A7" t="str" cm="1">
        <f t="array" ref="A7:A37">Table_0__3[Team]</f>
        <v>Anaheim Ducks</v>
      </c>
      <c r="B7" cm="1">
        <f t="array" ref="B7:B37">Table_0__3[SA/60]</f>
        <v>28.98</v>
      </c>
      <c r="C7" cm="1">
        <f t="array" ref="C7:C37">Table_0__3[SCSV%]</f>
        <v>82.5</v>
      </c>
      <c r="D7" cm="1">
        <f t="array" ref="D7:D37">Table_0__3[HDSA/60]</f>
        <v>10.56</v>
      </c>
      <c r="E7" cm="1">
        <f t="array" ref="E7:E37">Table_0__3[HDGA/60]</f>
        <v>2.35</v>
      </c>
      <c r="F7" cm="1">
        <f t="array" ref="F7:F37">Table_0__3[MDSA/60]</f>
        <v>8.2100000000000009</v>
      </c>
      <c r="G7" cm="1">
        <f t="array" ref="G7:G37">Table_0__3[MDGA/60]</f>
        <v>0.94</v>
      </c>
      <c r="H7" cm="1">
        <f t="array" ref="H7:H37">Table_0__3[LDSA/60]</f>
        <v>9.39</v>
      </c>
      <c r="I7" cm="1">
        <f t="array" ref="I7:I37">Table_0__3[LDGA/60]</f>
        <v>0.12</v>
      </c>
      <c r="J7" cm="1">
        <f t="array" ref="J7:J37">Table_0__3[LDSV%]</f>
        <v>98.75</v>
      </c>
      <c r="K7" cm="1">
        <f t="array" ref="K7:K37">Table_0__3[SV%]</f>
        <v>88.26</v>
      </c>
      <c r="L7">
        <f t="shared" ref="L7:L36" si="0">(($L$5+($K$5*K7)+($J$5*J7)+($I$5*I7)+($H$5*H7)+($G$5*G7)+($F$5*F7)+($E$5*E7)+($D$5*D7)+($C$5*C7)+($B$5*B7)))*M7</f>
        <v>3.0287291299115666</v>
      </c>
      <c r="M7" cm="1">
        <f t="array" ref="M7:M37">Table_0__3[TOI/GP]/60</f>
        <v>0.85133333333333328</v>
      </c>
      <c r="N7" t="str" cm="1">
        <f t="array" ref="N7:N37">Table4[Team]</f>
        <v>Anaheim Ducks</v>
      </c>
      <c r="O7" cm="1">
        <f t="array" ref="O7:O37">Table8[SA/60]</f>
        <v>41.67</v>
      </c>
      <c r="P7" cm="1">
        <f t="array" ref="P7:P37">Table8[SCSV%]</f>
        <v>57.14</v>
      </c>
      <c r="Q7" cm="1">
        <f t="array" ref="Q7:Q37">Table8[HDSA/60]</f>
        <v>16.420000000000002</v>
      </c>
      <c r="R7" cm="1">
        <f t="array" ref="R7:R37">Table8[HDGA/60]</f>
        <v>8.84</v>
      </c>
      <c r="S7" cm="1">
        <f t="array" ref="S7:S37">Table8[MDSA/60]</f>
        <v>10.1</v>
      </c>
      <c r="T7" cm="1">
        <f t="array" ref="T7:T37">Table8[MDGA/60]</f>
        <v>2.5299999999999998</v>
      </c>
      <c r="U7" cm="1">
        <f t="array" ref="U7:U37">Table8[LDSA/60]</f>
        <v>15.15</v>
      </c>
      <c r="V7" cm="1">
        <f t="array" ref="V7:V37">Table8[LDGA/60]</f>
        <v>3.79</v>
      </c>
      <c r="W7" cm="1">
        <f t="array" ref="W7:W37">Table8[LDSV%]</f>
        <v>75</v>
      </c>
      <c r="X7" cm="1">
        <f t="array" ref="X7:X37">Table8[SV%]</f>
        <v>63.64</v>
      </c>
      <c r="Y7">
        <f>(($Y$5+($X$5*X7)+($W$5*W7)+($V$5*V7)+($U$5*U7)+($T$5*T7)+($S$5*S7)+($R$5*R7)+($Q$5*Q7)+($P$5*P7)+($O$5*O7)))*Z7</f>
        <v>1.2754503357564311</v>
      </c>
      <c r="Z7" cm="1">
        <f t="array" ref="Z7:Z37">Table8[TOI/GP]/60</f>
        <v>9.0833333333333335E-2</v>
      </c>
      <c r="AA7">
        <f t="shared" ref="AA7:AA37" si="1">Y7+L7</f>
        <v>4.3041794656679979</v>
      </c>
    </row>
    <row r="8" spans="1:27" x14ac:dyDescent="0.35">
      <c r="A8" t="str">
        <v>Arizona Coyotes</v>
      </c>
      <c r="B8">
        <v>30.68</v>
      </c>
      <c r="C8">
        <v>82.88</v>
      </c>
      <c r="D8">
        <v>9.1199999999999992</v>
      </c>
      <c r="E8">
        <v>1.66</v>
      </c>
      <c r="F8">
        <v>8.17</v>
      </c>
      <c r="G8">
        <v>1.3</v>
      </c>
      <c r="H8">
        <v>11.96</v>
      </c>
      <c r="I8">
        <v>0.36</v>
      </c>
      <c r="J8">
        <v>97.03</v>
      </c>
      <c r="K8">
        <v>88.42</v>
      </c>
      <c r="L8">
        <f t="shared" si="0"/>
        <v>3.0528650568060542</v>
      </c>
      <c r="M8">
        <v>0.85650000000000004</v>
      </c>
      <c r="N8" t="str">
        <v>Arizona Coyotes</v>
      </c>
      <c r="O8">
        <v>59.71</v>
      </c>
      <c r="P8">
        <v>82.86</v>
      </c>
      <c r="Q8">
        <v>21.01</v>
      </c>
      <c r="R8">
        <v>5.53</v>
      </c>
      <c r="S8">
        <v>17.690000000000001</v>
      </c>
      <c r="T8">
        <v>1.1100000000000001</v>
      </c>
      <c r="U8">
        <v>21.01</v>
      </c>
      <c r="V8">
        <v>0</v>
      </c>
      <c r="W8">
        <v>100</v>
      </c>
      <c r="X8">
        <v>88.89</v>
      </c>
      <c r="Y8">
        <f t="shared" ref="Y8:Y37" si="2">(($Y$5+($X$5*X8)+($W$5*W8)+($V$5*V8)+($U$5*U8)+($T$5*T8)+($S$5*S8)+($R$5*R8)+($Q$5*Q8)+($P$5*P8)+($O$5*O8)))*Z8</f>
        <v>0.54349261765220469</v>
      </c>
      <c r="Z8">
        <v>8.7666666666666657E-2</v>
      </c>
      <c r="AA8">
        <f t="shared" si="1"/>
        <v>3.5963576744582588</v>
      </c>
    </row>
    <row r="9" spans="1:27" x14ac:dyDescent="0.35">
      <c r="A9" t="str">
        <v>Boston Bruins</v>
      </c>
      <c r="B9">
        <v>24.07</v>
      </c>
      <c r="C9">
        <v>86.92</v>
      </c>
      <c r="D9">
        <v>5.96</v>
      </c>
      <c r="E9">
        <v>0.95</v>
      </c>
      <c r="F9">
        <v>6.79</v>
      </c>
      <c r="G9">
        <v>0.72</v>
      </c>
      <c r="H9">
        <v>9.89</v>
      </c>
      <c r="I9">
        <v>0.12</v>
      </c>
      <c r="J9">
        <v>98.8</v>
      </c>
      <c r="K9">
        <v>92.57</v>
      </c>
      <c r="L9">
        <f t="shared" si="0"/>
        <v>1.4819327766049111</v>
      </c>
      <c r="M9">
        <v>0.83683333333333332</v>
      </c>
      <c r="N9" t="str">
        <v>Boston Bruins</v>
      </c>
      <c r="O9">
        <v>43.54</v>
      </c>
      <c r="P9">
        <v>95.45</v>
      </c>
      <c r="Q9">
        <v>8.7100000000000009</v>
      </c>
      <c r="R9">
        <v>0</v>
      </c>
      <c r="S9">
        <v>12.58</v>
      </c>
      <c r="T9">
        <v>0.97</v>
      </c>
      <c r="U9">
        <v>22.25</v>
      </c>
      <c r="V9">
        <v>0</v>
      </c>
      <c r="W9">
        <v>100</v>
      </c>
      <c r="X9">
        <v>97.78</v>
      </c>
      <c r="Y9">
        <f t="shared" si="2"/>
        <v>0.13540560122808745</v>
      </c>
      <c r="Z9">
        <v>0.10200000000000001</v>
      </c>
      <c r="AA9">
        <f t="shared" si="1"/>
        <v>1.6173383778329986</v>
      </c>
    </row>
    <row r="10" spans="1:27" x14ac:dyDescent="0.35">
      <c r="A10" t="str">
        <v>Buffalo Sabres</v>
      </c>
      <c r="B10">
        <v>33.51</v>
      </c>
      <c r="C10">
        <v>80.709999999999994</v>
      </c>
      <c r="D10">
        <v>9.17</v>
      </c>
      <c r="E10">
        <v>1.76</v>
      </c>
      <c r="F10">
        <v>7.29</v>
      </c>
      <c r="G10">
        <v>1.41</v>
      </c>
      <c r="H10">
        <v>15.17</v>
      </c>
      <c r="I10">
        <v>0.47</v>
      </c>
      <c r="J10">
        <v>96.9</v>
      </c>
      <c r="K10">
        <v>88.42</v>
      </c>
      <c r="L10">
        <f t="shared" si="0"/>
        <v>3.2317608508047835</v>
      </c>
      <c r="M10">
        <v>0.85033333333333339</v>
      </c>
      <c r="N10" t="str">
        <v>Buffalo Sabres</v>
      </c>
      <c r="O10">
        <v>54.87</v>
      </c>
      <c r="P10">
        <v>79.17</v>
      </c>
      <c r="Q10">
        <v>18.7</v>
      </c>
      <c r="R10">
        <v>4.99</v>
      </c>
      <c r="S10">
        <v>11.22</v>
      </c>
      <c r="T10">
        <v>1.25</v>
      </c>
      <c r="U10">
        <v>24.94</v>
      </c>
      <c r="V10">
        <v>1.25</v>
      </c>
      <c r="W10">
        <v>95</v>
      </c>
      <c r="X10">
        <v>86.36</v>
      </c>
      <c r="Y10">
        <f t="shared" si="2"/>
        <v>0.6405065000090957</v>
      </c>
      <c r="Z10">
        <v>9.1499999999999998E-2</v>
      </c>
      <c r="AA10">
        <f t="shared" si="1"/>
        <v>3.8722673508138792</v>
      </c>
    </row>
    <row r="11" spans="1:27" x14ac:dyDescent="0.35">
      <c r="A11" t="str">
        <v>Carolina Hurricanes</v>
      </c>
      <c r="B11">
        <v>28.66</v>
      </c>
      <c r="C11">
        <v>89.52</v>
      </c>
      <c r="D11">
        <v>6.81</v>
      </c>
      <c r="E11">
        <v>0.82</v>
      </c>
      <c r="F11">
        <v>7.75</v>
      </c>
      <c r="G11">
        <v>0.7</v>
      </c>
      <c r="H11">
        <v>12.81</v>
      </c>
      <c r="I11">
        <v>0.7</v>
      </c>
      <c r="J11">
        <v>94.5</v>
      </c>
      <c r="K11">
        <v>92.21</v>
      </c>
      <c r="L11">
        <f t="shared" si="0"/>
        <v>1.9004909654747599</v>
      </c>
      <c r="M11">
        <v>0.85066666666666668</v>
      </c>
      <c r="N11" t="str">
        <v>Carolina Hurricanes</v>
      </c>
      <c r="O11">
        <v>47.51</v>
      </c>
      <c r="P11">
        <v>84</v>
      </c>
      <c r="Q11">
        <v>10.8</v>
      </c>
      <c r="R11">
        <v>1.08</v>
      </c>
      <c r="S11">
        <v>16.2</v>
      </c>
      <c r="T11">
        <v>3.24</v>
      </c>
      <c r="U11">
        <v>19.440000000000001</v>
      </c>
      <c r="V11">
        <v>0</v>
      </c>
      <c r="W11">
        <v>100</v>
      </c>
      <c r="X11">
        <v>90.91</v>
      </c>
      <c r="Y11">
        <f t="shared" si="2"/>
        <v>0.44666196741955178</v>
      </c>
      <c r="Z11">
        <v>0.1055</v>
      </c>
      <c r="AA11">
        <f t="shared" si="1"/>
        <v>2.3471529328943115</v>
      </c>
    </row>
    <row r="12" spans="1:27" x14ac:dyDescent="0.35">
      <c r="A12" t="str">
        <v>Columbus Blue Jackets</v>
      </c>
      <c r="B12">
        <v>30.54</v>
      </c>
      <c r="C12">
        <v>86.03</v>
      </c>
      <c r="D12">
        <v>6.71</v>
      </c>
      <c r="E12">
        <v>1.1200000000000001</v>
      </c>
      <c r="F12">
        <v>8.5</v>
      </c>
      <c r="G12">
        <v>1.01</v>
      </c>
      <c r="H12">
        <v>14.21</v>
      </c>
      <c r="I12">
        <v>0.11</v>
      </c>
      <c r="J12">
        <v>99.21</v>
      </c>
      <c r="K12">
        <v>92.31</v>
      </c>
      <c r="L12">
        <f t="shared" si="0"/>
        <v>2.1064972258160979</v>
      </c>
      <c r="M12">
        <v>0.90633333333333332</v>
      </c>
      <c r="N12" t="str">
        <v>Columbus Blue Jackets</v>
      </c>
      <c r="O12">
        <v>55.03</v>
      </c>
      <c r="P12">
        <v>64.709999999999994</v>
      </c>
      <c r="Q12">
        <v>10.7</v>
      </c>
      <c r="R12">
        <v>4.59</v>
      </c>
      <c r="S12">
        <v>15.29</v>
      </c>
      <c r="T12">
        <v>4.59</v>
      </c>
      <c r="U12">
        <v>29.04</v>
      </c>
      <c r="V12">
        <v>1.53</v>
      </c>
      <c r="W12">
        <v>94.74</v>
      </c>
      <c r="X12">
        <v>80.56</v>
      </c>
      <c r="Y12">
        <f t="shared" si="2"/>
        <v>0.71990338332357273</v>
      </c>
      <c r="Z12">
        <v>7.5999999999999998E-2</v>
      </c>
      <c r="AA12">
        <f t="shared" si="1"/>
        <v>2.8264006091396707</v>
      </c>
    </row>
    <row r="13" spans="1:27" x14ac:dyDescent="0.35">
      <c r="A13" t="str">
        <v>Calgary Flames</v>
      </c>
      <c r="B13">
        <v>26.31</v>
      </c>
      <c r="C13">
        <v>81.45</v>
      </c>
      <c r="D13">
        <v>6.66</v>
      </c>
      <c r="E13">
        <v>1.64</v>
      </c>
      <c r="F13">
        <v>7.83</v>
      </c>
      <c r="G13">
        <v>1.05</v>
      </c>
      <c r="H13">
        <v>10.41</v>
      </c>
      <c r="I13">
        <v>0.23</v>
      </c>
      <c r="J13">
        <v>97.75</v>
      </c>
      <c r="K13">
        <v>88.89</v>
      </c>
      <c r="L13">
        <f t="shared" si="0"/>
        <v>2.5625231132499078</v>
      </c>
      <c r="M13">
        <v>0.85316666666666663</v>
      </c>
      <c r="N13" t="str">
        <v>Calgary Flames</v>
      </c>
      <c r="O13">
        <v>60.58</v>
      </c>
      <c r="P13">
        <v>81.48</v>
      </c>
      <c r="Q13">
        <v>18.170000000000002</v>
      </c>
      <c r="R13">
        <v>3.03</v>
      </c>
      <c r="S13">
        <v>22.72</v>
      </c>
      <c r="T13">
        <v>4.54</v>
      </c>
      <c r="U13">
        <v>19.690000000000001</v>
      </c>
      <c r="V13">
        <v>1.51</v>
      </c>
      <c r="W13">
        <v>92.31</v>
      </c>
      <c r="X13">
        <v>85</v>
      </c>
      <c r="Y13">
        <f t="shared" si="2"/>
        <v>0.61723305104476989</v>
      </c>
      <c r="Z13">
        <v>7.6333333333333336E-2</v>
      </c>
      <c r="AA13">
        <f t="shared" si="1"/>
        <v>3.1797561642946777</v>
      </c>
    </row>
    <row r="14" spans="1:27" x14ac:dyDescent="0.35">
      <c r="A14" t="str">
        <v>Chicago Blackhawks</v>
      </c>
      <c r="B14">
        <v>37.840000000000003</v>
      </c>
      <c r="C14">
        <v>86.81</v>
      </c>
      <c r="D14">
        <v>10.66</v>
      </c>
      <c r="E14">
        <v>2.06</v>
      </c>
      <c r="F14">
        <v>10.199999999999999</v>
      </c>
      <c r="G14">
        <v>0.69</v>
      </c>
      <c r="H14">
        <v>15.13</v>
      </c>
      <c r="I14">
        <v>0</v>
      </c>
      <c r="J14">
        <v>100</v>
      </c>
      <c r="K14">
        <v>92.73</v>
      </c>
      <c r="L14">
        <f t="shared" si="0"/>
        <v>2.4395156001034031</v>
      </c>
      <c r="M14">
        <v>0.87</v>
      </c>
      <c r="N14" t="str">
        <v>Chicago Blackhawks</v>
      </c>
      <c r="O14">
        <v>58.74</v>
      </c>
      <c r="P14">
        <v>75</v>
      </c>
      <c r="Q14">
        <v>13.56</v>
      </c>
      <c r="R14">
        <v>6.03</v>
      </c>
      <c r="S14">
        <v>22.59</v>
      </c>
      <c r="T14">
        <v>3.01</v>
      </c>
      <c r="U14">
        <v>22.59</v>
      </c>
      <c r="V14">
        <v>6.03</v>
      </c>
      <c r="W14">
        <v>73.33</v>
      </c>
      <c r="X14">
        <v>74.36</v>
      </c>
      <c r="Y14">
        <f t="shared" si="2"/>
        <v>1.0095359544532234</v>
      </c>
      <c r="Z14">
        <v>7.6499999999999999E-2</v>
      </c>
      <c r="AA14">
        <f t="shared" si="1"/>
        <v>3.4490515545566263</v>
      </c>
    </row>
    <row r="15" spans="1:27" x14ac:dyDescent="0.35">
      <c r="A15" t="str">
        <v>Colorado Avalanche</v>
      </c>
      <c r="B15">
        <v>20.66</v>
      </c>
      <c r="C15">
        <v>87.36</v>
      </c>
      <c r="D15">
        <v>5.28</v>
      </c>
      <c r="E15">
        <v>0.7</v>
      </c>
      <c r="F15">
        <v>4.93</v>
      </c>
      <c r="G15">
        <v>0.59</v>
      </c>
      <c r="H15">
        <v>9.15</v>
      </c>
      <c r="I15">
        <v>0.59</v>
      </c>
      <c r="J15">
        <v>93.59</v>
      </c>
      <c r="K15">
        <v>90.34</v>
      </c>
      <c r="L15">
        <f t="shared" si="0"/>
        <v>1.7252766894128382</v>
      </c>
      <c r="M15">
        <v>0.85116666666666663</v>
      </c>
      <c r="N15" t="str">
        <v>Colorado Avalanche</v>
      </c>
      <c r="O15">
        <v>48.26</v>
      </c>
      <c r="P15">
        <v>80</v>
      </c>
      <c r="Q15">
        <v>7.24</v>
      </c>
      <c r="R15">
        <v>1.21</v>
      </c>
      <c r="S15">
        <v>10.86</v>
      </c>
      <c r="T15">
        <v>2.41</v>
      </c>
      <c r="U15">
        <v>30.16</v>
      </c>
      <c r="V15">
        <v>1.21</v>
      </c>
      <c r="W15">
        <v>96</v>
      </c>
      <c r="X15">
        <v>90</v>
      </c>
      <c r="Y15">
        <f t="shared" si="2"/>
        <v>0.44281396347149954</v>
      </c>
      <c r="Z15">
        <v>9.2999999999999999E-2</v>
      </c>
      <c r="AA15">
        <f t="shared" si="1"/>
        <v>2.1680906528843376</v>
      </c>
    </row>
    <row r="16" spans="1:27" x14ac:dyDescent="0.35">
      <c r="A16" t="str">
        <v>Dallas Stars</v>
      </c>
      <c r="B16">
        <v>21.39</v>
      </c>
      <c r="C16">
        <v>88.17</v>
      </c>
      <c r="D16">
        <v>4.58</v>
      </c>
      <c r="E16">
        <v>1.18</v>
      </c>
      <c r="F16">
        <v>6.35</v>
      </c>
      <c r="G16">
        <v>0.12</v>
      </c>
      <c r="H16">
        <v>8.58</v>
      </c>
      <c r="I16">
        <v>0.47</v>
      </c>
      <c r="J16">
        <v>94.52</v>
      </c>
      <c r="K16">
        <v>91.76</v>
      </c>
      <c r="L16">
        <f t="shared" si="0"/>
        <v>1.4545342549291504</v>
      </c>
      <c r="M16">
        <v>0.85050000000000003</v>
      </c>
      <c r="N16" t="str">
        <v>Dallas Stars</v>
      </c>
      <c r="O16">
        <v>37.340000000000003</v>
      </c>
      <c r="P16">
        <v>63.64</v>
      </c>
      <c r="Q16">
        <v>7.92</v>
      </c>
      <c r="R16">
        <v>4.53</v>
      </c>
      <c r="S16">
        <v>16.97</v>
      </c>
      <c r="T16">
        <v>4.53</v>
      </c>
      <c r="U16">
        <v>12.45</v>
      </c>
      <c r="V16">
        <v>1.1299999999999999</v>
      </c>
      <c r="W16">
        <v>90.91</v>
      </c>
      <c r="X16">
        <v>72.73</v>
      </c>
      <c r="Y16">
        <f t="shared" si="2"/>
        <v>0.85497820365523958</v>
      </c>
      <c r="Z16">
        <v>8.6333333333333331E-2</v>
      </c>
      <c r="AA16">
        <f t="shared" si="1"/>
        <v>2.3095124585843898</v>
      </c>
    </row>
    <row r="17" spans="1:27" x14ac:dyDescent="0.35">
      <c r="A17" t="str">
        <v>Detroit Red Wings</v>
      </c>
      <c r="B17">
        <v>35.26</v>
      </c>
      <c r="C17">
        <v>89.47</v>
      </c>
      <c r="D17">
        <v>9.1999999999999993</v>
      </c>
      <c r="E17">
        <v>1.31</v>
      </c>
      <c r="F17">
        <v>8.9700000000000006</v>
      </c>
      <c r="G17">
        <v>0.6</v>
      </c>
      <c r="H17">
        <v>15.54</v>
      </c>
      <c r="I17">
        <v>0.36</v>
      </c>
      <c r="J17">
        <v>97.69</v>
      </c>
      <c r="K17">
        <v>93.56</v>
      </c>
      <c r="L17">
        <f t="shared" si="0"/>
        <v>1.9486975730532179</v>
      </c>
      <c r="M17">
        <v>0.83533333333333326</v>
      </c>
      <c r="N17" t="str">
        <v>Detroit Red Wings</v>
      </c>
      <c r="O17">
        <v>64.31</v>
      </c>
      <c r="P17">
        <v>69.23</v>
      </c>
      <c r="Q17">
        <v>14.03</v>
      </c>
      <c r="R17">
        <v>7.02</v>
      </c>
      <c r="S17">
        <v>16.37</v>
      </c>
      <c r="T17">
        <v>2.34</v>
      </c>
      <c r="U17">
        <v>33.909999999999997</v>
      </c>
      <c r="V17">
        <v>1.17</v>
      </c>
      <c r="W17">
        <v>96.55</v>
      </c>
      <c r="X17">
        <v>83.64</v>
      </c>
      <c r="Y17">
        <f t="shared" si="2"/>
        <v>0.78739499614717878</v>
      </c>
      <c r="Z17">
        <v>8.4666666666666668E-2</v>
      </c>
      <c r="AA17">
        <f t="shared" si="1"/>
        <v>2.7360925692003968</v>
      </c>
    </row>
    <row r="18" spans="1:27" x14ac:dyDescent="0.35">
      <c r="A18" t="str">
        <v>Edmonton Oilers</v>
      </c>
      <c r="B18">
        <v>28.45</v>
      </c>
      <c r="C18">
        <v>90.23</v>
      </c>
      <c r="D18">
        <v>7.43</v>
      </c>
      <c r="E18">
        <v>0.93</v>
      </c>
      <c r="F18">
        <v>8.01</v>
      </c>
      <c r="G18">
        <v>0.57999999999999996</v>
      </c>
      <c r="H18">
        <v>11.73</v>
      </c>
      <c r="I18">
        <v>0.35</v>
      </c>
      <c r="J18">
        <v>97.03</v>
      </c>
      <c r="K18">
        <v>93.47</v>
      </c>
      <c r="L18">
        <f t="shared" si="0"/>
        <v>1.6050282369976849</v>
      </c>
      <c r="M18">
        <v>0.87349999999999994</v>
      </c>
      <c r="N18" t="str">
        <v>Edmonton Oilers</v>
      </c>
      <c r="O18">
        <v>64.58</v>
      </c>
      <c r="P18">
        <v>70.83</v>
      </c>
      <c r="Q18">
        <v>19.52</v>
      </c>
      <c r="R18">
        <v>7.51</v>
      </c>
      <c r="S18">
        <v>16.52</v>
      </c>
      <c r="T18">
        <v>3</v>
      </c>
      <c r="U18">
        <v>27.03</v>
      </c>
      <c r="V18">
        <v>1.5</v>
      </c>
      <c r="W18">
        <v>94.44</v>
      </c>
      <c r="X18">
        <v>81.400000000000006</v>
      </c>
      <c r="Y18">
        <f t="shared" si="2"/>
        <v>0.80725555350787148</v>
      </c>
      <c r="Z18">
        <v>7.6499999999999999E-2</v>
      </c>
      <c r="AA18">
        <f t="shared" si="1"/>
        <v>2.4122837905055565</v>
      </c>
    </row>
    <row r="19" spans="1:27" x14ac:dyDescent="0.35">
      <c r="A19" t="str">
        <v>Florida Panthers</v>
      </c>
      <c r="B19">
        <v>28.18</v>
      </c>
      <c r="C19">
        <v>84.3</v>
      </c>
      <c r="D19">
        <v>7.38</v>
      </c>
      <c r="E19">
        <v>1.45</v>
      </c>
      <c r="F19">
        <v>7.26</v>
      </c>
      <c r="G19">
        <v>0.85</v>
      </c>
      <c r="H19">
        <v>11.98</v>
      </c>
      <c r="I19">
        <v>0.12</v>
      </c>
      <c r="J19">
        <v>98.99</v>
      </c>
      <c r="K19">
        <v>91.42</v>
      </c>
      <c r="L19">
        <f t="shared" si="0"/>
        <v>2.0363295911421258</v>
      </c>
      <c r="M19">
        <v>0.83933333333333338</v>
      </c>
      <c r="N19" t="str">
        <v>Florida Panthers</v>
      </c>
      <c r="O19">
        <v>51.63</v>
      </c>
      <c r="P19">
        <v>92</v>
      </c>
      <c r="Q19">
        <v>12.62</v>
      </c>
      <c r="R19">
        <v>2.29</v>
      </c>
      <c r="S19">
        <v>16.059999999999999</v>
      </c>
      <c r="T19">
        <v>0</v>
      </c>
      <c r="U19">
        <v>22.94</v>
      </c>
      <c r="V19">
        <v>3.44</v>
      </c>
      <c r="W19">
        <v>85</v>
      </c>
      <c r="X19">
        <v>88.89</v>
      </c>
      <c r="Y19">
        <f t="shared" si="2"/>
        <v>0.49068859363187767</v>
      </c>
      <c r="Z19">
        <v>8.5666666666666655E-2</v>
      </c>
      <c r="AA19">
        <f t="shared" si="1"/>
        <v>2.5270181847740032</v>
      </c>
    </row>
    <row r="20" spans="1:27" x14ac:dyDescent="0.35">
      <c r="A20" t="str">
        <v>Los Angeles Kings</v>
      </c>
      <c r="B20">
        <v>29.83</v>
      </c>
      <c r="C20">
        <v>88.46</v>
      </c>
      <c r="D20">
        <v>9.49</v>
      </c>
      <c r="E20">
        <v>1.24</v>
      </c>
      <c r="F20">
        <v>8.1300000000000008</v>
      </c>
      <c r="G20">
        <v>0.79</v>
      </c>
      <c r="H20">
        <v>11.18</v>
      </c>
      <c r="I20">
        <v>0</v>
      </c>
      <c r="J20">
        <v>100</v>
      </c>
      <c r="K20">
        <v>93.18</v>
      </c>
      <c r="L20">
        <f t="shared" si="0"/>
        <v>1.8160827989684138</v>
      </c>
      <c r="M20">
        <v>0.88433333333333342</v>
      </c>
      <c r="N20" t="str">
        <v>Los Angeles Kings</v>
      </c>
      <c r="O20">
        <v>58.85</v>
      </c>
      <c r="P20">
        <v>78.95</v>
      </c>
      <c r="Q20">
        <v>13.85</v>
      </c>
      <c r="R20">
        <v>3.46</v>
      </c>
      <c r="S20">
        <v>19.04</v>
      </c>
      <c r="T20">
        <v>3.46</v>
      </c>
      <c r="U20">
        <v>25.96</v>
      </c>
      <c r="V20">
        <v>1.73</v>
      </c>
      <c r="W20">
        <v>93.33</v>
      </c>
      <c r="X20">
        <v>85.29</v>
      </c>
      <c r="Y20">
        <f t="shared" si="2"/>
        <v>0.43452634346807378</v>
      </c>
      <c r="Z20">
        <v>5.4666666666666662E-2</v>
      </c>
      <c r="AA20">
        <f t="shared" si="1"/>
        <v>2.2506091424364878</v>
      </c>
    </row>
    <row r="21" spans="1:27" x14ac:dyDescent="0.35">
      <c r="A21" t="str">
        <v>Minnesota Wild</v>
      </c>
      <c r="B21">
        <v>27.87</v>
      </c>
      <c r="C21">
        <v>88.17</v>
      </c>
      <c r="D21">
        <v>4.5</v>
      </c>
      <c r="E21">
        <v>0.73</v>
      </c>
      <c r="F21">
        <v>6.82</v>
      </c>
      <c r="G21">
        <v>0.61</v>
      </c>
      <c r="H21">
        <v>15.34</v>
      </c>
      <c r="I21">
        <v>0.12</v>
      </c>
      <c r="J21">
        <v>99.21</v>
      </c>
      <c r="K21">
        <v>94.76</v>
      </c>
      <c r="L21">
        <f t="shared" si="0"/>
        <v>1.130234467565469</v>
      </c>
      <c r="M21">
        <v>0.81966666666666665</v>
      </c>
      <c r="N21" t="str">
        <v>Minnesota Wild</v>
      </c>
      <c r="O21">
        <v>31.75</v>
      </c>
      <c r="P21">
        <v>88.89</v>
      </c>
      <c r="Q21">
        <v>4.0999999999999996</v>
      </c>
      <c r="R21">
        <v>0</v>
      </c>
      <c r="S21">
        <v>5.12</v>
      </c>
      <c r="T21">
        <v>1.02</v>
      </c>
      <c r="U21">
        <v>22.53</v>
      </c>
      <c r="V21">
        <v>1.02</v>
      </c>
      <c r="W21">
        <v>95.45</v>
      </c>
      <c r="X21">
        <v>93.55</v>
      </c>
      <c r="Y21">
        <f t="shared" si="2"/>
        <v>0.2417170793995658</v>
      </c>
      <c r="Z21">
        <v>0.1085</v>
      </c>
      <c r="AA21">
        <f t="shared" si="1"/>
        <v>1.3719515469650347</v>
      </c>
    </row>
    <row r="22" spans="1:27" x14ac:dyDescent="0.35">
      <c r="A22" t="str">
        <v>Montreal Canadiens</v>
      </c>
      <c r="B22">
        <v>25.71</v>
      </c>
      <c r="C22">
        <v>81.13</v>
      </c>
      <c r="D22">
        <v>6.15</v>
      </c>
      <c r="E22">
        <v>1.45</v>
      </c>
      <c r="F22">
        <v>5.7</v>
      </c>
      <c r="G22">
        <v>0.78</v>
      </c>
      <c r="H22">
        <v>11.96</v>
      </c>
      <c r="I22">
        <v>0.34</v>
      </c>
      <c r="J22">
        <v>97.2</v>
      </c>
      <c r="K22">
        <v>90</v>
      </c>
      <c r="L22">
        <f t="shared" si="0"/>
        <v>2.3055086170088157</v>
      </c>
      <c r="M22">
        <v>0.90666666666666662</v>
      </c>
      <c r="N22" t="str">
        <v>Montreal Canadiens</v>
      </c>
      <c r="O22">
        <v>63.05</v>
      </c>
      <c r="P22">
        <v>84</v>
      </c>
      <c r="Q22">
        <v>18.45</v>
      </c>
      <c r="R22">
        <v>3.08</v>
      </c>
      <c r="S22">
        <v>19.989999999999998</v>
      </c>
      <c r="T22">
        <v>3.08</v>
      </c>
      <c r="U22">
        <v>24.6</v>
      </c>
      <c r="V22">
        <v>6.15</v>
      </c>
      <c r="W22">
        <v>75</v>
      </c>
      <c r="X22">
        <v>80.489999999999995</v>
      </c>
      <c r="Y22">
        <f t="shared" si="2"/>
        <v>0.83189361339223133</v>
      </c>
      <c r="Z22">
        <v>7.5666666666666674E-2</v>
      </c>
      <c r="AA22">
        <f t="shared" si="1"/>
        <v>3.1374022304010469</v>
      </c>
    </row>
    <row r="23" spans="1:27" x14ac:dyDescent="0.35">
      <c r="A23" t="str">
        <v>New Jersey Devils</v>
      </c>
      <c r="B23">
        <v>29.94</v>
      </c>
      <c r="C23">
        <v>81.75</v>
      </c>
      <c r="D23">
        <v>8.18</v>
      </c>
      <c r="E23">
        <v>2.16</v>
      </c>
      <c r="F23">
        <v>8.3000000000000007</v>
      </c>
      <c r="G23">
        <v>0.84</v>
      </c>
      <c r="H23">
        <v>12.99</v>
      </c>
      <c r="I23">
        <v>0.48</v>
      </c>
      <c r="J23">
        <v>96.3</v>
      </c>
      <c r="K23">
        <v>87.95</v>
      </c>
      <c r="L23">
        <f t="shared" si="0"/>
        <v>3.0566531371770052</v>
      </c>
      <c r="M23">
        <v>0.84233333333333327</v>
      </c>
      <c r="N23" t="str">
        <v>New Jersey Devils</v>
      </c>
      <c r="O23">
        <v>34.200000000000003</v>
      </c>
      <c r="P23">
        <v>80</v>
      </c>
      <c r="Q23">
        <v>13.68</v>
      </c>
      <c r="R23">
        <v>3.42</v>
      </c>
      <c r="S23">
        <v>9.1199999999999992</v>
      </c>
      <c r="T23">
        <v>1.1399999999999999</v>
      </c>
      <c r="U23">
        <v>11.4</v>
      </c>
      <c r="V23">
        <v>0</v>
      </c>
      <c r="W23">
        <v>100</v>
      </c>
      <c r="X23">
        <v>86.67</v>
      </c>
      <c r="Y23">
        <f t="shared" si="2"/>
        <v>0.39963926510874836</v>
      </c>
      <c r="Z23">
        <v>8.6000000000000007E-2</v>
      </c>
      <c r="AA23">
        <f t="shared" si="1"/>
        <v>3.4562924022857535</v>
      </c>
    </row>
    <row r="24" spans="1:27" x14ac:dyDescent="0.35">
      <c r="A24" t="str">
        <v>Nashville Predators</v>
      </c>
      <c r="B24">
        <v>30.41</v>
      </c>
      <c r="C24">
        <v>84.17</v>
      </c>
      <c r="D24">
        <v>7.48</v>
      </c>
      <c r="E24">
        <v>1.72</v>
      </c>
      <c r="F24">
        <v>7.24</v>
      </c>
      <c r="G24">
        <v>0.61</v>
      </c>
      <c r="H24">
        <v>13.98</v>
      </c>
      <c r="I24">
        <v>0.61</v>
      </c>
      <c r="J24">
        <v>95.61</v>
      </c>
      <c r="K24">
        <v>90.32</v>
      </c>
      <c r="L24">
        <f t="shared" si="0"/>
        <v>2.4342015128747998</v>
      </c>
      <c r="M24">
        <v>0.82600000000000007</v>
      </c>
      <c r="N24" t="str">
        <v>Nashville Predators</v>
      </c>
      <c r="O24">
        <v>50.97</v>
      </c>
      <c r="P24">
        <v>71.430000000000007</v>
      </c>
      <c r="Q24">
        <v>13.65</v>
      </c>
      <c r="R24">
        <v>4.55</v>
      </c>
      <c r="S24">
        <v>11.83</v>
      </c>
      <c r="T24">
        <v>2.73</v>
      </c>
      <c r="U24">
        <v>24.58</v>
      </c>
      <c r="V24">
        <v>0</v>
      </c>
      <c r="W24">
        <v>100</v>
      </c>
      <c r="X24">
        <v>83.93</v>
      </c>
      <c r="Y24">
        <f t="shared" si="2"/>
        <v>0.87525930386696016</v>
      </c>
      <c r="Z24">
        <v>0.12266666666666667</v>
      </c>
      <c r="AA24">
        <f t="shared" si="1"/>
        <v>3.3094608167417601</v>
      </c>
    </row>
    <row r="25" spans="1:27" x14ac:dyDescent="0.35">
      <c r="A25" t="str">
        <v>New York Islanders</v>
      </c>
      <c r="B25">
        <v>26.03</v>
      </c>
      <c r="C25">
        <v>88.46</v>
      </c>
      <c r="D25">
        <v>6.82</v>
      </c>
      <c r="E25">
        <v>1.36</v>
      </c>
      <c r="F25">
        <v>7.96</v>
      </c>
      <c r="G25">
        <v>0.34</v>
      </c>
      <c r="H25">
        <v>10.119999999999999</v>
      </c>
      <c r="I25">
        <v>0.45</v>
      </c>
      <c r="J25">
        <v>95.51</v>
      </c>
      <c r="K25">
        <v>91.7</v>
      </c>
      <c r="L25">
        <f t="shared" si="0"/>
        <v>1.9002049638959551</v>
      </c>
      <c r="M25">
        <v>0.89116666666666666</v>
      </c>
      <c r="N25" t="str">
        <v>New York Islanders</v>
      </c>
      <c r="O25">
        <v>41.97</v>
      </c>
      <c r="P25">
        <v>93.75</v>
      </c>
      <c r="Q25">
        <v>13.99</v>
      </c>
      <c r="R25">
        <v>0</v>
      </c>
      <c r="S25">
        <v>10.88</v>
      </c>
      <c r="T25">
        <v>1.55</v>
      </c>
      <c r="U25">
        <v>17.100000000000001</v>
      </c>
      <c r="V25">
        <v>1.55</v>
      </c>
      <c r="W25">
        <v>90.91</v>
      </c>
      <c r="X25">
        <v>92.59</v>
      </c>
      <c r="Y25">
        <f t="shared" si="2"/>
        <v>0.23439901999418097</v>
      </c>
      <c r="Z25">
        <v>7.5333333333333322E-2</v>
      </c>
      <c r="AA25">
        <f t="shared" si="1"/>
        <v>2.1346039838901358</v>
      </c>
    </row>
    <row r="26" spans="1:27" x14ac:dyDescent="0.35">
      <c r="A26" t="str">
        <v>New York Rangers</v>
      </c>
      <c r="B26">
        <v>29.57</v>
      </c>
      <c r="C26">
        <v>86.18</v>
      </c>
      <c r="D26">
        <v>7.65</v>
      </c>
      <c r="E26">
        <v>1.51</v>
      </c>
      <c r="F26">
        <v>6.61</v>
      </c>
      <c r="G26">
        <v>0.46</v>
      </c>
      <c r="H26">
        <v>13.34</v>
      </c>
      <c r="I26">
        <v>0.46</v>
      </c>
      <c r="J26">
        <v>96.52</v>
      </c>
      <c r="K26">
        <v>91.37</v>
      </c>
      <c r="L26">
        <f t="shared" si="0"/>
        <v>2.2282499948096435</v>
      </c>
      <c r="M26">
        <v>0.874</v>
      </c>
      <c r="N26" t="str">
        <v>New York Rangers</v>
      </c>
      <c r="O26">
        <v>45.86</v>
      </c>
      <c r="P26">
        <v>91.3</v>
      </c>
      <c r="Q26">
        <v>14.33</v>
      </c>
      <c r="R26">
        <v>1.43</v>
      </c>
      <c r="S26">
        <v>18.63</v>
      </c>
      <c r="T26">
        <v>1.43</v>
      </c>
      <c r="U26">
        <v>12.9</v>
      </c>
      <c r="V26">
        <v>1.43</v>
      </c>
      <c r="W26">
        <v>88.89</v>
      </c>
      <c r="X26">
        <v>90.63</v>
      </c>
      <c r="Y26">
        <f t="shared" si="2"/>
        <v>0.2613674869517566</v>
      </c>
      <c r="Z26">
        <v>6.8500000000000005E-2</v>
      </c>
      <c r="AA26">
        <f t="shared" si="1"/>
        <v>2.4896174817614001</v>
      </c>
    </row>
    <row r="27" spans="1:27" x14ac:dyDescent="0.35">
      <c r="A27" t="str">
        <v>Ottawa Senators</v>
      </c>
      <c r="B27">
        <v>33.770000000000003</v>
      </c>
      <c r="C27">
        <v>86.18</v>
      </c>
      <c r="D27">
        <v>6.2</v>
      </c>
      <c r="E27">
        <v>1.03</v>
      </c>
      <c r="F27">
        <v>7.93</v>
      </c>
      <c r="G27">
        <v>0.92</v>
      </c>
      <c r="H27">
        <v>18.84</v>
      </c>
      <c r="I27">
        <v>0.46</v>
      </c>
      <c r="J27">
        <v>97.56</v>
      </c>
      <c r="K27">
        <v>92.86</v>
      </c>
      <c r="L27">
        <f t="shared" si="0"/>
        <v>2.1099073420565895</v>
      </c>
      <c r="M27">
        <v>0.86899999999999999</v>
      </c>
      <c r="N27" t="str">
        <v>Ottawa Senators</v>
      </c>
      <c r="O27">
        <v>28.89</v>
      </c>
      <c r="P27">
        <v>80</v>
      </c>
      <c r="Q27">
        <v>2.89</v>
      </c>
      <c r="R27">
        <v>1.44</v>
      </c>
      <c r="S27">
        <v>11.56</v>
      </c>
      <c r="T27">
        <v>1.44</v>
      </c>
      <c r="U27">
        <v>14.45</v>
      </c>
      <c r="V27">
        <v>0</v>
      </c>
      <c r="W27">
        <v>100</v>
      </c>
      <c r="X27">
        <v>90</v>
      </c>
      <c r="Y27">
        <f t="shared" si="2"/>
        <v>0.19214088863762624</v>
      </c>
      <c r="Z27">
        <v>6.8166666666666667E-2</v>
      </c>
      <c r="AA27">
        <f t="shared" si="1"/>
        <v>2.3020482306942158</v>
      </c>
    </row>
    <row r="28" spans="1:27" x14ac:dyDescent="0.35">
      <c r="A28" t="str">
        <v>Philadelphia Flyers</v>
      </c>
      <c r="B28">
        <v>24.5</v>
      </c>
      <c r="C28">
        <v>80.73</v>
      </c>
      <c r="D28">
        <v>7.13</v>
      </c>
      <c r="E28">
        <v>1.66</v>
      </c>
      <c r="F28">
        <v>5.83</v>
      </c>
      <c r="G28">
        <v>0.83</v>
      </c>
      <c r="H28">
        <v>10.7</v>
      </c>
      <c r="I28">
        <v>0.48</v>
      </c>
      <c r="J28">
        <v>95.56</v>
      </c>
      <c r="K28">
        <v>87.38</v>
      </c>
      <c r="L28">
        <f t="shared" si="0"/>
        <v>2.6906473926202188</v>
      </c>
      <c r="M28">
        <v>0.83783333333333343</v>
      </c>
      <c r="N28" t="str">
        <v>Philadelphia Flyers</v>
      </c>
      <c r="O28">
        <v>61.97</v>
      </c>
      <c r="P28">
        <v>73.08</v>
      </c>
      <c r="Q28">
        <v>16.53</v>
      </c>
      <c r="R28">
        <v>6.89</v>
      </c>
      <c r="S28">
        <v>19.28</v>
      </c>
      <c r="T28">
        <v>2.75</v>
      </c>
      <c r="U28">
        <v>24.79</v>
      </c>
      <c r="V28">
        <v>1.38</v>
      </c>
      <c r="W28">
        <v>94.44</v>
      </c>
      <c r="X28">
        <v>82.22</v>
      </c>
      <c r="Y28">
        <f t="shared" si="2"/>
        <v>0.68608270184434084</v>
      </c>
      <c r="Z28">
        <v>7.0166666666666669E-2</v>
      </c>
      <c r="AA28">
        <f t="shared" si="1"/>
        <v>3.3767300944645595</v>
      </c>
    </row>
    <row r="29" spans="1:27" x14ac:dyDescent="0.35">
      <c r="A29" t="str">
        <v>Pittsburgh Penguins</v>
      </c>
      <c r="B29">
        <v>32.619999999999997</v>
      </c>
      <c r="C29">
        <v>93.23</v>
      </c>
      <c r="D29">
        <v>8.4499999999999993</v>
      </c>
      <c r="E29">
        <v>0.95</v>
      </c>
      <c r="F29">
        <v>7.38</v>
      </c>
      <c r="G29">
        <v>0.12</v>
      </c>
      <c r="H29">
        <v>14.88</v>
      </c>
      <c r="I29">
        <v>0.71</v>
      </c>
      <c r="J29">
        <v>95.2</v>
      </c>
      <c r="K29">
        <v>94.53</v>
      </c>
      <c r="L29">
        <f t="shared" si="0"/>
        <v>1.5744972249501061</v>
      </c>
      <c r="M29">
        <v>0.83733333333333337</v>
      </c>
      <c r="N29" t="str">
        <v>Pittsburgh Penguins</v>
      </c>
      <c r="O29">
        <v>52.03</v>
      </c>
      <c r="P29">
        <v>84.62</v>
      </c>
      <c r="Q29">
        <v>16.97</v>
      </c>
      <c r="R29">
        <v>3.39</v>
      </c>
      <c r="S29">
        <v>12.44</v>
      </c>
      <c r="T29">
        <v>1.1299999999999999</v>
      </c>
      <c r="U29">
        <v>21.49</v>
      </c>
      <c r="V29">
        <v>1.1299999999999999</v>
      </c>
      <c r="W29">
        <v>94.74</v>
      </c>
      <c r="X29">
        <v>89.13</v>
      </c>
      <c r="Y29">
        <f t="shared" si="2"/>
        <v>0.4717697756834201</v>
      </c>
      <c r="Z29">
        <v>8.6333333333333331E-2</v>
      </c>
      <c r="AA29">
        <f t="shared" si="1"/>
        <v>2.0462670006335264</v>
      </c>
    </row>
    <row r="30" spans="1:27" x14ac:dyDescent="0.35">
      <c r="A30" t="str">
        <v>San Jose Sharks</v>
      </c>
      <c r="B30">
        <v>31.71</v>
      </c>
      <c r="C30">
        <v>86.43</v>
      </c>
      <c r="D30">
        <v>7.39</v>
      </c>
      <c r="E30">
        <v>1.43</v>
      </c>
      <c r="F30">
        <v>9.3000000000000007</v>
      </c>
      <c r="G30">
        <v>0.83</v>
      </c>
      <c r="H30">
        <v>13.71</v>
      </c>
      <c r="I30">
        <v>0.83</v>
      </c>
      <c r="J30">
        <v>93.91</v>
      </c>
      <c r="K30">
        <v>89.85</v>
      </c>
      <c r="L30">
        <f t="shared" si="0"/>
        <v>2.6827095674878141</v>
      </c>
      <c r="M30">
        <v>0.83666666666666667</v>
      </c>
      <c r="N30" t="str">
        <v>San Jose Sharks</v>
      </c>
      <c r="O30">
        <v>50.16</v>
      </c>
      <c r="P30">
        <v>86.36</v>
      </c>
      <c r="Q30">
        <v>12.54</v>
      </c>
      <c r="R30">
        <v>3.13</v>
      </c>
      <c r="S30">
        <v>10.45</v>
      </c>
      <c r="T30">
        <v>0</v>
      </c>
      <c r="U30">
        <v>27.17</v>
      </c>
      <c r="V30">
        <v>1.04</v>
      </c>
      <c r="W30">
        <v>96.15</v>
      </c>
      <c r="X30">
        <v>91.67</v>
      </c>
      <c r="Y30">
        <f t="shared" si="2"/>
        <v>0.46353673402478107</v>
      </c>
      <c r="Z30">
        <v>0.1075</v>
      </c>
      <c r="AA30">
        <f t="shared" si="1"/>
        <v>3.146246301512595</v>
      </c>
    </row>
    <row r="31" spans="1:27" x14ac:dyDescent="0.35">
      <c r="A31" t="str">
        <v>St Louis Blues</v>
      </c>
      <c r="B31">
        <v>28.75</v>
      </c>
      <c r="C31">
        <v>80.989999999999995</v>
      </c>
      <c r="D31">
        <v>8.15</v>
      </c>
      <c r="E31">
        <v>2.1</v>
      </c>
      <c r="F31">
        <v>8.3800000000000008</v>
      </c>
      <c r="G31">
        <v>1.05</v>
      </c>
      <c r="H31">
        <v>11.06</v>
      </c>
      <c r="I31">
        <v>0</v>
      </c>
      <c r="J31">
        <v>100</v>
      </c>
      <c r="K31">
        <v>88.66</v>
      </c>
      <c r="L31">
        <f t="shared" si="0"/>
        <v>2.9301259762220688</v>
      </c>
      <c r="M31">
        <v>0.872</v>
      </c>
      <c r="N31" t="str">
        <v>St Louis Blues</v>
      </c>
      <c r="O31">
        <v>55.58</v>
      </c>
      <c r="P31">
        <v>69.569999999999993</v>
      </c>
      <c r="Q31">
        <v>20.64</v>
      </c>
      <c r="R31">
        <v>9.5299999999999994</v>
      </c>
      <c r="S31">
        <v>15.88</v>
      </c>
      <c r="T31">
        <v>1.59</v>
      </c>
      <c r="U31">
        <v>19.059999999999999</v>
      </c>
      <c r="V31">
        <v>0</v>
      </c>
      <c r="W31">
        <v>100</v>
      </c>
      <c r="X31">
        <v>80</v>
      </c>
      <c r="Y31">
        <f t="shared" si="2"/>
        <v>0.74270165603944749</v>
      </c>
      <c r="Z31">
        <v>7.4499999999999997E-2</v>
      </c>
      <c r="AA31">
        <f t="shared" si="1"/>
        <v>3.6728276322615163</v>
      </c>
    </row>
    <row r="32" spans="1:27" x14ac:dyDescent="0.35">
      <c r="A32" t="str">
        <v>Tampa Bay Lightning</v>
      </c>
      <c r="B32">
        <v>26.24</v>
      </c>
      <c r="C32">
        <v>92.91</v>
      </c>
      <c r="D32">
        <v>7.8</v>
      </c>
      <c r="E32">
        <v>0.5</v>
      </c>
      <c r="F32">
        <v>9.66</v>
      </c>
      <c r="G32">
        <v>0.74</v>
      </c>
      <c r="H32">
        <v>8.17</v>
      </c>
      <c r="I32">
        <v>0.25</v>
      </c>
      <c r="J32">
        <v>96.97</v>
      </c>
      <c r="K32">
        <v>93.87</v>
      </c>
      <c r="L32">
        <f t="shared" si="0"/>
        <v>1.1801961733880475</v>
      </c>
      <c r="M32">
        <v>0.80466666666666664</v>
      </c>
      <c r="N32" t="str">
        <v>Tampa Bay Lightning</v>
      </c>
      <c r="O32">
        <v>39.729999999999997</v>
      </c>
      <c r="P32">
        <v>85.71</v>
      </c>
      <c r="Q32">
        <v>16.25</v>
      </c>
      <c r="R32">
        <v>3.61</v>
      </c>
      <c r="S32">
        <v>9.0299999999999994</v>
      </c>
      <c r="T32">
        <v>0</v>
      </c>
      <c r="U32">
        <v>12.64</v>
      </c>
      <c r="V32">
        <v>0.9</v>
      </c>
      <c r="W32">
        <v>92.86</v>
      </c>
      <c r="X32">
        <v>86.36</v>
      </c>
      <c r="Y32">
        <f t="shared" si="2"/>
        <v>0.61227826719197931</v>
      </c>
      <c r="Z32">
        <v>0.12316666666666666</v>
      </c>
      <c r="AA32">
        <f t="shared" si="1"/>
        <v>1.7924744405800268</v>
      </c>
    </row>
    <row r="33" spans="1:27" x14ac:dyDescent="0.35">
      <c r="A33" t="str">
        <v>Toronto Maple Leafs</v>
      </c>
      <c r="B33">
        <v>28.04</v>
      </c>
      <c r="C33">
        <v>86.78</v>
      </c>
      <c r="D33">
        <v>5.75</v>
      </c>
      <c r="E33">
        <v>1.32</v>
      </c>
      <c r="F33">
        <v>8.75</v>
      </c>
      <c r="G33">
        <v>0.6</v>
      </c>
      <c r="H33">
        <v>12.1</v>
      </c>
      <c r="I33">
        <v>0.84</v>
      </c>
      <c r="J33">
        <v>93.07</v>
      </c>
      <c r="K33">
        <v>90.17</v>
      </c>
      <c r="L33">
        <f t="shared" si="0"/>
        <v>2.3109146788646493</v>
      </c>
      <c r="M33">
        <v>0.83416666666666661</v>
      </c>
      <c r="N33" t="str">
        <v>Toronto Maple Leafs</v>
      </c>
      <c r="O33">
        <v>45.17</v>
      </c>
      <c r="P33">
        <v>77.27</v>
      </c>
      <c r="Q33">
        <v>8.5500000000000007</v>
      </c>
      <c r="R33">
        <v>1.22</v>
      </c>
      <c r="S33">
        <v>18.309999999999999</v>
      </c>
      <c r="T33">
        <v>4.88</v>
      </c>
      <c r="U33">
        <v>17.09</v>
      </c>
      <c r="V33">
        <v>1.22</v>
      </c>
      <c r="W33">
        <v>92.86</v>
      </c>
      <c r="X33">
        <v>83.78</v>
      </c>
      <c r="Y33">
        <f t="shared" si="2"/>
        <v>0.63355603401053306</v>
      </c>
      <c r="Z33">
        <v>9.2499999999999999E-2</v>
      </c>
      <c r="AA33">
        <f t="shared" si="1"/>
        <v>2.9444707128751824</v>
      </c>
    </row>
    <row r="34" spans="1:27" x14ac:dyDescent="0.35">
      <c r="A34" t="str">
        <v>Vancouver Canucks</v>
      </c>
      <c r="B34">
        <v>32.35</v>
      </c>
      <c r="C34">
        <v>87.26</v>
      </c>
      <c r="D34">
        <v>7.85</v>
      </c>
      <c r="E34">
        <v>1.29</v>
      </c>
      <c r="F34">
        <v>10.55</v>
      </c>
      <c r="G34">
        <v>1.05</v>
      </c>
      <c r="H34">
        <v>12.42</v>
      </c>
      <c r="I34">
        <v>0</v>
      </c>
      <c r="J34">
        <v>100</v>
      </c>
      <c r="K34">
        <v>92.39</v>
      </c>
      <c r="L34">
        <f t="shared" si="0"/>
        <v>2.1097992040749478</v>
      </c>
      <c r="M34">
        <v>0.85199999999999998</v>
      </c>
      <c r="N34" t="str">
        <v>Vancouver Canucks</v>
      </c>
      <c r="O34">
        <v>67.819999999999993</v>
      </c>
      <c r="P34">
        <v>85.29</v>
      </c>
      <c r="Q34">
        <v>22.99</v>
      </c>
      <c r="R34">
        <v>5.75</v>
      </c>
      <c r="S34">
        <v>16.09</v>
      </c>
      <c r="T34">
        <v>0</v>
      </c>
      <c r="U34">
        <v>28.74</v>
      </c>
      <c r="V34">
        <v>4.5999999999999996</v>
      </c>
      <c r="W34">
        <v>84</v>
      </c>
      <c r="X34">
        <v>84.75</v>
      </c>
      <c r="Y34">
        <f t="shared" si="2"/>
        <v>0.81863627741273726</v>
      </c>
      <c r="Z34">
        <v>8.5499999999999993E-2</v>
      </c>
      <c r="AA34">
        <f t="shared" si="1"/>
        <v>2.9284354814876852</v>
      </c>
    </row>
    <row r="35" spans="1:27" x14ac:dyDescent="0.35">
      <c r="A35" t="str">
        <v>Vegas Golden Knights</v>
      </c>
      <c r="B35">
        <v>28.2</v>
      </c>
      <c r="C35">
        <v>86.26</v>
      </c>
      <c r="D35">
        <v>7.6</v>
      </c>
      <c r="E35">
        <v>1.38</v>
      </c>
      <c r="F35">
        <v>7.48</v>
      </c>
      <c r="G35">
        <v>0.69</v>
      </c>
      <c r="H35">
        <v>11.39</v>
      </c>
      <c r="I35">
        <v>0.23</v>
      </c>
      <c r="J35">
        <v>97.98</v>
      </c>
      <c r="K35">
        <v>91.84</v>
      </c>
      <c r="L35">
        <f t="shared" si="0"/>
        <v>2.0053870429278957</v>
      </c>
      <c r="M35">
        <v>0.86799999999999999</v>
      </c>
      <c r="N35" t="str">
        <v>Vegas Golden Knights</v>
      </c>
      <c r="O35">
        <v>43.83</v>
      </c>
      <c r="P35">
        <v>89.47</v>
      </c>
      <c r="Q35">
        <v>23.48</v>
      </c>
      <c r="R35">
        <v>3.13</v>
      </c>
      <c r="S35">
        <v>6.26</v>
      </c>
      <c r="T35">
        <v>0</v>
      </c>
      <c r="U35">
        <v>14.09</v>
      </c>
      <c r="V35">
        <v>0</v>
      </c>
      <c r="W35">
        <v>100</v>
      </c>
      <c r="X35">
        <v>92.86</v>
      </c>
      <c r="Y35">
        <f t="shared" si="2"/>
        <v>0.23548927520254442</v>
      </c>
      <c r="Z35">
        <v>7.4999999999999997E-2</v>
      </c>
      <c r="AA35">
        <f t="shared" si="1"/>
        <v>2.2408763181304403</v>
      </c>
    </row>
    <row r="36" spans="1:27" x14ac:dyDescent="0.35">
      <c r="A36" t="str">
        <v>Winnipeg Jets</v>
      </c>
      <c r="B36">
        <v>31.68</v>
      </c>
      <c r="C36">
        <v>88.82</v>
      </c>
      <c r="D36">
        <v>8.94</v>
      </c>
      <c r="E36">
        <v>1.51</v>
      </c>
      <c r="F36">
        <v>8.6999999999999993</v>
      </c>
      <c r="G36">
        <v>0.46</v>
      </c>
      <c r="H36">
        <v>13</v>
      </c>
      <c r="I36">
        <v>0.23</v>
      </c>
      <c r="J36">
        <v>98.21</v>
      </c>
      <c r="K36">
        <v>93.04</v>
      </c>
      <c r="L36">
        <f t="shared" si="0"/>
        <v>1.9321977601098597</v>
      </c>
      <c r="M36">
        <v>0.8736666666666667</v>
      </c>
      <c r="N36" t="str">
        <v>Winnipeg Jets</v>
      </c>
      <c r="O36">
        <v>35.520000000000003</v>
      </c>
      <c r="P36">
        <v>75</v>
      </c>
      <c r="Q36">
        <v>10.93</v>
      </c>
      <c r="R36">
        <v>4.0999999999999996</v>
      </c>
      <c r="S36">
        <v>10.93</v>
      </c>
      <c r="T36">
        <v>1.37</v>
      </c>
      <c r="U36">
        <v>13.66</v>
      </c>
      <c r="V36">
        <v>0</v>
      </c>
      <c r="W36">
        <v>100</v>
      </c>
      <c r="X36">
        <v>84.62</v>
      </c>
      <c r="Y36">
        <f t="shared" si="2"/>
        <v>0.38544424574115482</v>
      </c>
      <c r="Z36">
        <v>7.0666666666666669E-2</v>
      </c>
      <c r="AA36">
        <f t="shared" si="1"/>
        <v>2.3176420058510145</v>
      </c>
    </row>
    <row r="37" spans="1:27" x14ac:dyDescent="0.35">
      <c r="A37" t="str">
        <v>Washington Capitals</v>
      </c>
      <c r="B37">
        <v>26.94</v>
      </c>
      <c r="C37">
        <v>85.59</v>
      </c>
      <c r="D37">
        <v>6.73</v>
      </c>
      <c r="E37">
        <v>1.04</v>
      </c>
      <c r="F37">
        <v>6.97</v>
      </c>
      <c r="G37">
        <v>0.93</v>
      </c>
      <c r="H37">
        <v>10.91</v>
      </c>
      <c r="I37">
        <v>0.35</v>
      </c>
      <c r="J37">
        <v>96.81</v>
      </c>
      <c r="K37">
        <v>90.95</v>
      </c>
      <c r="L37">
        <f>(($L$5+($K$5*K37)+($J$5*J37)+($I$5*I37)+($H$5*H37)+($G$5*G37)+($F$5*F37)+($E$5*E37)+($D$5*D37)+($C$5*C37)+($B$5*B37)))*M37</f>
        <v>2.132128068809271</v>
      </c>
      <c r="M37">
        <v>0.87349999999999994</v>
      </c>
      <c r="N37" t="str">
        <v>Washington Capitals</v>
      </c>
      <c r="O37">
        <v>33.47</v>
      </c>
      <c r="P37">
        <v>76.19</v>
      </c>
      <c r="Q37">
        <v>12.55</v>
      </c>
      <c r="R37">
        <v>2.09</v>
      </c>
      <c r="S37">
        <v>9.41</v>
      </c>
      <c r="T37">
        <v>3.14</v>
      </c>
      <c r="U37">
        <v>11.5</v>
      </c>
      <c r="V37">
        <v>1.05</v>
      </c>
      <c r="W37">
        <v>90.91</v>
      </c>
      <c r="X37">
        <v>81.25</v>
      </c>
      <c r="Y37">
        <f t="shared" si="2"/>
        <v>0.66846927606329321</v>
      </c>
      <c r="Z37">
        <v>0.10733333333333334</v>
      </c>
      <c r="AA37">
        <f t="shared" si="1"/>
        <v>2.8005973448725641</v>
      </c>
    </row>
    <row r="42" spans="1:27" ht="26" x14ac:dyDescent="0.6">
      <c r="A42" s="72" t="s">
        <v>89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9"/>
      <c r="AA42" s="11"/>
    </row>
    <row r="43" spans="1:27" ht="26" x14ac:dyDescent="0.6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9"/>
      <c r="AA43" s="11"/>
    </row>
    <row r="44" spans="1:27" x14ac:dyDescent="0.35">
      <c r="A44" s="73" t="s">
        <v>80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6"/>
      <c r="N44" s="73" t="s">
        <v>127</v>
      </c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6"/>
      <c r="AA44" s="11"/>
    </row>
    <row r="45" spans="1:27" x14ac:dyDescent="0.35">
      <c r="A45" s="2"/>
      <c r="B45" s="2" t="s">
        <v>71</v>
      </c>
      <c r="C45" s="2" t="s">
        <v>19</v>
      </c>
      <c r="D45" s="2" t="s">
        <v>72</v>
      </c>
      <c r="E45" s="2" t="s">
        <v>73</v>
      </c>
      <c r="F45" s="2" t="s">
        <v>77</v>
      </c>
      <c r="G45" s="2" t="s">
        <v>74</v>
      </c>
      <c r="H45" s="2" t="s">
        <v>75</v>
      </c>
      <c r="I45" s="2" t="s">
        <v>76</v>
      </c>
      <c r="J45" s="2" t="s">
        <v>34</v>
      </c>
      <c r="K45" s="2" t="s">
        <v>36</v>
      </c>
      <c r="L45" s="2" t="s">
        <v>70</v>
      </c>
      <c r="M45" s="2"/>
      <c r="N45" s="2"/>
      <c r="O45" s="2" t="s">
        <v>71</v>
      </c>
      <c r="P45" s="2" t="s">
        <v>19</v>
      </c>
      <c r="Q45" s="2" t="s">
        <v>72</v>
      </c>
      <c r="R45" s="2" t="s">
        <v>73</v>
      </c>
      <c r="S45" s="2" t="s">
        <v>77</v>
      </c>
      <c r="T45" s="2" t="s">
        <v>74</v>
      </c>
      <c r="U45" s="2" t="s">
        <v>75</v>
      </c>
      <c r="V45" s="2" t="s">
        <v>76</v>
      </c>
      <c r="W45" s="2" t="s">
        <v>34</v>
      </c>
      <c r="X45" s="2" t="s">
        <v>36</v>
      </c>
      <c r="Y45" s="2" t="s">
        <v>70</v>
      </c>
      <c r="Z45" s="2"/>
      <c r="AA45" s="11"/>
    </row>
    <row r="46" spans="1:27" x14ac:dyDescent="0.35">
      <c r="A46" s="2" t="s">
        <v>83</v>
      </c>
      <c r="B46" s="2">
        <v>8.2620009010327525E-2</v>
      </c>
      <c r="C46" s="2">
        <v>7.2415331423571955E-2</v>
      </c>
      <c r="D46" s="2">
        <v>-6.2616691066341934E-2</v>
      </c>
      <c r="E46" s="2">
        <v>0.53334792611403314</v>
      </c>
      <c r="F46" s="2">
        <v>-6.5218005738646126E-2</v>
      </c>
      <c r="G46" s="2">
        <v>0.52891843826525331</v>
      </c>
      <c r="H46" s="2">
        <v>-2.3928749397253687E-2</v>
      </c>
      <c r="I46" s="2">
        <v>0.74377634955464755</v>
      </c>
      <c r="J46" s="2">
        <v>8.632535996615695E-2</v>
      </c>
      <c r="K46" s="2">
        <v>-0.28099979668454367</v>
      </c>
      <c r="L46" s="2">
        <v>11.047009121253957</v>
      </c>
      <c r="M46" s="2"/>
      <c r="N46" s="5" t="s">
        <v>83</v>
      </c>
      <c r="O46" s="2">
        <v>8.2620009010327525E-2</v>
      </c>
      <c r="P46" s="2">
        <v>7.2415331423571955E-2</v>
      </c>
      <c r="Q46" s="2">
        <v>-6.2616691066341934E-2</v>
      </c>
      <c r="R46" s="2">
        <v>0.53334792611403314</v>
      </c>
      <c r="S46" s="2">
        <v>-6.5218005738646126E-2</v>
      </c>
      <c r="T46" s="2">
        <v>0.52891843826525331</v>
      </c>
      <c r="U46" s="2">
        <v>-2.3928749397253687E-2</v>
      </c>
      <c r="V46" s="2">
        <v>0.74377634955464755</v>
      </c>
      <c r="W46" s="2">
        <v>8.632535996615695E-2</v>
      </c>
      <c r="X46" s="2">
        <v>-0.28099979668454367</v>
      </c>
      <c r="Y46" s="2">
        <v>11.047009121253957</v>
      </c>
      <c r="Z46" s="2"/>
      <c r="AA46" s="11"/>
    </row>
    <row r="47" spans="1:27" x14ac:dyDescent="0.35">
      <c r="A47" s="4" t="s">
        <v>81</v>
      </c>
      <c r="B47" s="4" t="s">
        <v>71</v>
      </c>
      <c r="C47" s="4" t="s">
        <v>19</v>
      </c>
      <c r="D47" s="4" t="s">
        <v>72</v>
      </c>
      <c r="E47" s="4" t="s">
        <v>73</v>
      </c>
      <c r="F47" s="4" t="s">
        <v>77</v>
      </c>
      <c r="G47" s="4" t="s">
        <v>74</v>
      </c>
      <c r="H47" s="4" t="s">
        <v>75</v>
      </c>
      <c r="I47" s="4" t="s">
        <v>76</v>
      </c>
      <c r="J47" s="4" t="s">
        <v>34</v>
      </c>
      <c r="K47" s="4" t="s">
        <v>36</v>
      </c>
      <c r="L47" s="4" t="s">
        <v>82</v>
      </c>
      <c r="M47" s="4" t="s">
        <v>125</v>
      </c>
      <c r="N47" s="4" t="s">
        <v>81</v>
      </c>
      <c r="O47" s="4" t="s">
        <v>71</v>
      </c>
      <c r="P47" s="4" t="s">
        <v>19</v>
      </c>
      <c r="Q47" s="4" t="s">
        <v>72</v>
      </c>
      <c r="R47" s="4" t="s">
        <v>73</v>
      </c>
      <c r="S47" s="4" t="s">
        <v>77</v>
      </c>
      <c r="T47" s="4" t="s">
        <v>74</v>
      </c>
      <c r="U47" s="4" t="s">
        <v>75</v>
      </c>
      <c r="V47" s="4" t="s">
        <v>76</v>
      </c>
      <c r="W47" s="4" t="s">
        <v>34</v>
      </c>
      <c r="X47" s="4" t="s">
        <v>36</v>
      </c>
      <c r="Y47" s="4" t="s">
        <v>82</v>
      </c>
      <c r="Z47" s="4" t="s">
        <v>125</v>
      </c>
      <c r="AA47" s="11" t="s">
        <v>69</v>
      </c>
    </row>
    <row r="48" spans="1:27" x14ac:dyDescent="0.35">
      <c r="A48" t="str" cm="1">
        <f t="array" ref="A48:A78">Table_0__2[Team]</f>
        <v>Anaheim Ducks</v>
      </c>
      <c r="B48" cm="1">
        <f t="array" ref="B48:B78">Table_0__2[SA/60]</f>
        <v>27.43</v>
      </c>
      <c r="C48" cm="1">
        <f t="array" ref="C48:C78">Table_0__2[SCSV%]</f>
        <v>80.53</v>
      </c>
      <c r="D48" cm="1">
        <f t="array" ref="D48:D78">Table_0__2[HDSA/60]</f>
        <v>6.03</v>
      </c>
      <c r="E48" cm="1">
        <f t="array" ref="E48:E78">Table_0__2[HDGA/60]</f>
        <v>1.59</v>
      </c>
      <c r="F48" cm="1">
        <f t="array" ref="F48:F78">Table_0__2[MDSA/60]</f>
        <v>6.83</v>
      </c>
      <c r="G48" cm="1">
        <f t="array" ref="G48:G78">Table_0__2[MDGA/60]</f>
        <v>0.91</v>
      </c>
      <c r="H48" cm="1">
        <f t="array" ref="H48:H78">Table_0__2[LDSA/60]</f>
        <v>13.55</v>
      </c>
      <c r="I48" cm="1">
        <f t="array" ref="I48:I78">Table_0__2[LDGA/60]</f>
        <v>0.46</v>
      </c>
      <c r="J48" cm="1">
        <f t="array" ref="J48:J78">Table_0__2[LDSV%]</f>
        <v>96.64</v>
      </c>
      <c r="K48" cm="1">
        <f t="array" ref="K48:K78">Table_0__2[SV%]</f>
        <v>88.8</v>
      </c>
      <c r="L48">
        <f>($L$46+($K$46*K48)+($J$46*J48)+($I$46*I48)+($H$46*H48)+($G$46*G48)+($F$46*F48)+($E$46*E48)+($D$46*D48)+($C$46*C48)+($B$46*B48))*M48</f>
        <v>2.7238679638483116</v>
      </c>
      <c r="M48" cm="1">
        <f t="array" ref="M48:M78">Table_0__2[TOI/GP]/60</f>
        <v>0.89049999999999996</v>
      </c>
      <c r="N48" t="str" cm="1">
        <f t="array" ref="N48:N78">Table9[Team]</f>
        <v>Anaheim Ducks</v>
      </c>
      <c r="O48" cm="1">
        <f t="array" ref="O48:O78">Table9[SA/60]</f>
        <v>52.21</v>
      </c>
      <c r="P48" cm="1">
        <f t="array" ref="P48:P78">Table9[SCSV%]</f>
        <v>83.33</v>
      </c>
      <c r="Q48" cm="1">
        <f t="array" ref="Q48:Q78">Table9[HDSA/60]</f>
        <v>13.39</v>
      </c>
      <c r="R48" cm="1">
        <f t="array" ref="R48:R78">Table9[HDGA/60]</f>
        <v>1.34</v>
      </c>
      <c r="S48" cm="1">
        <f t="array" ref="S48:S78">Table9[MDSA/60]</f>
        <v>18.739999999999998</v>
      </c>
      <c r="T48" cm="1">
        <f t="array" ref="T48:T78">Table9[MDGA/60]</f>
        <v>4.0199999999999996</v>
      </c>
      <c r="U48" cm="1">
        <f t="array" ref="U48:U78">Table9[LDSA/60]</f>
        <v>20.079999999999998</v>
      </c>
      <c r="V48" cm="1">
        <f t="array" ref="V48:V78">Table9[LDGA/60]</f>
        <v>4.0199999999999996</v>
      </c>
      <c r="W48" cm="1">
        <f t="array" ref="W48:W78">Table9[LDSV%]</f>
        <v>80</v>
      </c>
      <c r="X48" cm="1">
        <f t="array" ref="X48:X78">Table9[SV%]</f>
        <v>82.05</v>
      </c>
      <c r="Y48">
        <f>($Y$46+($X$46*X48)+($W$46*W48)+($V$46*V48)+($U$46*U48)+($T$46*T48)+($S$46*S48)+($R$46*R48)+($Q$46*Q48)+($P$46*P48)+($O$46*O48))*Z48</f>
        <v>0.61023619068887902</v>
      </c>
      <c r="Z48" cm="1">
        <f t="array" ref="Z48:Z78">Table9[TOI/GP]/60</f>
        <v>7.1499999999999994E-2</v>
      </c>
      <c r="AA48">
        <f>Y48+L48</f>
        <v>3.3341041545371906</v>
      </c>
    </row>
    <row r="49" spans="1:27" x14ac:dyDescent="0.35">
      <c r="A49" t="str">
        <v>Arizona Coyotes</v>
      </c>
      <c r="B49">
        <v>33.96</v>
      </c>
      <c r="C49">
        <v>89.81</v>
      </c>
      <c r="D49">
        <v>8.2799999999999994</v>
      </c>
      <c r="E49">
        <v>1.22</v>
      </c>
      <c r="F49">
        <v>10.83</v>
      </c>
      <c r="G49">
        <v>0.73</v>
      </c>
      <c r="H49">
        <v>14.24</v>
      </c>
      <c r="I49">
        <v>0.37</v>
      </c>
      <c r="J49">
        <v>97.44</v>
      </c>
      <c r="K49">
        <v>92.83</v>
      </c>
      <c r="L49">
        <f t="shared" ref="L49:L78" si="3">($L$46+($K$46*K49)+($J$46*J49)+($I$46*I49)+($H$46*H49)+($G$46*G49)+($F$46*F49)+($E$46*E49)+($D$46*D49)+($C$46*C49)+($B$46*B49))*M49</f>
        <v>1.9907351978019241</v>
      </c>
      <c r="M49">
        <v>0.81950000000000001</v>
      </c>
      <c r="N49" t="str">
        <v>Arizona Coyotes</v>
      </c>
      <c r="O49">
        <v>55.05</v>
      </c>
      <c r="P49">
        <v>88</v>
      </c>
      <c r="Q49">
        <v>11.8</v>
      </c>
      <c r="R49">
        <v>1.97</v>
      </c>
      <c r="S49">
        <v>12.78</v>
      </c>
      <c r="T49">
        <v>0.98</v>
      </c>
      <c r="U49">
        <v>29.49</v>
      </c>
      <c r="V49">
        <v>1.97</v>
      </c>
      <c r="W49">
        <v>93.33</v>
      </c>
      <c r="X49">
        <v>91.07</v>
      </c>
      <c r="Y49">
        <f t="shared" ref="Y49:Y78" si="4">($Y$46+($X$46*X49)+($W$46*W49)+($V$46*V49)+($U$46*U49)+($T$46*T49)+($S$46*S49)+($R$46*R49)+($Q$46*Q49)+($P$46*P49)+($O$46*O49))*Z49</f>
        <v>0.5242038520536827</v>
      </c>
      <c r="Z49">
        <v>0.10099999999999999</v>
      </c>
      <c r="AA49">
        <f t="shared" ref="AA49:AA78" si="5">Y49+L49</f>
        <v>2.5149390498556068</v>
      </c>
    </row>
    <row r="50" spans="1:27" x14ac:dyDescent="0.35">
      <c r="A50" t="str">
        <v>Boston Bruins</v>
      </c>
      <c r="B50">
        <v>29.19</v>
      </c>
      <c r="C50">
        <v>87.97</v>
      </c>
      <c r="D50">
        <v>9.65</v>
      </c>
      <c r="E50">
        <v>1.67</v>
      </c>
      <c r="F50">
        <v>6.2</v>
      </c>
      <c r="G50">
        <v>0.24</v>
      </c>
      <c r="H50">
        <v>11.32</v>
      </c>
      <c r="I50">
        <v>0.48</v>
      </c>
      <c r="J50">
        <v>95.79</v>
      </c>
      <c r="K50">
        <v>91.84</v>
      </c>
      <c r="L50">
        <f t="shared" si="3"/>
        <v>1.9969494047104275</v>
      </c>
      <c r="M50">
        <v>0.83683333333333332</v>
      </c>
      <c r="N50" t="str">
        <v>Boston Bruins</v>
      </c>
      <c r="O50">
        <v>50.37</v>
      </c>
      <c r="P50">
        <v>78.95</v>
      </c>
      <c r="Q50">
        <v>11.93</v>
      </c>
      <c r="R50">
        <v>1.33</v>
      </c>
      <c r="S50">
        <v>13.25</v>
      </c>
      <c r="T50">
        <v>3.98</v>
      </c>
      <c r="U50">
        <v>23.86</v>
      </c>
      <c r="V50">
        <v>0</v>
      </c>
      <c r="W50">
        <v>100</v>
      </c>
      <c r="X50">
        <v>89.47</v>
      </c>
      <c r="Y50">
        <f t="shared" si="4"/>
        <v>0.44773173582996673</v>
      </c>
      <c r="Z50">
        <v>8.8666666666666671E-2</v>
      </c>
      <c r="AA50">
        <f t="shared" si="5"/>
        <v>2.4446811405403941</v>
      </c>
    </row>
    <row r="51" spans="1:27" x14ac:dyDescent="0.35">
      <c r="A51" t="str">
        <v>Buffalo Sabres</v>
      </c>
      <c r="B51">
        <v>32.83</v>
      </c>
      <c r="C51">
        <v>84.36</v>
      </c>
      <c r="D51">
        <v>10.94</v>
      </c>
      <c r="E51">
        <v>2.5099999999999998</v>
      </c>
      <c r="F51">
        <v>9.4600000000000009</v>
      </c>
      <c r="G51">
        <v>0.68</v>
      </c>
      <c r="H51">
        <v>10.94</v>
      </c>
      <c r="I51">
        <v>0.46</v>
      </c>
      <c r="J51">
        <v>95.83</v>
      </c>
      <c r="K51">
        <v>88.54</v>
      </c>
      <c r="L51">
        <f>($L$46+($K$46*K51)+($J$46*J51)+($I$46*I51)+($H$46*H51)+($G$46*G51)+($F$46*F51)+($E$46*E51)+($D$46*D51)+($C$46*C51)+($B$46*B51))*M51</f>
        <v>3.3261561775301782</v>
      </c>
      <c r="M51">
        <v>0.88983333333333337</v>
      </c>
      <c r="N51" t="str">
        <v>Buffalo Sabres</v>
      </c>
      <c r="O51">
        <v>49.44</v>
      </c>
      <c r="P51">
        <v>86.67</v>
      </c>
      <c r="Q51">
        <v>18.21</v>
      </c>
      <c r="R51">
        <v>5.2</v>
      </c>
      <c r="S51">
        <v>20.82</v>
      </c>
      <c r="T51">
        <v>0</v>
      </c>
      <c r="U51">
        <v>10.41</v>
      </c>
      <c r="V51">
        <v>1.3</v>
      </c>
      <c r="W51">
        <v>87.5</v>
      </c>
      <c r="X51">
        <v>86.84</v>
      </c>
      <c r="Y51">
        <f t="shared" si="4"/>
        <v>0.49695386576186051</v>
      </c>
      <c r="Z51">
        <v>8.9499999999999996E-2</v>
      </c>
      <c r="AA51">
        <f t="shared" si="5"/>
        <v>3.8231100432920386</v>
      </c>
    </row>
    <row r="52" spans="1:27" x14ac:dyDescent="0.35">
      <c r="A52" t="str">
        <v>Carolina Hurricanes</v>
      </c>
      <c r="B52">
        <v>28.78</v>
      </c>
      <c r="C52">
        <v>90.23</v>
      </c>
      <c r="D52">
        <v>7.43</v>
      </c>
      <c r="E52">
        <v>1.18</v>
      </c>
      <c r="F52">
        <v>8.26</v>
      </c>
      <c r="G52">
        <v>0.35</v>
      </c>
      <c r="H52">
        <v>11.44</v>
      </c>
      <c r="I52">
        <v>0.24</v>
      </c>
      <c r="J52">
        <v>97.94</v>
      </c>
      <c r="K52">
        <v>93.03</v>
      </c>
      <c r="L52">
        <f t="shared" si="3"/>
        <v>1.7065430698969821</v>
      </c>
      <c r="M52">
        <v>0.85866666666666669</v>
      </c>
      <c r="N52" t="str">
        <v>Carolina Hurricanes</v>
      </c>
      <c r="O52">
        <v>51.24</v>
      </c>
      <c r="P52">
        <v>82.86</v>
      </c>
      <c r="Q52">
        <v>20.5</v>
      </c>
      <c r="R52">
        <v>4.0999999999999996</v>
      </c>
      <c r="S52">
        <v>15.37</v>
      </c>
      <c r="T52">
        <v>2.0499999999999998</v>
      </c>
      <c r="U52">
        <v>14.35</v>
      </c>
      <c r="V52">
        <v>1.02</v>
      </c>
      <c r="W52">
        <v>92.86</v>
      </c>
      <c r="X52">
        <v>86</v>
      </c>
      <c r="Y52">
        <f t="shared" si="4"/>
        <v>0.7086377887481925</v>
      </c>
      <c r="Z52">
        <v>0.1085</v>
      </c>
      <c r="AA52">
        <f t="shared" si="5"/>
        <v>2.4151808586451748</v>
      </c>
    </row>
    <row r="53" spans="1:27" x14ac:dyDescent="0.35">
      <c r="A53" t="str">
        <v>Columbus Blue Jackets</v>
      </c>
      <c r="B53">
        <v>29.42</v>
      </c>
      <c r="C53">
        <v>83.46</v>
      </c>
      <c r="D53">
        <v>7.96</v>
      </c>
      <c r="E53">
        <v>1.96</v>
      </c>
      <c r="F53">
        <v>7.38</v>
      </c>
      <c r="G53">
        <v>0.57999999999999996</v>
      </c>
      <c r="H53">
        <v>12.69</v>
      </c>
      <c r="I53">
        <v>0.46</v>
      </c>
      <c r="J53">
        <v>96.36</v>
      </c>
      <c r="K53">
        <v>89.8</v>
      </c>
      <c r="L53">
        <f t="shared" si="3"/>
        <v>2.6146306056849498</v>
      </c>
      <c r="M53">
        <v>0.8666666666666667</v>
      </c>
      <c r="N53" t="str">
        <v>Columbus Blue Jackets</v>
      </c>
      <c r="O53">
        <v>45.64</v>
      </c>
      <c r="P53">
        <v>70</v>
      </c>
      <c r="Q53">
        <v>9.4</v>
      </c>
      <c r="R53">
        <v>4.03</v>
      </c>
      <c r="S53">
        <v>17.45</v>
      </c>
      <c r="T53">
        <v>4.03</v>
      </c>
      <c r="U53">
        <v>18.79</v>
      </c>
      <c r="V53">
        <v>0</v>
      </c>
      <c r="W53">
        <v>100</v>
      </c>
      <c r="X53">
        <v>82.35</v>
      </c>
      <c r="Y53">
        <f t="shared" si="4"/>
        <v>0.53383893749948719</v>
      </c>
      <c r="Z53">
        <v>7.1333333333333332E-2</v>
      </c>
      <c r="AA53">
        <f t="shared" si="5"/>
        <v>3.1484695431844369</v>
      </c>
    </row>
    <row r="54" spans="1:27" x14ac:dyDescent="0.35">
      <c r="A54" t="str">
        <v>Calgary Flames</v>
      </c>
      <c r="B54">
        <v>31.99</v>
      </c>
      <c r="C54">
        <v>83.85</v>
      </c>
      <c r="D54">
        <v>7.79</v>
      </c>
      <c r="E54">
        <v>1.32</v>
      </c>
      <c r="F54">
        <v>7.79</v>
      </c>
      <c r="G54">
        <v>1.2</v>
      </c>
      <c r="H54">
        <v>14.38</v>
      </c>
      <c r="I54">
        <v>0.24</v>
      </c>
      <c r="J54">
        <v>98.33</v>
      </c>
      <c r="K54">
        <v>90.26</v>
      </c>
      <c r="L54">
        <f t="shared" si="3"/>
        <v>2.5564536947322054</v>
      </c>
      <c r="M54">
        <v>0.83416666666666661</v>
      </c>
      <c r="N54" t="str">
        <v>Calgary Flames</v>
      </c>
      <c r="O54">
        <v>40.44</v>
      </c>
      <c r="P54">
        <v>93.33</v>
      </c>
      <c r="Q54">
        <v>11.71</v>
      </c>
      <c r="R54">
        <v>0</v>
      </c>
      <c r="S54">
        <v>20.22</v>
      </c>
      <c r="T54">
        <v>2.13</v>
      </c>
      <c r="U54">
        <v>8.51</v>
      </c>
      <c r="V54">
        <v>1.06</v>
      </c>
      <c r="W54">
        <v>87.5</v>
      </c>
      <c r="X54">
        <v>92.11</v>
      </c>
      <c r="Y54">
        <f t="shared" si="4"/>
        <v>0.26335352410293877</v>
      </c>
      <c r="Z54">
        <v>0.10633333333333334</v>
      </c>
      <c r="AA54">
        <f t="shared" si="5"/>
        <v>2.8198072188351442</v>
      </c>
    </row>
    <row r="55" spans="1:27" x14ac:dyDescent="0.35">
      <c r="A55" t="str">
        <v>Chicago Blackhawks</v>
      </c>
      <c r="B55">
        <v>30.55</v>
      </c>
      <c r="C55">
        <v>85.71</v>
      </c>
      <c r="D55">
        <v>9.32</v>
      </c>
      <c r="E55">
        <v>1.96</v>
      </c>
      <c r="F55">
        <v>8.7100000000000009</v>
      </c>
      <c r="G55">
        <v>0.61</v>
      </c>
      <c r="H55">
        <v>10.18</v>
      </c>
      <c r="I55">
        <v>0.12</v>
      </c>
      <c r="J55">
        <v>98.8</v>
      </c>
      <c r="K55">
        <v>89.96</v>
      </c>
      <c r="L55">
        <f t="shared" si="3"/>
        <v>2.5513071866518731</v>
      </c>
      <c r="M55">
        <v>0.82566666666666666</v>
      </c>
      <c r="N55" t="str">
        <v>Chicago Blackhawks</v>
      </c>
      <c r="O55">
        <v>62.91</v>
      </c>
      <c r="P55">
        <v>83.33</v>
      </c>
      <c r="Q55">
        <v>15.15</v>
      </c>
      <c r="R55">
        <v>2.33</v>
      </c>
      <c r="S55">
        <v>19.809999999999999</v>
      </c>
      <c r="T55">
        <v>3.5</v>
      </c>
      <c r="U55">
        <v>27.96</v>
      </c>
      <c r="V55">
        <v>5.83</v>
      </c>
      <c r="W55">
        <v>79.17</v>
      </c>
      <c r="X55">
        <v>81.48</v>
      </c>
      <c r="Y55">
        <f t="shared" si="4"/>
        <v>0.91093954382994391</v>
      </c>
      <c r="Z55">
        <v>8.483333333333333E-2</v>
      </c>
      <c r="AA55">
        <f t="shared" si="5"/>
        <v>3.4622467304818167</v>
      </c>
    </row>
    <row r="56" spans="1:27" x14ac:dyDescent="0.35">
      <c r="A56" t="str">
        <v>Colorado Avalanche</v>
      </c>
      <c r="B56">
        <v>27.07</v>
      </c>
      <c r="C56">
        <v>85.12</v>
      </c>
      <c r="D56">
        <v>7.32</v>
      </c>
      <c r="E56">
        <v>0.85</v>
      </c>
      <c r="F56">
        <v>7.44</v>
      </c>
      <c r="G56">
        <v>1.34</v>
      </c>
      <c r="H56">
        <v>10.97</v>
      </c>
      <c r="I56">
        <v>0.24</v>
      </c>
      <c r="J56">
        <v>97.78</v>
      </c>
      <c r="K56">
        <v>90.99</v>
      </c>
      <c r="L56">
        <f t="shared" si="3"/>
        <v>2.0096434648494363</v>
      </c>
      <c r="M56">
        <v>0.81866666666666665</v>
      </c>
      <c r="N56" t="str">
        <v>Colorado Avalanche</v>
      </c>
      <c r="O56">
        <v>36.799999999999997</v>
      </c>
      <c r="P56">
        <v>100</v>
      </c>
      <c r="Q56">
        <v>8.8800000000000008</v>
      </c>
      <c r="R56">
        <v>0</v>
      </c>
      <c r="S56">
        <v>5.08</v>
      </c>
      <c r="T56">
        <v>0</v>
      </c>
      <c r="U56">
        <v>22.84</v>
      </c>
      <c r="V56">
        <v>3.81</v>
      </c>
      <c r="W56">
        <v>83.33</v>
      </c>
      <c r="X56">
        <v>89.66</v>
      </c>
      <c r="Y56">
        <f t="shared" si="4"/>
        <v>0.42866480470995943</v>
      </c>
      <c r="Z56">
        <v>9.0666666666666673E-2</v>
      </c>
      <c r="AA56">
        <f t="shared" si="5"/>
        <v>2.4383082695593958</v>
      </c>
    </row>
    <row r="57" spans="1:27" x14ac:dyDescent="0.35">
      <c r="A57" t="str">
        <v>Dallas Stars</v>
      </c>
      <c r="B57">
        <v>28.87</v>
      </c>
      <c r="C57">
        <v>90.83</v>
      </c>
      <c r="D57">
        <v>5.98</v>
      </c>
      <c r="E57">
        <v>0.81</v>
      </c>
      <c r="F57">
        <v>7.82</v>
      </c>
      <c r="G57">
        <v>0.46</v>
      </c>
      <c r="H57">
        <v>13.11</v>
      </c>
      <c r="I57">
        <v>1.1499999999999999</v>
      </c>
      <c r="J57">
        <v>91.23</v>
      </c>
      <c r="K57">
        <v>91.24</v>
      </c>
      <c r="L57">
        <f t="shared" si="3"/>
        <v>2.2396687707198444</v>
      </c>
      <c r="M57">
        <v>0.8683333333333334</v>
      </c>
      <c r="N57" t="str">
        <v>Dallas Stars</v>
      </c>
      <c r="O57">
        <v>54.93</v>
      </c>
      <c r="P57">
        <v>89.47</v>
      </c>
      <c r="Q57">
        <v>14.85</v>
      </c>
      <c r="R57">
        <v>2.97</v>
      </c>
      <c r="S57">
        <v>13.36</v>
      </c>
      <c r="T57">
        <v>0</v>
      </c>
      <c r="U57">
        <v>26.72</v>
      </c>
      <c r="V57">
        <v>1.48</v>
      </c>
      <c r="W57">
        <v>94.44</v>
      </c>
      <c r="X57">
        <v>91.89</v>
      </c>
      <c r="Y57">
        <f t="shared" si="4"/>
        <v>0.31166054243381536</v>
      </c>
      <c r="Z57">
        <v>6.7166666666666666E-2</v>
      </c>
      <c r="AA57">
        <f t="shared" si="5"/>
        <v>2.5513293131536599</v>
      </c>
    </row>
    <row r="58" spans="1:27" x14ac:dyDescent="0.35">
      <c r="A58" t="str">
        <v>Detroit Red Wings</v>
      </c>
      <c r="B58">
        <v>30.95</v>
      </c>
      <c r="C58">
        <v>86.15</v>
      </c>
      <c r="D58">
        <v>5.66</v>
      </c>
      <c r="E58">
        <v>1.04</v>
      </c>
      <c r="F58">
        <v>9.35</v>
      </c>
      <c r="G58">
        <v>1.04</v>
      </c>
      <c r="H58">
        <v>14.67</v>
      </c>
      <c r="I58">
        <v>0.57999999999999996</v>
      </c>
      <c r="J58">
        <v>96.06</v>
      </c>
      <c r="K58">
        <v>90.67</v>
      </c>
      <c r="L58">
        <f t="shared" si="3"/>
        <v>2.5213933897453717</v>
      </c>
      <c r="M58">
        <v>0.87616666666666665</v>
      </c>
      <c r="N58" t="str">
        <v>Detroit Red Wings</v>
      </c>
      <c r="O58">
        <v>48.56</v>
      </c>
      <c r="P58">
        <v>76.19</v>
      </c>
      <c r="Q58">
        <v>16.739999999999998</v>
      </c>
      <c r="R58">
        <v>3.35</v>
      </c>
      <c r="S58">
        <v>18.420000000000002</v>
      </c>
      <c r="T58">
        <v>5.0199999999999996</v>
      </c>
      <c r="U58">
        <v>13.4</v>
      </c>
      <c r="V58">
        <v>1.67</v>
      </c>
      <c r="W58">
        <v>87.5</v>
      </c>
      <c r="X58">
        <v>79.31</v>
      </c>
      <c r="Y58">
        <f t="shared" si="4"/>
        <v>0.64942341045915219</v>
      </c>
      <c r="Z58">
        <v>7.2499999999999995E-2</v>
      </c>
      <c r="AA58">
        <f t="shared" si="5"/>
        <v>3.1708168002045238</v>
      </c>
    </row>
    <row r="59" spans="1:27" x14ac:dyDescent="0.35">
      <c r="A59" t="str">
        <v>Edmonton Oilers</v>
      </c>
      <c r="B59">
        <v>31.26</v>
      </c>
      <c r="C59">
        <v>86.86</v>
      </c>
      <c r="D59">
        <v>7.61</v>
      </c>
      <c r="E59">
        <v>1.31</v>
      </c>
      <c r="F59">
        <v>8.68</v>
      </c>
      <c r="G59">
        <v>0.83</v>
      </c>
      <c r="H59">
        <v>13.07</v>
      </c>
      <c r="I59">
        <v>0.12</v>
      </c>
      <c r="J59">
        <v>99.09</v>
      </c>
      <c r="K59">
        <v>92.78</v>
      </c>
      <c r="L59">
        <f t="shared" si="3"/>
        <v>1.9060850913247649</v>
      </c>
      <c r="M59">
        <v>0.83816666666666662</v>
      </c>
      <c r="N59" t="str">
        <v>Edmonton Oilers</v>
      </c>
      <c r="O59">
        <v>56.27</v>
      </c>
      <c r="P59">
        <v>91.3</v>
      </c>
      <c r="Q59">
        <v>14.07</v>
      </c>
      <c r="R59">
        <v>1.41</v>
      </c>
      <c r="S59">
        <v>18.29</v>
      </c>
      <c r="T59">
        <v>1.41</v>
      </c>
      <c r="U59">
        <v>23.92</v>
      </c>
      <c r="V59">
        <v>1.41</v>
      </c>
      <c r="W59">
        <v>94.12</v>
      </c>
      <c r="X59">
        <v>92.5</v>
      </c>
      <c r="Y59">
        <f t="shared" si="4"/>
        <v>0.30092808004014648</v>
      </c>
      <c r="Z59">
        <v>6.933333333333333E-2</v>
      </c>
      <c r="AA59">
        <f t="shared" si="5"/>
        <v>2.2070131713649115</v>
      </c>
    </row>
    <row r="60" spans="1:27" x14ac:dyDescent="0.35">
      <c r="A60" t="str">
        <v>Florida Panthers</v>
      </c>
      <c r="B60">
        <v>30.77</v>
      </c>
      <c r="C60">
        <v>84.5</v>
      </c>
      <c r="D60">
        <v>7.42</v>
      </c>
      <c r="E60">
        <v>1.95</v>
      </c>
      <c r="F60">
        <v>8.27</v>
      </c>
      <c r="G60">
        <v>0.49</v>
      </c>
      <c r="H60">
        <v>14.11</v>
      </c>
      <c r="I60">
        <v>0.49</v>
      </c>
      <c r="J60">
        <v>96.55</v>
      </c>
      <c r="K60">
        <v>90.51</v>
      </c>
      <c r="L60">
        <f t="shared" si="3"/>
        <v>2.4040675567847001</v>
      </c>
      <c r="M60">
        <v>0.82000000000000006</v>
      </c>
      <c r="N60" t="str">
        <v>Florida Panthers</v>
      </c>
      <c r="O60">
        <v>49.3</v>
      </c>
      <c r="P60">
        <v>83.33</v>
      </c>
      <c r="Q60">
        <v>13.76</v>
      </c>
      <c r="R60">
        <v>4.59</v>
      </c>
      <c r="S60">
        <v>13.76</v>
      </c>
      <c r="T60">
        <v>0</v>
      </c>
      <c r="U60">
        <v>20.64</v>
      </c>
      <c r="V60">
        <v>2.29</v>
      </c>
      <c r="W60">
        <v>88.89</v>
      </c>
      <c r="X60">
        <v>86.05</v>
      </c>
      <c r="Y60">
        <f t="shared" si="4"/>
        <v>0.56080774250862742</v>
      </c>
      <c r="Z60">
        <v>8.5666666666666655E-2</v>
      </c>
      <c r="AA60">
        <f t="shared" si="5"/>
        <v>2.9648752992933276</v>
      </c>
    </row>
    <row r="61" spans="1:27" x14ac:dyDescent="0.35">
      <c r="A61" t="str">
        <v>Los Angeles Kings</v>
      </c>
      <c r="B61">
        <v>31.17</v>
      </c>
      <c r="C61">
        <v>85.16</v>
      </c>
      <c r="D61">
        <v>8.77</v>
      </c>
      <c r="E61">
        <v>2.13</v>
      </c>
      <c r="F61">
        <v>9.6</v>
      </c>
      <c r="G61">
        <v>0.59</v>
      </c>
      <c r="H61">
        <v>11.38</v>
      </c>
      <c r="I61">
        <v>0.24</v>
      </c>
      <c r="J61">
        <v>97.92</v>
      </c>
      <c r="K61">
        <v>90.11</v>
      </c>
      <c r="L61">
        <f t="shared" si="3"/>
        <v>2.6548909834711019</v>
      </c>
      <c r="M61">
        <v>0.85633333333333339</v>
      </c>
      <c r="N61" t="str">
        <v>Los Angeles Kings</v>
      </c>
      <c r="O61">
        <v>65.64</v>
      </c>
      <c r="P61">
        <v>100</v>
      </c>
      <c r="Q61">
        <v>9.01</v>
      </c>
      <c r="R61">
        <v>0</v>
      </c>
      <c r="S61">
        <v>24.45</v>
      </c>
      <c r="T61">
        <v>0</v>
      </c>
      <c r="U61">
        <v>32.18</v>
      </c>
      <c r="V61">
        <v>0</v>
      </c>
      <c r="W61">
        <v>100</v>
      </c>
      <c r="X61">
        <v>100</v>
      </c>
      <c r="Y61">
        <f t="shared" si="4"/>
        <v>0.11839429807102077</v>
      </c>
      <c r="Z61">
        <v>9.0000000000000011E-2</v>
      </c>
      <c r="AA61">
        <f t="shared" si="5"/>
        <v>2.7732852815421225</v>
      </c>
    </row>
    <row r="62" spans="1:27" x14ac:dyDescent="0.35">
      <c r="A62" t="str">
        <v>Minnesota Wild</v>
      </c>
      <c r="B62">
        <v>31.95</v>
      </c>
      <c r="C62">
        <v>83.55</v>
      </c>
      <c r="D62">
        <v>8.6199999999999992</v>
      </c>
      <c r="E62">
        <v>1.8</v>
      </c>
      <c r="F62">
        <v>9.57</v>
      </c>
      <c r="G62">
        <v>1.2</v>
      </c>
      <c r="H62">
        <v>13.16</v>
      </c>
      <c r="I62">
        <v>0.24</v>
      </c>
      <c r="J62">
        <v>98.18</v>
      </c>
      <c r="K62">
        <v>89.89</v>
      </c>
      <c r="L62">
        <f t="shared" si="3"/>
        <v>2.7108401237958279</v>
      </c>
      <c r="M62">
        <v>0.83466666666666667</v>
      </c>
      <c r="N62" t="str">
        <v>Minnesota Wild</v>
      </c>
      <c r="O62">
        <v>67.95</v>
      </c>
      <c r="P62">
        <v>85.19</v>
      </c>
      <c r="Q62">
        <v>14.1</v>
      </c>
      <c r="R62">
        <v>2.56</v>
      </c>
      <c r="S62">
        <v>20.51</v>
      </c>
      <c r="T62">
        <v>2.56</v>
      </c>
      <c r="U62">
        <v>33.33</v>
      </c>
      <c r="V62">
        <v>2.56</v>
      </c>
      <c r="W62">
        <v>92.31</v>
      </c>
      <c r="X62">
        <v>88.68</v>
      </c>
      <c r="Y62">
        <f t="shared" si="4"/>
        <v>0.67491015169036883</v>
      </c>
      <c r="Z62">
        <v>9.0166666666666673E-2</v>
      </c>
      <c r="AA62">
        <f t="shared" si="5"/>
        <v>3.3857502754861968</v>
      </c>
    </row>
    <row r="63" spans="1:27" x14ac:dyDescent="0.35">
      <c r="A63" t="str">
        <v>Montreal Canadiens</v>
      </c>
      <c r="B63">
        <v>28.38</v>
      </c>
      <c r="C63">
        <v>84.62</v>
      </c>
      <c r="D63">
        <v>7.47</v>
      </c>
      <c r="E63">
        <v>1.52</v>
      </c>
      <c r="F63">
        <v>7.71</v>
      </c>
      <c r="G63">
        <v>0.82</v>
      </c>
      <c r="H63">
        <v>11.91</v>
      </c>
      <c r="I63">
        <v>0</v>
      </c>
      <c r="J63">
        <v>100</v>
      </c>
      <c r="K63">
        <v>91.77</v>
      </c>
      <c r="L63">
        <f t="shared" si="3"/>
        <v>2.0095548381121544</v>
      </c>
      <c r="M63">
        <v>0.85383333333333333</v>
      </c>
      <c r="N63" t="str">
        <v>Montreal Canadiens</v>
      </c>
      <c r="O63">
        <v>73.66</v>
      </c>
      <c r="P63">
        <v>85.71</v>
      </c>
      <c r="Q63">
        <v>23.38</v>
      </c>
      <c r="R63">
        <v>3.51</v>
      </c>
      <c r="S63">
        <v>25.72</v>
      </c>
      <c r="T63">
        <v>3.51</v>
      </c>
      <c r="U63">
        <v>24.55</v>
      </c>
      <c r="V63">
        <v>2.34</v>
      </c>
      <c r="W63">
        <v>90.48</v>
      </c>
      <c r="X63">
        <v>87.3</v>
      </c>
      <c r="Y63">
        <f t="shared" si="4"/>
        <v>0.70773787966524138</v>
      </c>
      <c r="Z63">
        <v>8.4666666666666668E-2</v>
      </c>
      <c r="AA63">
        <f t="shared" si="5"/>
        <v>2.7172927177773958</v>
      </c>
    </row>
    <row r="64" spans="1:27" x14ac:dyDescent="0.35">
      <c r="A64" t="str">
        <v>New Jersey Devils</v>
      </c>
      <c r="B64">
        <v>33.159999999999997</v>
      </c>
      <c r="C64">
        <v>89.44</v>
      </c>
      <c r="D64">
        <v>8.5299999999999994</v>
      </c>
      <c r="E64">
        <v>0.83</v>
      </c>
      <c r="F64">
        <v>8.2899999999999991</v>
      </c>
      <c r="G64">
        <v>0.95</v>
      </c>
      <c r="H64">
        <v>15.39</v>
      </c>
      <c r="I64">
        <v>0.24</v>
      </c>
      <c r="J64">
        <v>98.46</v>
      </c>
      <c r="K64">
        <v>93.93</v>
      </c>
      <c r="L64">
        <f t="shared" si="3"/>
        <v>1.75566673791016</v>
      </c>
      <c r="M64">
        <v>0.85666666666666669</v>
      </c>
      <c r="N64" t="str">
        <v>New Jersey Devils</v>
      </c>
      <c r="O64">
        <v>71.040000000000006</v>
      </c>
      <c r="P64">
        <v>75.680000000000007</v>
      </c>
      <c r="Q64">
        <v>26.64</v>
      </c>
      <c r="R64">
        <v>8.8800000000000008</v>
      </c>
      <c r="S64">
        <v>20.3</v>
      </c>
      <c r="T64">
        <v>2.54</v>
      </c>
      <c r="U64">
        <v>24.1</v>
      </c>
      <c r="V64">
        <v>2.54</v>
      </c>
      <c r="W64">
        <v>89.47</v>
      </c>
      <c r="X64">
        <v>80.36</v>
      </c>
      <c r="Y64">
        <f t="shared" si="4"/>
        <v>1.0824847880165753</v>
      </c>
      <c r="Z64">
        <v>9.0666666666666673E-2</v>
      </c>
      <c r="AA64">
        <f t="shared" si="5"/>
        <v>2.8381515259267354</v>
      </c>
    </row>
    <row r="65" spans="1:27" x14ac:dyDescent="0.35">
      <c r="A65" t="str">
        <v>Nashville Predators</v>
      </c>
      <c r="B65">
        <v>33.11</v>
      </c>
      <c r="C65">
        <v>89.58</v>
      </c>
      <c r="D65">
        <v>8.4499999999999993</v>
      </c>
      <c r="E65">
        <v>1.41</v>
      </c>
      <c r="F65">
        <v>8.4499999999999993</v>
      </c>
      <c r="G65">
        <v>0.35</v>
      </c>
      <c r="H65">
        <v>15.26</v>
      </c>
      <c r="I65">
        <v>0.59</v>
      </c>
      <c r="J65">
        <v>96.15</v>
      </c>
      <c r="K65">
        <v>92.2</v>
      </c>
      <c r="L65">
        <f t="shared" si="3"/>
        <v>2.2059105328856821</v>
      </c>
      <c r="M65">
        <v>0.85100000000000009</v>
      </c>
      <c r="N65" t="str">
        <v>Nashville Predators</v>
      </c>
      <c r="O65">
        <v>57.14</v>
      </c>
      <c r="P65">
        <v>78.13</v>
      </c>
      <c r="Q65">
        <v>19.78</v>
      </c>
      <c r="R65">
        <v>4.4000000000000004</v>
      </c>
      <c r="S65">
        <v>15.38</v>
      </c>
      <c r="T65">
        <v>3.3</v>
      </c>
      <c r="U65">
        <v>21.98</v>
      </c>
      <c r="V65">
        <v>0</v>
      </c>
      <c r="W65">
        <v>100</v>
      </c>
      <c r="X65">
        <v>86.54</v>
      </c>
      <c r="Y65">
        <f t="shared" si="4"/>
        <v>0.62173202111995562</v>
      </c>
      <c r="Z65">
        <v>8.8000000000000009E-2</v>
      </c>
      <c r="AA65">
        <f t="shared" si="5"/>
        <v>2.8276425540056378</v>
      </c>
    </row>
    <row r="66" spans="1:27" x14ac:dyDescent="0.35">
      <c r="A66" t="str">
        <v>New York Islanders</v>
      </c>
      <c r="B66">
        <v>26.12</v>
      </c>
      <c r="C66">
        <v>89.91</v>
      </c>
      <c r="D66">
        <v>5.64</v>
      </c>
      <c r="E66">
        <v>0.92</v>
      </c>
      <c r="F66">
        <v>6.9</v>
      </c>
      <c r="G66">
        <v>0.35</v>
      </c>
      <c r="H66">
        <v>12.77</v>
      </c>
      <c r="I66">
        <v>0.12</v>
      </c>
      <c r="J66">
        <v>99.1</v>
      </c>
      <c r="K66">
        <v>94.71</v>
      </c>
      <c r="L66">
        <f t="shared" si="3"/>
        <v>1.1401881638257563</v>
      </c>
      <c r="M66">
        <v>0.86799999999999999</v>
      </c>
      <c r="N66" t="str">
        <v>New York Islanders</v>
      </c>
      <c r="O66">
        <v>54.39</v>
      </c>
      <c r="P66">
        <v>80</v>
      </c>
      <c r="Q66">
        <v>10.119999999999999</v>
      </c>
      <c r="R66">
        <v>2.5299999999999998</v>
      </c>
      <c r="S66">
        <v>15.18</v>
      </c>
      <c r="T66">
        <v>2.5299999999999998</v>
      </c>
      <c r="U66">
        <v>29.09</v>
      </c>
      <c r="V66">
        <v>1.26</v>
      </c>
      <c r="W66">
        <v>95.65</v>
      </c>
      <c r="X66">
        <v>88.37</v>
      </c>
      <c r="Y66">
        <f t="shared" si="4"/>
        <v>0.55080616791036552</v>
      </c>
      <c r="Z66">
        <v>9.0833333333333335E-2</v>
      </c>
      <c r="AA66">
        <f t="shared" si="5"/>
        <v>1.6909943317361218</v>
      </c>
    </row>
    <row r="67" spans="1:27" x14ac:dyDescent="0.35">
      <c r="A67" t="str">
        <v>New York Rangers</v>
      </c>
      <c r="B67">
        <v>27.31</v>
      </c>
      <c r="C67">
        <v>87.5</v>
      </c>
      <c r="D67">
        <v>5.41</v>
      </c>
      <c r="E67">
        <v>1.01</v>
      </c>
      <c r="F67">
        <v>7.68</v>
      </c>
      <c r="G67">
        <v>0.63</v>
      </c>
      <c r="H67">
        <v>12.71</v>
      </c>
      <c r="I67">
        <v>0.76</v>
      </c>
      <c r="J67">
        <v>94.06</v>
      </c>
      <c r="K67">
        <v>90.78</v>
      </c>
      <c r="L67">
        <f t="shared" si="3"/>
        <v>2.0523499714122688</v>
      </c>
      <c r="M67">
        <v>0.80683333333333329</v>
      </c>
      <c r="N67" t="str">
        <v>New York Rangers</v>
      </c>
      <c r="O67">
        <v>40.590000000000003</v>
      </c>
      <c r="P67">
        <v>90.48</v>
      </c>
      <c r="Q67">
        <v>8.91</v>
      </c>
      <c r="R67">
        <v>1.98</v>
      </c>
      <c r="S67">
        <v>11.88</v>
      </c>
      <c r="T67">
        <v>0</v>
      </c>
      <c r="U67">
        <v>19.8</v>
      </c>
      <c r="V67">
        <v>0.99</v>
      </c>
      <c r="W67">
        <v>95</v>
      </c>
      <c r="X67">
        <v>92.68</v>
      </c>
      <c r="Y67">
        <f t="shared" si="4"/>
        <v>0.31170589045748642</v>
      </c>
      <c r="Z67">
        <v>0.10066666666666667</v>
      </c>
      <c r="AA67">
        <f t="shared" si="5"/>
        <v>2.3640558618697551</v>
      </c>
    </row>
    <row r="68" spans="1:27" x14ac:dyDescent="0.35">
      <c r="A68" t="str">
        <v>Ottawa Senators</v>
      </c>
      <c r="B68">
        <v>31.75</v>
      </c>
      <c r="C68">
        <v>80.98</v>
      </c>
      <c r="D68">
        <v>10.47</v>
      </c>
      <c r="E68">
        <v>1.53</v>
      </c>
      <c r="F68">
        <v>8.6999999999999993</v>
      </c>
      <c r="G68">
        <v>2.12</v>
      </c>
      <c r="H68">
        <v>12.23</v>
      </c>
      <c r="I68">
        <v>0.35</v>
      </c>
      <c r="J68">
        <v>97.12</v>
      </c>
      <c r="K68">
        <v>87.41</v>
      </c>
      <c r="L68">
        <f t="shared" si="3"/>
        <v>3.4330782554211465</v>
      </c>
      <c r="M68">
        <v>0.85016666666666663</v>
      </c>
      <c r="N68" t="str">
        <v>Ottawa Senators</v>
      </c>
      <c r="O68">
        <v>54.38</v>
      </c>
      <c r="P68">
        <v>73.53</v>
      </c>
      <c r="Q68">
        <v>23.3</v>
      </c>
      <c r="R68">
        <v>6.66</v>
      </c>
      <c r="S68">
        <v>14.43</v>
      </c>
      <c r="T68">
        <v>3.33</v>
      </c>
      <c r="U68">
        <v>15.54</v>
      </c>
      <c r="V68">
        <v>1.1100000000000001</v>
      </c>
      <c r="W68">
        <v>92.86</v>
      </c>
      <c r="X68">
        <v>79.59</v>
      </c>
      <c r="Y68">
        <f t="shared" si="4"/>
        <v>0.86312000428732216</v>
      </c>
      <c r="Z68">
        <v>8.7333333333333332E-2</v>
      </c>
      <c r="AA68">
        <f t="shared" si="5"/>
        <v>4.2961982597084685</v>
      </c>
    </row>
    <row r="69" spans="1:27" x14ac:dyDescent="0.35">
      <c r="A69" t="str">
        <v>Philadelphia Flyers</v>
      </c>
      <c r="B69">
        <v>27.29</v>
      </c>
      <c r="C69">
        <v>78.13</v>
      </c>
      <c r="D69">
        <v>8.57</v>
      </c>
      <c r="E69">
        <v>2.0499999999999998</v>
      </c>
      <c r="F69">
        <v>6.88</v>
      </c>
      <c r="G69">
        <v>1.33</v>
      </c>
      <c r="H69">
        <v>10.63</v>
      </c>
      <c r="I69">
        <v>0.6</v>
      </c>
      <c r="J69">
        <v>94.32</v>
      </c>
      <c r="K69">
        <v>84.96</v>
      </c>
      <c r="L69">
        <f t="shared" si="3"/>
        <v>3.5557757861179553</v>
      </c>
      <c r="M69">
        <v>0.84033333333333338</v>
      </c>
      <c r="N69" t="str">
        <v>Philadelphia Flyers</v>
      </c>
      <c r="O69">
        <v>50.49</v>
      </c>
      <c r="P69">
        <v>78.569999999999993</v>
      </c>
      <c r="Q69">
        <v>23.98</v>
      </c>
      <c r="R69">
        <v>7.57</v>
      </c>
      <c r="S69">
        <v>11.36</v>
      </c>
      <c r="T69">
        <v>0</v>
      </c>
      <c r="U69">
        <v>15.15</v>
      </c>
      <c r="V69">
        <v>0</v>
      </c>
      <c r="W69">
        <v>100</v>
      </c>
      <c r="X69">
        <v>85</v>
      </c>
      <c r="Y69">
        <f t="shared" si="4"/>
        <v>0.64384644062170604</v>
      </c>
      <c r="Z69">
        <v>9.0833333333333335E-2</v>
      </c>
      <c r="AA69">
        <f t="shared" si="5"/>
        <v>4.1996222267396615</v>
      </c>
    </row>
    <row r="70" spans="1:27" x14ac:dyDescent="0.35">
      <c r="A70" t="str">
        <v>Pittsburgh Penguins</v>
      </c>
      <c r="B70">
        <v>28.18</v>
      </c>
      <c r="C70">
        <v>89.29</v>
      </c>
      <c r="D70">
        <v>8.8699999999999992</v>
      </c>
      <c r="E70">
        <v>1.46</v>
      </c>
      <c r="F70">
        <v>6.85</v>
      </c>
      <c r="G70">
        <v>0.22</v>
      </c>
      <c r="H70">
        <v>10.78</v>
      </c>
      <c r="I70">
        <v>0.22</v>
      </c>
      <c r="J70">
        <v>97.92</v>
      </c>
      <c r="K70">
        <v>92.83</v>
      </c>
      <c r="L70">
        <f t="shared" si="3"/>
        <v>1.7823694154776681</v>
      </c>
      <c r="M70">
        <v>0.88783333333333336</v>
      </c>
      <c r="N70" t="str">
        <v>Pittsburgh Penguins</v>
      </c>
      <c r="O70">
        <v>28.62</v>
      </c>
      <c r="P70">
        <v>57.14</v>
      </c>
      <c r="Q70">
        <v>15.06</v>
      </c>
      <c r="R70">
        <v>7.53</v>
      </c>
      <c r="S70">
        <v>6.03</v>
      </c>
      <c r="T70">
        <v>1.51</v>
      </c>
      <c r="U70">
        <v>7.53</v>
      </c>
      <c r="V70">
        <v>1.51</v>
      </c>
      <c r="W70">
        <v>80</v>
      </c>
      <c r="X70">
        <v>63.16</v>
      </c>
      <c r="Y70">
        <f t="shared" si="4"/>
        <v>0.85136169483474688</v>
      </c>
      <c r="Z70">
        <v>7.6499999999999999E-2</v>
      </c>
      <c r="AA70">
        <f t="shared" si="5"/>
        <v>2.6337311103124152</v>
      </c>
    </row>
    <row r="71" spans="1:27" x14ac:dyDescent="0.35">
      <c r="A71" t="str">
        <v>San Jose Sharks</v>
      </c>
      <c r="B71">
        <v>31.21</v>
      </c>
      <c r="C71">
        <v>88.32</v>
      </c>
      <c r="D71">
        <v>7.6</v>
      </c>
      <c r="E71">
        <v>1.25</v>
      </c>
      <c r="F71">
        <v>7.94</v>
      </c>
      <c r="G71">
        <v>0.56999999999999995</v>
      </c>
      <c r="H71">
        <v>13.39</v>
      </c>
      <c r="I71">
        <v>0.45</v>
      </c>
      <c r="J71">
        <v>96.61</v>
      </c>
      <c r="K71">
        <v>92.73</v>
      </c>
      <c r="L71">
        <f t="shared" si="3"/>
        <v>2.0452021801517128</v>
      </c>
      <c r="M71">
        <v>0.89200000000000002</v>
      </c>
      <c r="N71" t="str">
        <v>San Jose Sharks</v>
      </c>
      <c r="O71">
        <v>59.12</v>
      </c>
      <c r="P71">
        <v>77.14</v>
      </c>
      <c r="Q71">
        <v>14.78</v>
      </c>
      <c r="R71">
        <v>5.28</v>
      </c>
      <c r="S71">
        <v>22.17</v>
      </c>
      <c r="T71">
        <v>3.17</v>
      </c>
      <c r="U71">
        <v>21.11</v>
      </c>
      <c r="V71">
        <v>1.06</v>
      </c>
      <c r="W71">
        <v>95</v>
      </c>
      <c r="X71">
        <v>83.93</v>
      </c>
      <c r="Y71">
        <f t="shared" si="4"/>
        <v>0.912236653279205</v>
      </c>
      <c r="Z71">
        <v>0.10683333333333334</v>
      </c>
      <c r="AA71">
        <f t="shared" si="5"/>
        <v>2.9574388334309178</v>
      </c>
    </row>
    <row r="72" spans="1:27" x14ac:dyDescent="0.35">
      <c r="A72" t="str">
        <v>St Louis Blues</v>
      </c>
      <c r="B72">
        <v>27.81</v>
      </c>
      <c r="C72">
        <v>85.71</v>
      </c>
      <c r="D72">
        <v>7.98</v>
      </c>
      <c r="E72">
        <v>1.48</v>
      </c>
      <c r="F72">
        <v>7.18</v>
      </c>
      <c r="G72">
        <v>0.68</v>
      </c>
      <c r="H72">
        <v>11.4</v>
      </c>
      <c r="I72">
        <v>0.34</v>
      </c>
      <c r="J72">
        <v>97</v>
      </c>
      <c r="K72">
        <v>90.57</v>
      </c>
      <c r="L72">
        <f t="shared" si="3"/>
        <v>2.3455714513203212</v>
      </c>
      <c r="M72">
        <v>0.88983333333333337</v>
      </c>
      <c r="N72" t="str">
        <v>St Louis Blues</v>
      </c>
      <c r="O72">
        <v>74.28</v>
      </c>
      <c r="P72">
        <v>77.14</v>
      </c>
      <c r="Q72">
        <v>30.74</v>
      </c>
      <c r="R72">
        <v>10.25</v>
      </c>
      <c r="S72">
        <v>14.09</v>
      </c>
      <c r="T72">
        <v>0</v>
      </c>
      <c r="U72">
        <v>29.46</v>
      </c>
      <c r="V72">
        <v>2.56</v>
      </c>
      <c r="W72">
        <v>91.3</v>
      </c>
      <c r="X72">
        <v>82.76</v>
      </c>
      <c r="Y72">
        <f t="shared" si="4"/>
        <v>1.0115156530517844</v>
      </c>
      <c r="Z72">
        <v>9.0166666666666673E-2</v>
      </c>
      <c r="AA72">
        <f t="shared" si="5"/>
        <v>3.3570871043721056</v>
      </c>
    </row>
    <row r="73" spans="1:27" x14ac:dyDescent="0.35">
      <c r="A73" t="str">
        <v>Tampa Bay Lightning</v>
      </c>
      <c r="B73">
        <v>26.67</v>
      </c>
      <c r="C73">
        <v>86.18</v>
      </c>
      <c r="D73">
        <v>8.57</v>
      </c>
      <c r="E73">
        <v>1.43</v>
      </c>
      <c r="F73">
        <v>6.07</v>
      </c>
      <c r="G73">
        <v>0.6</v>
      </c>
      <c r="H73">
        <v>10.24</v>
      </c>
      <c r="I73">
        <v>0.36</v>
      </c>
      <c r="J73">
        <v>96.51</v>
      </c>
      <c r="K73">
        <v>91.07</v>
      </c>
      <c r="L73">
        <f t="shared" si="3"/>
        <v>2.0113721171587655</v>
      </c>
      <c r="M73">
        <v>0.83733333333333337</v>
      </c>
      <c r="N73" t="str">
        <v>Tampa Bay Lightning</v>
      </c>
      <c r="O73">
        <v>37.32</v>
      </c>
      <c r="P73">
        <v>76</v>
      </c>
      <c r="Q73">
        <v>12.07</v>
      </c>
      <c r="R73">
        <v>5.49</v>
      </c>
      <c r="S73">
        <v>15.37</v>
      </c>
      <c r="T73">
        <v>1.1000000000000001</v>
      </c>
      <c r="U73">
        <v>9.8800000000000008</v>
      </c>
      <c r="V73">
        <v>0</v>
      </c>
      <c r="W73">
        <v>100</v>
      </c>
      <c r="X73">
        <v>82.35</v>
      </c>
      <c r="Y73">
        <f t="shared" si="4"/>
        <v>0.58444724169863616</v>
      </c>
      <c r="Z73">
        <v>8.8000000000000009E-2</v>
      </c>
      <c r="AA73">
        <f t="shared" si="5"/>
        <v>2.5958193588574017</v>
      </c>
    </row>
    <row r="74" spans="1:27" x14ac:dyDescent="0.35">
      <c r="A74" t="str">
        <v>Toronto Maple Leafs</v>
      </c>
      <c r="B74">
        <v>30.26</v>
      </c>
      <c r="C74">
        <v>85.34</v>
      </c>
      <c r="D74">
        <v>8.16</v>
      </c>
      <c r="E74">
        <v>1.59</v>
      </c>
      <c r="F74">
        <v>4.99</v>
      </c>
      <c r="G74">
        <v>0.34</v>
      </c>
      <c r="H74">
        <v>15.87</v>
      </c>
      <c r="I74">
        <v>0</v>
      </c>
      <c r="J74">
        <v>100</v>
      </c>
      <c r="K74">
        <v>93.63</v>
      </c>
      <c r="L74">
        <f t="shared" si="3"/>
        <v>1.6614813513486375</v>
      </c>
      <c r="M74">
        <v>0.89266666666666672</v>
      </c>
      <c r="N74" t="str">
        <v>Toronto Maple Leafs</v>
      </c>
      <c r="O74">
        <v>51.77</v>
      </c>
      <c r="P74">
        <v>70</v>
      </c>
      <c r="Q74">
        <v>20.71</v>
      </c>
      <c r="R74">
        <v>6.9</v>
      </c>
      <c r="S74">
        <v>13.81</v>
      </c>
      <c r="T74">
        <v>3.45</v>
      </c>
      <c r="U74">
        <v>17.260000000000002</v>
      </c>
      <c r="V74">
        <v>1.73</v>
      </c>
      <c r="W74">
        <v>90</v>
      </c>
      <c r="X74">
        <v>76.67</v>
      </c>
      <c r="Y74">
        <f t="shared" si="4"/>
        <v>0.59217192608011182</v>
      </c>
      <c r="Z74">
        <v>5.4833333333333331E-2</v>
      </c>
      <c r="AA74">
        <f t="shared" si="5"/>
        <v>2.2536532774287492</v>
      </c>
    </row>
    <row r="75" spans="1:27" x14ac:dyDescent="0.35">
      <c r="A75" t="str">
        <v>Vancouver Canucks</v>
      </c>
      <c r="B75">
        <v>34.159999999999997</v>
      </c>
      <c r="C75">
        <v>87.36</v>
      </c>
      <c r="D75">
        <v>8.68</v>
      </c>
      <c r="E75">
        <v>1.71</v>
      </c>
      <c r="F75">
        <v>11.2</v>
      </c>
      <c r="G75">
        <v>0.8</v>
      </c>
      <c r="H75">
        <v>13.59</v>
      </c>
      <c r="I75">
        <v>0.23</v>
      </c>
      <c r="J75">
        <v>98.32</v>
      </c>
      <c r="K75">
        <v>91.64</v>
      </c>
      <c r="L75">
        <f t="shared" si="3"/>
        <v>2.5227020779138387</v>
      </c>
      <c r="M75">
        <v>0.88850000000000007</v>
      </c>
      <c r="N75" t="str">
        <v>Vancouver Canucks</v>
      </c>
      <c r="O75">
        <v>39.21</v>
      </c>
      <c r="P75">
        <v>82.35</v>
      </c>
      <c r="Q75">
        <v>8.58</v>
      </c>
      <c r="R75">
        <v>2.4500000000000002</v>
      </c>
      <c r="S75">
        <v>12.25</v>
      </c>
      <c r="T75">
        <v>1.23</v>
      </c>
      <c r="U75">
        <v>18.38</v>
      </c>
      <c r="V75">
        <v>3.68</v>
      </c>
      <c r="W75">
        <v>80</v>
      </c>
      <c r="X75">
        <v>81.25</v>
      </c>
      <c r="Y75">
        <f t="shared" si="4"/>
        <v>0.66878182004237174</v>
      </c>
      <c r="Z75">
        <v>9.2333333333333337E-2</v>
      </c>
      <c r="AA75">
        <f t="shared" si="5"/>
        <v>3.1914838979562106</v>
      </c>
    </row>
    <row r="76" spans="1:27" x14ac:dyDescent="0.35">
      <c r="A76" t="str">
        <v>Vegas Golden Knights</v>
      </c>
      <c r="B76">
        <v>27.95</v>
      </c>
      <c r="C76">
        <v>88.44</v>
      </c>
      <c r="D76">
        <v>8.89</v>
      </c>
      <c r="E76">
        <v>1.27</v>
      </c>
      <c r="F76">
        <v>8.08</v>
      </c>
      <c r="G76">
        <v>0.69</v>
      </c>
      <c r="H76">
        <v>9.6999999999999993</v>
      </c>
      <c r="I76">
        <v>0</v>
      </c>
      <c r="J76">
        <v>100</v>
      </c>
      <c r="K76">
        <v>92.98</v>
      </c>
      <c r="L76">
        <f t="shared" si="3"/>
        <v>1.7456727446018985</v>
      </c>
      <c r="M76">
        <v>0.87616666666666665</v>
      </c>
      <c r="N76" t="str">
        <v>Vegas Golden Knights</v>
      </c>
      <c r="O76">
        <v>52.72</v>
      </c>
      <c r="P76">
        <v>75</v>
      </c>
      <c r="Q76">
        <v>16.48</v>
      </c>
      <c r="R76">
        <v>4.9400000000000004</v>
      </c>
      <c r="S76">
        <v>9.89</v>
      </c>
      <c r="T76">
        <v>1.65</v>
      </c>
      <c r="U76">
        <v>26.36</v>
      </c>
      <c r="V76">
        <v>1.65</v>
      </c>
      <c r="W76">
        <v>93.75</v>
      </c>
      <c r="X76">
        <v>84.38</v>
      </c>
      <c r="Y76">
        <f t="shared" si="4"/>
        <v>0.55922158998568683</v>
      </c>
      <c r="Z76">
        <v>7.3166666666666658E-2</v>
      </c>
      <c r="AA76">
        <f t="shared" si="5"/>
        <v>2.3048943345875852</v>
      </c>
    </row>
    <row r="77" spans="1:27" x14ac:dyDescent="0.35">
      <c r="A77" t="str">
        <v>Winnipeg Jets</v>
      </c>
      <c r="B77">
        <v>31.15</v>
      </c>
      <c r="C77">
        <v>87.12</v>
      </c>
      <c r="D77">
        <v>9.33</v>
      </c>
      <c r="E77">
        <v>1.35</v>
      </c>
      <c r="F77">
        <v>9</v>
      </c>
      <c r="G77">
        <v>1.01</v>
      </c>
      <c r="H77">
        <v>11.81</v>
      </c>
      <c r="I77">
        <v>0.22</v>
      </c>
      <c r="J77">
        <v>98.1</v>
      </c>
      <c r="K77">
        <v>90.97</v>
      </c>
      <c r="L77">
        <f t="shared" si="3"/>
        <v>2.4831531240423694</v>
      </c>
      <c r="M77">
        <v>0.88700000000000001</v>
      </c>
      <c r="N77" t="str">
        <v>Winnipeg Jets</v>
      </c>
      <c r="O77">
        <v>55.33</v>
      </c>
      <c r="P77">
        <v>83.33</v>
      </c>
      <c r="Q77">
        <v>17.850000000000001</v>
      </c>
      <c r="R77">
        <v>3.57</v>
      </c>
      <c r="S77">
        <v>14.28</v>
      </c>
      <c r="T77">
        <v>1.78</v>
      </c>
      <c r="U77">
        <v>21.42</v>
      </c>
      <c r="V77">
        <v>0</v>
      </c>
      <c r="W77">
        <v>100</v>
      </c>
      <c r="X77">
        <v>90.32</v>
      </c>
      <c r="Y77">
        <f t="shared" si="4"/>
        <v>0.27849405375311109</v>
      </c>
      <c r="Z77">
        <v>5.3666666666666668E-2</v>
      </c>
      <c r="AA77">
        <f t="shared" si="5"/>
        <v>2.7616471777954805</v>
      </c>
    </row>
    <row r="78" spans="1:27" x14ac:dyDescent="0.35">
      <c r="A78" t="str">
        <v>Washington Capitals</v>
      </c>
      <c r="B78">
        <v>28.37</v>
      </c>
      <c r="C78">
        <v>85.19</v>
      </c>
      <c r="D78">
        <v>5.14</v>
      </c>
      <c r="E78">
        <v>0.82</v>
      </c>
      <c r="F78">
        <v>7.47</v>
      </c>
      <c r="G78">
        <v>1.05</v>
      </c>
      <c r="H78">
        <v>14.71</v>
      </c>
      <c r="I78">
        <v>0.47</v>
      </c>
      <c r="J78">
        <v>96.83</v>
      </c>
      <c r="K78">
        <v>91.36</v>
      </c>
      <c r="L78">
        <f t="shared" si="3"/>
        <v>2.0735191621346525</v>
      </c>
      <c r="M78">
        <v>0.85399999999999998</v>
      </c>
      <c r="N78" t="str">
        <v>Washington Capitals</v>
      </c>
      <c r="O78">
        <v>39.33</v>
      </c>
      <c r="P78">
        <v>82.35</v>
      </c>
      <c r="Q78">
        <v>17.04</v>
      </c>
      <c r="R78">
        <v>2.62</v>
      </c>
      <c r="S78">
        <v>5.24</v>
      </c>
      <c r="T78">
        <v>1.31</v>
      </c>
      <c r="U78">
        <v>17.04</v>
      </c>
      <c r="V78">
        <v>1.31</v>
      </c>
      <c r="W78">
        <v>92.31</v>
      </c>
      <c r="X78">
        <v>86.67</v>
      </c>
      <c r="Y78">
        <f t="shared" si="4"/>
        <v>0.45674941101301114</v>
      </c>
      <c r="Z78">
        <v>8.9166666666666658E-2</v>
      </c>
      <c r="AA78">
        <f t="shared" si="5"/>
        <v>2.5302685731476635</v>
      </c>
    </row>
  </sheetData>
  <mergeCells count="6">
    <mergeCell ref="A42:Y43"/>
    <mergeCell ref="A44:L44"/>
    <mergeCell ref="N44:Y44"/>
    <mergeCell ref="A3:L3"/>
    <mergeCell ref="A1:Y2"/>
    <mergeCell ref="N3:Y3"/>
  </mergeCells>
  <conditionalFormatting sqref="L38:M38 L7:L37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7:Y38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B7:AB38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79:M79 L48:L78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7:AA3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:AC37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7:L3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Y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B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48:Y7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8:L7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48:AA7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C21E-CC22-40C5-970A-AF9876BBE1E9}">
  <sheetPr codeName="Sheet4"/>
  <dimension ref="A1:Z78"/>
  <sheetViews>
    <sheetView zoomScale="69" workbookViewId="0">
      <selection activeCell="A7" sqref="A7"/>
    </sheetView>
  </sheetViews>
  <sheetFormatPr defaultRowHeight="14.5" x14ac:dyDescent="0.35"/>
  <cols>
    <col min="1" max="1" width="19.81640625" bestFit="1" customWidth="1"/>
    <col min="11" max="11" width="10" bestFit="1" customWidth="1"/>
    <col min="12" max="12" width="14.54296875" bestFit="1" customWidth="1"/>
    <col min="13" max="13" width="20.81640625" bestFit="1" customWidth="1"/>
    <col min="23" max="23" width="10" bestFit="1" customWidth="1"/>
    <col min="24" max="24" width="14.54296875" bestFit="1" customWidth="1"/>
  </cols>
  <sheetData>
    <row r="1" spans="1:26" ht="14.5" customHeight="1" x14ac:dyDescent="0.6">
      <c r="A1" s="74" t="s">
        <v>78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12"/>
    </row>
    <row r="2" spans="1:26" ht="14.5" customHeight="1" x14ac:dyDescent="0.6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12"/>
    </row>
    <row r="3" spans="1:26" x14ac:dyDescent="0.35">
      <c r="A3" s="73" t="s">
        <v>86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 t="s">
        <v>123</v>
      </c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11"/>
    </row>
    <row r="4" spans="1:26" x14ac:dyDescent="0.35">
      <c r="A4" s="2"/>
      <c r="B4" s="2" t="s">
        <v>95</v>
      </c>
      <c r="C4" s="2" t="s">
        <v>108</v>
      </c>
      <c r="D4" s="2" t="s">
        <v>109</v>
      </c>
      <c r="E4" s="2" t="s">
        <v>23</v>
      </c>
      <c r="F4" s="2" t="s">
        <v>112</v>
      </c>
      <c r="G4" s="2" t="s">
        <v>113</v>
      </c>
      <c r="H4" s="2" t="s">
        <v>28</v>
      </c>
      <c r="I4" s="2" t="s">
        <v>117</v>
      </c>
      <c r="J4" s="2" t="s">
        <v>35</v>
      </c>
      <c r="K4" s="2"/>
      <c r="L4" s="2" t="s">
        <v>70</v>
      </c>
      <c r="M4" s="2"/>
      <c r="N4" s="2" t="s">
        <v>95</v>
      </c>
      <c r="O4" s="2" t="s">
        <v>108</v>
      </c>
      <c r="P4" s="2" t="s">
        <v>109</v>
      </c>
      <c r="Q4" s="2" t="s">
        <v>23</v>
      </c>
      <c r="R4" s="2" t="s">
        <v>112</v>
      </c>
      <c r="S4" s="2" t="s">
        <v>113</v>
      </c>
      <c r="T4" s="2" t="s">
        <v>28</v>
      </c>
      <c r="U4" s="2" t="s">
        <v>117</v>
      </c>
      <c r="V4" s="2" t="s">
        <v>35</v>
      </c>
      <c r="W4" s="2"/>
      <c r="X4" s="2" t="s">
        <v>70</v>
      </c>
      <c r="Y4" s="11"/>
    </row>
    <row r="5" spans="1:26" ht="15" thickBot="1" x14ac:dyDescent="0.4">
      <c r="A5" s="5" t="s">
        <v>83</v>
      </c>
      <c r="B5" s="2">
        <v>7.5072392688823708E-2</v>
      </c>
      <c r="C5" s="2">
        <v>-5.3282646223116806E-2</v>
      </c>
      <c r="D5" s="2">
        <v>0.40809356338916575</v>
      </c>
      <c r="E5" s="2">
        <v>-2.3847963791489516E-2</v>
      </c>
      <c r="F5" s="2">
        <v>-2.9854012229833072E-2</v>
      </c>
      <c r="G5" s="2">
        <v>0.44780027611623879</v>
      </c>
      <c r="H5" s="2">
        <v>-2.7977888846503669E-2</v>
      </c>
      <c r="I5" s="2">
        <v>9.6775272570527371E-2</v>
      </c>
      <c r="J5" s="2">
        <v>0.27318953794108231</v>
      </c>
      <c r="K5" s="2"/>
      <c r="L5" s="3">
        <v>-1.61604217520175</v>
      </c>
      <c r="M5" s="5" t="s">
        <v>83</v>
      </c>
      <c r="N5" s="2">
        <v>7.5072392688823708E-2</v>
      </c>
      <c r="O5" s="2">
        <v>-5.3282646223116806E-2</v>
      </c>
      <c r="P5" s="2">
        <v>0.40809356338916575</v>
      </c>
      <c r="Q5" s="2">
        <v>-2.3847963791489516E-2</v>
      </c>
      <c r="R5" s="2">
        <v>-2.9854012229833072E-2</v>
      </c>
      <c r="S5" s="2">
        <v>0.44780027611623879</v>
      </c>
      <c r="T5" s="2">
        <v>-2.7977888846503669E-2</v>
      </c>
      <c r="U5" s="2">
        <v>9.6775272570527371E-2</v>
      </c>
      <c r="V5" s="2">
        <v>0.27318953794108231</v>
      </c>
      <c r="W5" s="2"/>
      <c r="X5" s="3">
        <v>-1.61604217520175</v>
      </c>
      <c r="Y5" s="11"/>
    </row>
    <row r="6" spans="1:26" x14ac:dyDescent="0.35">
      <c r="A6" s="4" t="s">
        <v>81</v>
      </c>
      <c r="B6" s="4" t="s">
        <v>95</v>
      </c>
      <c r="C6" s="4" t="s">
        <v>108</v>
      </c>
      <c r="D6" s="4" t="s">
        <v>109</v>
      </c>
      <c r="E6" s="4" t="s">
        <v>23</v>
      </c>
      <c r="F6" s="4" t="s">
        <v>112</v>
      </c>
      <c r="G6" s="4" t="s">
        <v>113</v>
      </c>
      <c r="H6" s="4" t="s">
        <v>28</v>
      </c>
      <c r="I6" s="4" t="s">
        <v>117</v>
      </c>
      <c r="J6" s="4" t="s">
        <v>35</v>
      </c>
      <c r="K6" s="4" t="s">
        <v>119</v>
      </c>
      <c r="L6" s="4" t="s">
        <v>82</v>
      </c>
      <c r="M6" s="4" t="s">
        <v>81</v>
      </c>
      <c r="N6" s="4" t="s">
        <v>95</v>
      </c>
      <c r="O6" s="4" t="s">
        <v>108</v>
      </c>
      <c r="P6" s="4" t="s">
        <v>109</v>
      </c>
      <c r="Q6" s="4" t="s">
        <v>23</v>
      </c>
      <c r="R6" s="4" t="s">
        <v>112</v>
      </c>
      <c r="S6" s="4" t="s">
        <v>113</v>
      </c>
      <c r="T6" s="4" t="s">
        <v>28</v>
      </c>
      <c r="U6" s="4" t="s">
        <v>117</v>
      </c>
      <c r="V6" s="4" t="s">
        <v>35</v>
      </c>
      <c r="W6" s="4" t="s">
        <v>119</v>
      </c>
      <c r="X6" s="4" t="s">
        <v>82</v>
      </c>
      <c r="Y6" s="11" t="s">
        <v>69</v>
      </c>
    </row>
    <row r="7" spans="1:26" x14ac:dyDescent="0.35">
      <c r="A7" t="str" cm="1">
        <f t="array" ref="A7:A37">Table_0__3[Team]</f>
        <v>Anaheim Ducks</v>
      </c>
      <c r="B7" cm="1">
        <f t="array" ref="B7:B37">Table_0__3[SF/60]</f>
        <v>29.34</v>
      </c>
      <c r="C7" cm="1">
        <f t="array" ref="C7:C37">Table_0__3[HDSF/60]</f>
        <v>9.15</v>
      </c>
      <c r="D7" cm="1">
        <f t="array" ref="D7:D37">Table_0__3[HDGF/60]</f>
        <v>1.41</v>
      </c>
      <c r="E7" cm="1">
        <f t="array" ref="E7:E37">Table_0__3[HDSH%]</f>
        <v>15.38</v>
      </c>
      <c r="F7" cm="1">
        <f t="array" ref="F7:F37">Table_0__3[MDSF/60]</f>
        <v>7.74</v>
      </c>
      <c r="G7" cm="1">
        <f t="array" ref="G7:G37">Table_0__3[MDGF/60]</f>
        <v>0.59</v>
      </c>
      <c r="H7" cm="1">
        <f t="array" ref="H7:H37">Table_0__3[MDSH%]</f>
        <v>7.58</v>
      </c>
      <c r="I7" cm="1">
        <f t="array" ref="I7:I37">Table_0__3[LDGF/60]</f>
        <v>0.12</v>
      </c>
      <c r="J7" cm="1">
        <f t="array" ref="J7:J37">Table_0__3[SH%]</f>
        <v>7.2</v>
      </c>
      <c r="K7" cm="1">
        <f t="array" ref="K7:K37">Table_0__3[TOI/GP]/60</f>
        <v>0.85133333333333328</v>
      </c>
      <c r="L7">
        <f>($L$5+($B$5*B7)+($C$5*C7)+($D$5*D7)+($E$5*E7)+($F$5*F7)+($G$5*G7)+($H$5*H7)+($I$5*I7)+($J$5*J7))*K7</f>
        <v>1.7940260316247714</v>
      </c>
      <c r="M7" t="str" cm="1">
        <f t="array" ref="M7:M37">Table4[Team]</f>
        <v>Anaheim Ducks</v>
      </c>
      <c r="N7" cm="1">
        <f t="array" ref="N7:N37">Table4[SF/60]</f>
        <v>44.67</v>
      </c>
      <c r="O7" cm="1">
        <f t="array" ref="O7:O37">Table4[HDSF/60]</f>
        <v>6.2</v>
      </c>
      <c r="P7" cm="1">
        <f t="array" ref="P7:P37">Table4[HDGF/60]</f>
        <v>1.24</v>
      </c>
      <c r="Q7" cm="1">
        <f t="array" ref="Q7:Q37">Table4[HDSH%]</f>
        <v>20</v>
      </c>
      <c r="R7" cm="1">
        <f t="array" ref="R7:R37">Table4[MDSF/60]</f>
        <v>14.89</v>
      </c>
      <c r="S7" cm="1">
        <f t="array" ref="S7:S37">Table4[MDGF/60]</f>
        <v>0</v>
      </c>
      <c r="T7" cm="1">
        <f t="array" ref="T7:T37">Table4[MDSH%]</f>
        <v>0</v>
      </c>
      <c r="U7" cm="1">
        <f t="array" ref="U7:U37">Table4[LDGF/60]</f>
        <v>1.24</v>
      </c>
      <c r="V7" cm="1">
        <f t="array" ref="V7:V37">Table4[SH%]</f>
        <v>5.56</v>
      </c>
      <c r="W7" cm="1">
        <f t="array" ref="W7:W37">Table4[TOI/GP]/60</f>
        <v>9.166666666666666E-2</v>
      </c>
      <c r="X7">
        <f>($L$5+($B$5*N7)+($C$5*O7)+($D$5*P7)+($E$5*Q7)+($F$5*R7)+($G$5*S7)+($H$5*T7)+($I$5*U7)+($J$5*V7))*W7</f>
        <v>0.24113602967988537</v>
      </c>
      <c r="Y7">
        <f t="shared" ref="Y7:Y37" si="0">L7+X7</f>
        <v>2.0351620613046566</v>
      </c>
      <c r="Z7">
        <f>K7+W7+'Expected Goals Against'!Z7</f>
        <v>1.0338333333333334</v>
      </c>
    </row>
    <row r="8" spans="1:26" x14ac:dyDescent="0.35">
      <c r="A8" t="str">
        <v>Arizona Coyotes</v>
      </c>
      <c r="B8">
        <v>25.58</v>
      </c>
      <c r="C8">
        <v>6.87</v>
      </c>
      <c r="D8">
        <v>0.83</v>
      </c>
      <c r="E8">
        <v>12.07</v>
      </c>
      <c r="F8">
        <v>6.87</v>
      </c>
      <c r="G8">
        <v>1.3</v>
      </c>
      <c r="H8">
        <v>18.97</v>
      </c>
      <c r="I8">
        <v>0.24</v>
      </c>
      <c r="J8">
        <v>9.26</v>
      </c>
      <c r="K8">
        <v>0.85650000000000004</v>
      </c>
      <c r="L8">
        <f>($L$5+($B$5*B8)+($C$5*C8)+($D$5*D8)+($E$5*E8)+($F$5*F8)+($G$5*G8)+($H$5*H8)+($I$5*I8)+($J$5*J8))*K8</f>
        <v>2.0456599022179311</v>
      </c>
      <c r="M8" t="str">
        <v>Arizona Coyotes</v>
      </c>
      <c r="N8">
        <v>36.54</v>
      </c>
      <c r="O8">
        <v>7.75</v>
      </c>
      <c r="P8">
        <v>1.1100000000000001</v>
      </c>
      <c r="Q8">
        <v>14.29</v>
      </c>
      <c r="R8">
        <v>14.4</v>
      </c>
      <c r="S8">
        <v>2.21</v>
      </c>
      <c r="T8">
        <v>15.38</v>
      </c>
      <c r="U8">
        <v>2.21</v>
      </c>
      <c r="V8">
        <v>15.15</v>
      </c>
      <c r="W8">
        <v>8.7499999999999994E-2</v>
      </c>
      <c r="X8">
        <f t="shared" ref="X8:X37" si="1">($L$5+($B$5*N8)+($C$5*O8)+($D$5*P8)+($E$5*Q8)+($F$5*R8)+($G$5*S8)+($H$5*T8)+($I$5*U8)+($J$5*V8))*W8</f>
        <v>0.46449329097820508</v>
      </c>
      <c r="Y8">
        <f t="shared" si="0"/>
        <v>2.5101531931961363</v>
      </c>
    </row>
    <row r="9" spans="1:26" x14ac:dyDescent="0.35">
      <c r="A9" t="str">
        <v>Boston Bruins</v>
      </c>
      <c r="B9">
        <v>26.46</v>
      </c>
      <c r="C9">
        <v>5.6</v>
      </c>
      <c r="D9">
        <v>0.95</v>
      </c>
      <c r="E9">
        <v>17.02</v>
      </c>
      <c r="F9">
        <v>8.58</v>
      </c>
      <c r="G9">
        <v>1.19</v>
      </c>
      <c r="H9">
        <v>13.89</v>
      </c>
      <c r="I9">
        <v>0.36</v>
      </c>
      <c r="J9">
        <v>9.4600000000000009</v>
      </c>
      <c r="K9">
        <v>0.83683333333333332</v>
      </c>
      <c r="L9">
        <f t="shared" ref="L9:L37" si="2">($L$5+($B$5*B9)+($C$5*C9)+($D$5*D9)+($E$5*E9)+($F$5*F9)+($G$5*G9)+($H$5*H9)+($I$5*I9)+($J$5*J9))*K9</f>
        <v>2.1432316014108306</v>
      </c>
      <c r="M9" t="str">
        <v>Boston Bruins</v>
      </c>
      <c r="N9">
        <v>39.22</v>
      </c>
      <c r="O9">
        <v>10.82</v>
      </c>
      <c r="P9">
        <v>6.76</v>
      </c>
      <c r="Q9">
        <v>62.5</v>
      </c>
      <c r="R9">
        <v>10.82</v>
      </c>
      <c r="S9">
        <v>2.7</v>
      </c>
      <c r="T9">
        <v>25</v>
      </c>
      <c r="U9">
        <v>2.7</v>
      </c>
      <c r="V9">
        <v>31.03</v>
      </c>
      <c r="W9">
        <v>7.0999999999999994E-2</v>
      </c>
      <c r="X9">
        <f t="shared" si="1"/>
        <v>0.77709154199747787</v>
      </c>
      <c r="Y9">
        <f t="shared" si="0"/>
        <v>2.9203231434083086</v>
      </c>
    </row>
    <row r="10" spans="1:26" x14ac:dyDescent="0.35">
      <c r="A10" t="str">
        <v>Buffalo Sabres</v>
      </c>
      <c r="B10">
        <v>24.81</v>
      </c>
      <c r="C10">
        <v>6.94</v>
      </c>
      <c r="D10">
        <v>0.35</v>
      </c>
      <c r="E10">
        <v>5.08</v>
      </c>
      <c r="F10">
        <v>4.59</v>
      </c>
      <c r="G10">
        <v>0.12</v>
      </c>
      <c r="H10">
        <v>2.56</v>
      </c>
      <c r="I10">
        <v>0</v>
      </c>
      <c r="J10">
        <v>1.9</v>
      </c>
      <c r="K10">
        <v>0.85033333333333339</v>
      </c>
      <c r="L10">
        <f>($L$5+($B$5*B10)+($C$5*C10)+($D$5*D10)+($E$5*E10)+($F$5*F10)+($G$5*G10)+($H$5*H10)+($I$5*I10)+($J$5*J10))*K10</f>
        <v>0.22325523552971049</v>
      </c>
      <c r="M10" t="str">
        <v>Buffalo Sabres</v>
      </c>
      <c r="N10">
        <v>50.45</v>
      </c>
      <c r="O10">
        <v>15.41</v>
      </c>
      <c r="P10">
        <v>4.2</v>
      </c>
      <c r="Q10">
        <v>27.27</v>
      </c>
      <c r="R10">
        <v>14.01</v>
      </c>
      <c r="S10">
        <v>1.4</v>
      </c>
      <c r="T10">
        <v>10</v>
      </c>
      <c r="U10">
        <v>1.4</v>
      </c>
      <c r="V10">
        <v>13.89</v>
      </c>
      <c r="W10">
        <v>6.9499999999999992E-2</v>
      </c>
      <c r="X10">
        <f t="shared" si="1"/>
        <v>0.43596712696466533</v>
      </c>
      <c r="Y10">
        <f t="shared" si="0"/>
        <v>0.65922236249437582</v>
      </c>
    </row>
    <row r="11" spans="1:26" x14ac:dyDescent="0.35">
      <c r="A11" t="str">
        <v>Carolina Hurricanes</v>
      </c>
      <c r="B11">
        <v>30.19</v>
      </c>
      <c r="C11">
        <v>7.99</v>
      </c>
      <c r="D11">
        <v>1.29</v>
      </c>
      <c r="E11">
        <v>16.18</v>
      </c>
      <c r="F11">
        <v>7.4</v>
      </c>
      <c r="G11">
        <v>0.7</v>
      </c>
      <c r="H11">
        <v>9.52</v>
      </c>
      <c r="I11">
        <v>0.35</v>
      </c>
      <c r="J11">
        <v>8.56</v>
      </c>
      <c r="K11">
        <v>0.85066666666666668</v>
      </c>
      <c r="L11">
        <f t="shared" si="2"/>
        <v>2.1809480899039904</v>
      </c>
      <c r="M11" t="str">
        <v>Carolina Hurricanes</v>
      </c>
      <c r="N11">
        <v>62.71</v>
      </c>
      <c r="O11">
        <v>18.09</v>
      </c>
      <c r="P11">
        <v>7.24</v>
      </c>
      <c r="Q11">
        <v>40</v>
      </c>
      <c r="R11">
        <v>16.88</v>
      </c>
      <c r="S11">
        <v>4.82</v>
      </c>
      <c r="T11">
        <v>28.57</v>
      </c>
      <c r="U11">
        <v>2.41</v>
      </c>
      <c r="V11">
        <v>23.08</v>
      </c>
      <c r="W11">
        <v>9.3166666666666662E-2</v>
      </c>
      <c r="X11">
        <f t="shared" si="1"/>
        <v>1.0734774770064768</v>
      </c>
      <c r="Y11">
        <f t="shared" si="0"/>
        <v>3.2544255669104674</v>
      </c>
    </row>
    <row r="12" spans="1:26" x14ac:dyDescent="0.35">
      <c r="A12" t="str">
        <v>Columbus Blue Jackets</v>
      </c>
      <c r="B12">
        <v>26.51</v>
      </c>
      <c r="C12">
        <v>5.03</v>
      </c>
      <c r="D12">
        <v>0.56000000000000005</v>
      </c>
      <c r="E12">
        <v>11.11</v>
      </c>
      <c r="F12">
        <v>7.16</v>
      </c>
      <c r="G12">
        <v>0.56000000000000005</v>
      </c>
      <c r="H12">
        <v>7.81</v>
      </c>
      <c r="I12">
        <v>0.89</v>
      </c>
      <c r="J12">
        <v>7.59</v>
      </c>
      <c r="K12">
        <v>0.90633333333333332</v>
      </c>
      <c r="L12">
        <f t="shared" si="2"/>
        <v>1.8560269792809214</v>
      </c>
      <c r="M12" t="str">
        <v>Columbus Blue Jackets</v>
      </c>
      <c r="N12">
        <v>44.16</v>
      </c>
      <c r="O12">
        <v>5.7</v>
      </c>
      <c r="P12">
        <v>0</v>
      </c>
      <c r="Q12">
        <v>0</v>
      </c>
      <c r="R12">
        <v>18.52</v>
      </c>
      <c r="S12">
        <v>2.85</v>
      </c>
      <c r="T12">
        <v>15.38</v>
      </c>
      <c r="U12">
        <v>4.2699999999999996</v>
      </c>
      <c r="V12">
        <v>16.13</v>
      </c>
      <c r="W12">
        <v>6.883333333333333E-2</v>
      </c>
      <c r="X12">
        <f t="shared" si="1"/>
        <v>0.44798494181591653</v>
      </c>
      <c r="Y12">
        <f t="shared" si="0"/>
        <v>2.3040119210968379</v>
      </c>
    </row>
    <row r="13" spans="1:26" x14ac:dyDescent="0.35">
      <c r="A13" t="str">
        <v>Calgary Flames</v>
      </c>
      <c r="B13">
        <v>29.46</v>
      </c>
      <c r="C13">
        <v>8.77</v>
      </c>
      <c r="D13">
        <v>1.64</v>
      </c>
      <c r="E13">
        <v>18.670000000000002</v>
      </c>
      <c r="F13">
        <v>9</v>
      </c>
      <c r="G13">
        <v>1.64</v>
      </c>
      <c r="H13">
        <v>18.18</v>
      </c>
      <c r="I13">
        <v>0</v>
      </c>
      <c r="J13">
        <v>11.11</v>
      </c>
      <c r="K13">
        <v>0.85316666666666663</v>
      </c>
      <c r="L13">
        <f t="shared" si="2"/>
        <v>2.853448128881515</v>
      </c>
      <c r="M13" t="str">
        <v>Calgary Flames</v>
      </c>
      <c r="N13">
        <v>51.71</v>
      </c>
      <c r="O13">
        <v>13.79</v>
      </c>
      <c r="P13">
        <v>1.1499999999999999</v>
      </c>
      <c r="Q13">
        <v>8.33</v>
      </c>
      <c r="R13">
        <v>18.38</v>
      </c>
      <c r="S13">
        <v>3.45</v>
      </c>
      <c r="T13">
        <v>18.75</v>
      </c>
      <c r="U13">
        <v>1.1499999999999999</v>
      </c>
      <c r="V13">
        <v>11.11</v>
      </c>
      <c r="W13">
        <v>8.5499999999999993E-2</v>
      </c>
      <c r="X13">
        <f t="shared" si="1"/>
        <v>0.46339920483508734</v>
      </c>
      <c r="Y13">
        <f t="shared" si="0"/>
        <v>3.3168473337166025</v>
      </c>
    </row>
    <row r="14" spans="1:26" x14ac:dyDescent="0.35">
      <c r="A14" t="str">
        <v>Chicago Blackhawks</v>
      </c>
      <c r="B14">
        <v>30.5</v>
      </c>
      <c r="C14">
        <v>8.83</v>
      </c>
      <c r="D14">
        <v>2.29</v>
      </c>
      <c r="E14">
        <v>25.97</v>
      </c>
      <c r="F14">
        <v>9.06</v>
      </c>
      <c r="G14">
        <v>0.92</v>
      </c>
      <c r="H14">
        <v>10.130000000000001</v>
      </c>
      <c r="I14">
        <v>0</v>
      </c>
      <c r="J14">
        <v>10.53</v>
      </c>
      <c r="K14">
        <v>0.87</v>
      </c>
      <c r="L14">
        <f t="shared" si="2"/>
        <v>2.8302417178978843</v>
      </c>
      <c r="M14" t="str">
        <v>Chicago Blackhawks</v>
      </c>
      <c r="N14">
        <v>38.92</v>
      </c>
      <c r="O14">
        <v>10.3</v>
      </c>
      <c r="P14">
        <v>5.72</v>
      </c>
      <c r="Q14">
        <v>55.56</v>
      </c>
      <c r="R14">
        <v>16.03</v>
      </c>
      <c r="S14">
        <v>3.43</v>
      </c>
      <c r="T14">
        <v>21.43</v>
      </c>
      <c r="U14">
        <v>1.1399999999999999</v>
      </c>
      <c r="V14">
        <v>26.47</v>
      </c>
      <c r="W14">
        <v>8.5833333333333345E-2</v>
      </c>
      <c r="X14">
        <f t="shared" si="1"/>
        <v>0.8210598872793109</v>
      </c>
      <c r="Y14">
        <f t="shared" si="0"/>
        <v>3.6513016051771952</v>
      </c>
    </row>
    <row r="15" spans="1:26" x14ac:dyDescent="0.35">
      <c r="A15" t="str">
        <v>Colorado Avalanche</v>
      </c>
      <c r="B15">
        <v>38.61</v>
      </c>
      <c r="C15">
        <v>8.33</v>
      </c>
      <c r="D15">
        <v>1.76</v>
      </c>
      <c r="E15">
        <v>21.13</v>
      </c>
      <c r="F15">
        <v>12.79</v>
      </c>
      <c r="G15">
        <v>1.29</v>
      </c>
      <c r="H15">
        <v>10.09</v>
      </c>
      <c r="I15">
        <v>0.47</v>
      </c>
      <c r="J15">
        <v>9.42</v>
      </c>
      <c r="K15">
        <v>0.85116666666666663</v>
      </c>
      <c r="L15">
        <f t="shared" si="2"/>
        <v>3.0518224423874369</v>
      </c>
      <c r="M15" t="str">
        <v>Colorado Avalanche</v>
      </c>
      <c r="N15">
        <v>69.81</v>
      </c>
      <c r="O15">
        <v>16.2</v>
      </c>
      <c r="P15">
        <v>1.25</v>
      </c>
      <c r="Q15">
        <v>7.69</v>
      </c>
      <c r="R15">
        <v>19.940000000000001</v>
      </c>
      <c r="S15">
        <v>3.74</v>
      </c>
      <c r="T15">
        <v>18.75</v>
      </c>
      <c r="U15">
        <v>3.74</v>
      </c>
      <c r="V15">
        <v>12.5</v>
      </c>
      <c r="W15">
        <v>9.1499999999999998E-2</v>
      </c>
      <c r="X15">
        <f t="shared" si="1"/>
        <v>0.67893147853822122</v>
      </c>
      <c r="Y15">
        <f t="shared" si="0"/>
        <v>3.7307539209256584</v>
      </c>
    </row>
    <row r="16" spans="1:26" x14ac:dyDescent="0.35">
      <c r="A16" t="str">
        <v>Dallas Stars</v>
      </c>
      <c r="B16">
        <v>27.15</v>
      </c>
      <c r="C16">
        <v>7.29</v>
      </c>
      <c r="D16">
        <v>1.76</v>
      </c>
      <c r="E16">
        <v>24.19</v>
      </c>
      <c r="F16">
        <v>7.41</v>
      </c>
      <c r="G16">
        <v>0.59</v>
      </c>
      <c r="H16">
        <v>7.94</v>
      </c>
      <c r="I16">
        <v>0.12</v>
      </c>
      <c r="J16">
        <v>9.09</v>
      </c>
      <c r="K16">
        <v>0.85050000000000003</v>
      </c>
      <c r="L16">
        <f t="shared" si="2"/>
        <v>2.1184684780114913</v>
      </c>
      <c r="M16" t="str">
        <v>Dallas Stars</v>
      </c>
      <c r="N16">
        <v>46.68</v>
      </c>
      <c r="O16">
        <v>14.85</v>
      </c>
      <c r="P16">
        <v>4.24</v>
      </c>
      <c r="Q16">
        <v>28.57</v>
      </c>
      <c r="R16">
        <v>18.04</v>
      </c>
      <c r="S16">
        <v>1.06</v>
      </c>
      <c r="T16">
        <v>5.88</v>
      </c>
      <c r="U16">
        <v>1.06</v>
      </c>
      <c r="V16">
        <v>13.64</v>
      </c>
      <c r="W16">
        <v>0.1065</v>
      </c>
      <c r="X16">
        <f t="shared" si="1"/>
        <v>0.61200749133649335</v>
      </c>
      <c r="Y16">
        <f t="shared" si="0"/>
        <v>2.7304759693479848</v>
      </c>
    </row>
    <row r="17" spans="1:25" x14ac:dyDescent="0.35">
      <c r="A17" t="str">
        <v>Detroit Red Wings</v>
      </c>
      <c r="B17">
        <v>25.34</v>
      </c>
      <c r="C17">
        <v>6.34</v>
      </c>
      <c r="D17">
        <v>0.84</v>
      </c>
      <c r="E17">
        <v>13.21</v>
      </c>
      <c r="F17">
        <v>5.38</v>
      </c>
      <c r="G17">
        <v>0.72</v>
      </c>
      <c r="H17">
        <v>13.33</v>
      </c>
      <c r="I17">
        <v>0.96</v>
      </c>
      <c r="J17">
        <v>10.85</v>
      </c>
      <c r="K17">
        <v>0.83533333333333326</v>
      </c>
      <c r="L17">
        <f t="shared" si="2"/>
        <v>2.3574062062890615</v>
      </c>
      <c r="M17" t="str">
        <v>Detroit Red Wings</v>
      </c>
      <c r="N17">
        <v>41.6</v>
      </c>
      <c r="O17">
        <v>15.91</v>
      </c>
      <c r="P17">
        <v>2.4500000000000002</v>
      </c>
      <c r="Q17">
        <v>15.38</v>
      </c>
      <c r="R17">
        <v>9.7899999999999991</v>
      </c>
      <c r="S17">
        <v>1.22</v>
      </c>
      <c r="T17">
        <v>12.5</v>
      </c>
      <c r="U17">
        <v>0</v>
      </c>
      <c r="V17">
        <v>8.82</v>
      </c>
      <c r="W17">
        <v>9.2333333333333337E-2</v>
      </c>
      <c r="X17">
        <f t="shared" si="1"/>
        <v>0.33296726623401135</v>
      </c>
      <c r="Y17">
        <f t="shared" si="0"/>
        <v>2.6903734725230728</v>
      </c>
    </row>
    <row r="18" spans="1:25" x14ac:dyDescent="0.35">
      <c r="A18" t="str">
        <v>Edmonton Oilers</v>
      </c>
      <c r="B18">
        <v>31</v>
      </c>
      <c r="C18">
        <v>8.24</v>
      </c>
      <c r="D18">
        <v>1.04</v>
      </c>
      <c r="E18">
        <v>12.68</v>
      </c>
      <c r="F18">
        <v>7.43</v>
      </c>
      <c r="G18">
        <v>1.63</v>
      </c>
      <c r="H18">
        <v>21.88</v>
      </c>
      <c r="I18">
        <v>0.23</v>
      </c>
      <c r="J18">
        <v>9.74</v>
      </c>
      <c r="K18">
        <v>0.87349999999999994</v>
      </c>
      <c r="L18">
        <f>($L$5+($B$5*B18)+($C$5*C18)+($D$5*D18)+($E$5*E18)+($F$5*F18)+($G$5*G18)+($H$5*H18)+($I$5*I18)+($J$5*J18))*K18</f>
        <v>2.5971299108819679</v>
      </c>
      <c r="M18" t="str">
        <v>Edmonton Oilers</v>
      </c>
      <c r="N18">
        <v>54.04</v>
      </c>
      <c r="O18">
        <v>22.17</v>
      </c>
      <c r="P18">
        <v>5.54</v>
      </c>
      <c r="Q18">
        <v>25</v>
      </c>
      <c r="R18">
        <v>20.79</v>
      </c>
      <c r="S18">
        <v>4.16</v>
      </c>
      <c r="T18">
        <v>20</v>
      </c>
      <c r="U18">
        <v>0</v>
      </c>
      <c r="V18">
        <v>17.95</v>
      </c>
      <c r="W18">
        <v>7.0000000000000007E-2</v>
      </c>
      <c r="X18">
        <f t="shared" si="1"/>
        <v>0.59574280981755412</v>
      </c>
      <c r="Y18">
        <f t="shared" si="0"/>
        <v>3.1928727206995218</v>
      </c>
    </row>
    <row r="19" spans="1:25" x14ac:dyDescent="0.35">
      <c r="A19" t="str">
        <v>Florida Panthers</v>
      </c>
      <c r="B19">
        <v>38.1</v>
      </c>
      <c r="C19">
        <v>10.16</v>
      </c>
      <c r="D19">
        <v>1.57</v>
      </c>
      <c r="E19">
        <v>15.48</v>
      </c>
      <c r="F19">
        <v>9.56</v>
      </c>
      <c r="G19">
        <v>0.24</v>
      </c>
      <c r="H19">
        <v>2.5299999999999998</v>
      </c>
      <c r="I19">
        <v>0.48</v>
      </c>
      <c r="J19">
        <v>6.67</v>
      </c>
      <c r="K19">
        <v>0.83933333333333338</v>
      </c>
      <c r="L19">
        <f t="shared" si="2"/>
        <v>2.1774948175525273</v>
      </c>
      <c r="M19" t="str">
        <v>Florida Panthers</v>
      </c>
      <c r="N19">
        <v>75.7</v>
      </c>
      <c r="O19">
        <v>24.55</v>
      </c>
      <c r="P19">
        <v>2.0499999999999998</v>
      </c>
      <c r="Q19">
        <v>8.33</v>
      </c>
      <c r="R19">
        <v>19.440000000000001</v>
      </c>
      <c r="S19">
        <v>0</v>
      </c>
      <c r="T19">
        <v>0</v>
      </c>
      <c r="U19">
        <v>1.02</v>
      </c>
      <c r="V19">
        <v>4.05</v>
      </c>
      <c r="W19">
        <v>0.10866666666666666</v>
      </c>
      <c r="X19">
        <f t="shared" si="1"/>
        <v>0.43700883127770124</v>
      </c>
      <c r="Y19">
        <f t="shared" si="0"/>
        <v>2.6145036488302287</v>
      </c>
    </row>
    <row r="20" spans="1:25" x14ac:dyDescent="0.35">
      <c r="A20" t="str">
        <v>Los Angeles Kings</v>
      </c>
      <c r="B20">
        <v>27.23</v>
      </c>
      <c r="C20">
        <v>7.8</v>
      </c>
      <c r="D20">
        <v>1.92</v>
      </c>
      <c r="E20">
        <v>24.64</v>
      </c>
      <c r="F20">
        <v>6.89</v>
      </c>
      <c r="G20">
        <v>0.23</v>
      </c>
      <c r="H20">
        <v>3.28</v>
      </c>
      <c r="I20">
        <v>0</v>
      </c>
      <c r="J20">
        <v>8.7100000000000009</v>
      </c>
      <c r="K20">
        <v>0.88433333333333342</v>
      </c>
      <c r="L20">
        <f t="shared" si="2"/>
        <v>2.1166638340488233</v>
      </c>
      <c r="M20" t="str">
        <v>Los Angeles Kings</v>
      </c>
      <c r="N20">
        <v>73.41</v>
      </c>
      <c r="O20">
        <v>19.760000000000002</v>
      </c>
      <c r="P20">
        <v>7.06</v>
      </c>
      <c r="Q20">
        <v>35.71</v>
      </c>
      <c r="R20">
        <v>11.29</v>
      </c>
      <c r="S20">
        <v>1.41</v>
      </c>
      <c r="T20">
        <v>12.5</v>
      </c>
      <c r="U20">
        <v>5.65</v>
      </c>
      <c r="V20">
        <v>19.23</v>
      </c>
      <c r="W20">
        <v>6.9166666666666668E-2</v>
      </c>
      <c r="X20">
        <f t="shared" si="1"/>
        <v>0.73430964158288325</v>
      </c>
      <c r="Y20">
        <f t="shared" si="0"/>
        <v>2.8509734756317067</v>
      </c>
    </row>
    <row r="21" spans="1:25" x14ac:dyDescent="0.35">
      <c r="A21" t="str">
        <v>Minnesota Wild</v>
      </c>
      <c r="B21">
        <v>29.33</v>
      </c>
      <c r="C21">
        <v>7.79</v>
      </c>
      <c r="D21">
        <v>1.83</v>
      </c>
      <c r="E21">
        <v>23.44</v>
      </c>
      <c r="F21">
        <v>8.64</v>
      </c>
      <c r="G21">
        <v>1.22</v>
      </c>
      <c r="H21">
        <v>14.08</v>
      </c>
      <c r="I21">
        <v>0.24</v>
      </c>
      <c r="J21">
        <v>12.03</v>
      </c>
      <c r="K21">
        <v>0.81966666666666665</v>
      </c>
      <c r="L21">
        <f t="shared" si="2"/>
        <v>2.9202423685537018</v>
      </c>
      <c r="M21" t="str">
        <v>Minnesota Wild</v>
      </c>
      <c r="N21">
        <v>55.85</v>
      </c>
      <c r="O21">
        <v>15.64</v>
      </c>
      <c r="P21">
        <v>2.23</v>
      </c>
      <c r="Q21">
        <v>14.29</v>
      </c>
      <c r="R21">
        <v>15.64</v>
      </c>
      <c r="S21">
        <v>1.1200000000000001</v>
      </c>
      <c r="T21">
        <v>7.14</v>
      </c>
      <c r="U21">
        <v>1.1200000000000001</v>
      </c>
      <c r="V21">
        <v>8</v>
      </c>
      <c r="W21">
        <v>8.6999999999999994E-2</v>
      </c>
      <c r="X21">
        <f t="shared" si="1"/>
        <v>0.38640472787504698</v>
      </c>
      <c r="Y21">
        <f t="shared" si="0"/>
        <v>3.3066470964287489</v>
      </c>
    </row>
    <row r="22" spans="1:25" x14ac:dyDescent="0.35">
      <c r="A22" t="str">
        <v>Montreal Canadiens</v>
      </c>
      <c r="B22">
        <v>32.979999999999997</v>
      </c>
      <c r="C22">
        <v>8.0500000000000007</v>
      </c>
      <c r="D22">
        <v>1.57</v>
      </c>
      <c r="E22">
        <v>19.440000000000001</v>
      </c>
      <c r="F22">
        <v>9.06</v>
      </c>
      <c r="G22">
        <v>0.78</v>
      </c>
      <c r="H22">
        <v>8.64</v>
      </c>
      <c r="I22">
        <v>0.22</v>
      </c>
      <c r="J22">
        <v>8.14</v>
      </c>
      <c r="K22">
        <v>0.90666666666666662</v>
      </c>
      <c r="L22">
        <f t="shared" si="2"/>
        <v>2.4390727929326244</v>
      </c>
      <c r="M22" t="str">
        <v>Montreal Canadiens</v>
      </c>
      <c r="N22">
        <v>58.71</v>
      </c>
      <c r="O22">
        <v>11.74</v>
      </c>
      <c r="P22">
        <v>5.03</v>
      </c>
      <c r="Q22">
        <v>42.86</v>
      </c>
      <c r="R22">
        <v>13.42</v>
      </c>
      <c r="S22">
        <v>0</v>
      </c>
      <c r="T22">
        <v>0</v>
      </c>
      <c r="U22">
        <v>5.03</v>
      </c>
      <c r="V22">
        <v>17.14</v>
      </c>
      <c r="W22">
        <v>7.2499999999999995E-2</v>
      </c>
      <c r="X22">
        <f t="shared" si="1"/>
        <v>0.57747077122481416</v>
      </c>
      <c r="Y22">
        <f t="shared" si="0"/>
        <v>3.0165435641574385</v>
      </c>
    </row>
    <row r="23" spans="1:25" x14ac:dyDescent="0.35">
      <c r="A23" t="str">
        <v>New Jersey Devils</v>
      </c>
      <c r="B23">
        <v>29.7</v>
      </c>
      <c r="C23">
        <v>5.65</v>
      </c>
      <c r="D23">
        <v>0.48</v>
      </c>
      <c r="E23">
        <v>8.51</v>
      </c>
      <c r="F23">
        <v>8.9</v>
      </c>
      <c r="G23">
        <v>0.96</v>
      </c>
      <c r="H23">
        <v>10.81</v>
      </c>
      <c r="I23">
        <v>0.48</v>
      </c>
      <c r="J23">
        <v>6.48</v>
      </c>
      <c r="K23">
        <v>0.84233333333333327</v>
      </c>
      <c r="L23">
        <f t="shared" si="2"/>
        <v>1.6711611905928698</v>
      </c>
      <c r="M23" t="str">
        <v>New Jersey Devils</v>
      </c>
      <c r="N23">
        <v>35.99</v>
      </c>
      <c r="O23">
        <v>9</v>
      </c>
      <c r="P23">
        <v>3.37</v>
      </c>
      <c r="Q23">
        <v>37.5</v>
      </c>
      <c r="R23">
        <v>11.25</v>
      </c>
      <c r="S23">
        <v>0</v>
      </c>
      <c r="T23">
        <v>0</v>
      </c>
      <c r="U23">
        <v>1.1200000000000001</v>
      </c>
      <c r="V23">
        <v>12.5</v>
      </c>
      <c r="W23">
        <v>8.666666666666667E-2</v>
      </c>
      <c r="X23">
        <f t="shared" si="1"/>
        <v>0.37046931827173613</v>
      </c>
      <c r="Y23">
        <f t="shared" si="0"/>
        <v>2.0416305088646061</v>
      </c>
    </row>
    <row r="24" spans="1:25" x14ac:dyDescent="0.35">
      <c r="A24" t="str">
        <v>Nashville Predators</v>
      </c>
      <c r="B24">
        <v>32.25</v>
      </c>
      <c r="C24">
        <v>7.11</v>
      </c>
      <c r="D24">
        <v>0.86</v>
      </c>
      <c r="E24">
        <v>12.07</v>
      </c>
      <c r="F24">
        <v>8.09</v>
      </c>
      <c r="G24">
        <v>0.37</v>
      </c>
      <c r="H24">
        <v>4.55</v>
      </c>
      <c r="I24">
        <v>0.61</v>
      </c>
      <c r="J24">
        <v>5.7</v>
      </c>
      <c r="K24">
        <v>0.82600000000000007</v>
      </c>
      <c r="L24">
        <f t="shared" si="2"/>
        <v>1.5713819435706682</v>
      </c>
      <c r="M24" t="str">
        <v>Nashville Predators</v>
      </c>
      <c r="N24">
        <v>37.49</v>
      </c>
      <c r="O24">
        <v>6.69</v>
      </c>
      <c r="P24">
        <v>2.68</v>
      </c>
      <c r="Q24">
        <v>40</v>
      </c>
      <c r="R24">
        <v>13.39</v>
      </c>
      <c r="S24">
        <v>2.68</v>
      </c>
      <c r="T24">
        <v>20</v>
      </c>
      <c r="U24">
        <v>2.68</v>
      </c>
      <c r="V24">
        <v>21.43</v>
      </c>
      <c r="W24">
        <v>7.1499999999999994E-2</v>
      </c>
      <c r="X24">
        <f t="shared" si="1"/>
        <v>0.52454862385378109</v>
      </c>
      <c r="Y24">
        <f t="shared" si="0"/>
        <v>2.0959305674244493</v>
      </c>
    </row>
    <row r="25" spans="1:25" x14ac:dyDescent="0.35">
      <c r="A25" t="str">
        <v>New York Islanders</v>
      </c>
      <c r="B25">
        <v>30.01</v>
      </c>
      <c r="C25">
        <v>11.48</v>
      </c>
      <c r="D25">
        <v>3.18</v>
      </c>
      <c r="E25">
        <v>27.72</v>
      </c>
      <c r="F25">
        <v>8.07</v>
      </c>
      <c r="G25">
        <v>0.45</v>
      </c>
      <c r="H25">
        <v>5.63</v>
      </c>
      <c r="I25">
        <v>0.34</v>
      </c>
      <c r="J25">
        <v>13.64</v>
      </c>
      <c r="K25">
        <v>0.89116666666666666</v>
      </c>
      <c r="L25">
        <f t="shared" si="2"/>
        <v>3.7644209153410224</v>
      </c>
      <c r="M25" t="str">
        <v>New York Islanders</v>
      </c>
      <c r="N25">
        <v>52.8</v>
      </c>
      <c r="O25">
        <v>19.45</v>
      </c>
      <c r="P25">
        <v>4.17</v>
      </c>
      <c r="Q25">
        <v>21.43</v>
      </c>
      <c r="R25">
        <v>18.059999999999999</v>
      </c>
      <c r="S25">
        <v>2.78</v>
      </c>
      <c r="T25">
        <v>15.38</v>
      </c>
      <c r="U25">
        <v>0</v>
      </c>
      <c r="V25">
        <v>13.16</v>
      </c>
      <c r="W25">
        <v>6.9833333333333344E-2</v>
      </c>
      <c r="X25">
        <f t="shared" si="1"/>
        <v>0.4450280481943602</v>
      </c>
      <c r="Y25">
        <f t="shared" si="0"/>
        <v>4.2094489635353822</v>
      </c>
    </row>
    <row r="26" spans="1:25" x14ac:dyDescent="0.35">
      <c r="A26" t="str">
        <v>New York Rangers</v>
      </c>
      <c r="B26">
        <v>28.41</v>
      </c>
      <c r="C26">
        <v>8.1199999999999992</v>
      </c>
      <c r="D26">
        <v>1.51</v>
      </c>
      <c r="E26">
        <v>18.57</v>
      </c>
      <c r="F26">
        <v>7.42</v>
      </c>
      <c r="G26">
        <v>1.04</v>
      </c>
      <c r="H26">
        <v>14.06</v>
      </c>
      <c r="I26">
        <v>0.57999999999999996</v>
      </c>
      <c r="J26">
        <v>11.02</v>
      </c>
      <c r="K26">
        <v>0.874</v>
      </c>
      <c r="L26">
        <f t="shared" si="2"/>
        <v>2.7749314469910931</v>
      </c>
      <c r="M26" t="str">
        <v>New York Rangers</v>
      </c>
      <c r="N26">
        <v>49.28</v>
      </c>
      <c r="O26">
        <v>22.64</v>
      </c>
      <c r="P26">
        <v>4</v>
      </c>
      <c r="Q26">
        <v>17.649999999999999</v>
      </c>
      <c r="R26">
        <v>14.65</v>
      </c>
      <c r="S26">
        <v>1.33</v>
      </c>
      <c r="T26">
        <v>9.09</v>
      </c>
      <c r="U26">
        <v>0</v>
      </c>
      <c r="V26">
        <v>10.81</v>
      </c>
      <c r="W26">
        <v>8.8333333333333333E-2</v>
      </c>
      <c r="X26">
        <f t="shared" si="1"/>
        <v>0.43687342636496762</v>
      </c>
      <c r="Y26">
        <f t="shared" si="0"/>
        <v>3.2118048733560607</v>
      </c>
    </row>
    <row r="27" spans="1:25" x14ac:dyDescent="0.35">
      <c r="A27" t="str">
        <v>Ottawa Senators</v>
      </c>
      <c r="B27">
        <v>32.39</v>
      </c>
      <c r="C27">
        <v>7.7</v>
      </c>
      <c r="D27">
        <v>1.95</v>
      </c>
      <c r="E27">
        <v>25.37</v>
      </c>
      <c r="F27">
        <v>7.47</v>
      </c>
      <c r="G27">
        <v>0.8</v>
      </c>
      <c r="H27">
        <v>10.77</v>
      </c>
      <c r="I27">
        <v>0.11</v>
      </c>
      <c r="J27">
        <v>9.93</v>
      </c>
      <c r="K27">
        <v>0.86899999999999999</v>
      </c>
      <c r="L27">
        <f t="shared" si="2"/>
        <v>2.7402716941740319</v>
      </c>
      <c r="M27" t="str">
        <v>Ottawa Senators</v>
      </c>
      <c r="N27">
        <v>57.33</v>
      </c>
      <c r="O27">
        <v>16.38</v>
      </c>
      <c r="P27">
        <v>1.17</v>
      </c>
      <c r="Q27">
        <v>7.14</v>
      </c>
      <c r="R27">
        <v>25.74</v>
      </c>
      <c r="S27">
        <v>3.51</v>
      </c>
      <c r="T27">
        <v>13.64</v>
      </c>
      <c r="U27">
        <v>2.34</v>
      </c>
      <c r="V27">
        <v>12.24</v>
      </c>
      <c r="W27">
        <v>8.4666666666666668E-2</v>
      </c>
      <c r="X27">
        <f t="shared" si="1"/>
        <v>0.51767703872120463</v>
      </c>
      <c r="Y27">
        <f t="shared" si="0"/>
        <v>3.2579487328952368</v>
      </c>
    </row>
    <row r="28" spans="1:25" x14ac:dyDescent="0.35">
      <c r="A28" t="str">
        <v>Philadelphia Flyers</v>
      </c>
      <c r="B28">
        <v>30.56</v>
      </c>
      <c r="C28">
        <v>6.66</v>
      </c>
      <c r="D28">
        <v>0.95</v>
      </c>
      <c r="E28">
        <v>14.29</v>
      </c>
      <c r="F28">
        <v>7.85</v>
      </c>
      <c r="G28">
        <v>0.95</v>
      </c>
      <c r="H28">
        <v>12.12</v>
      </c>
      <c r="I28">
        <v>0.36</v>
      </c>
      <c r="J28">
        <v>7.39</v>
      </c>
      <c r="K28">
        <v>0.83783333333333343</v>
      </c>
      <c r="L28">
        <f t="shared" si="2"/>
        <v>1.9068108422174372</v>
      </c>
      <c r="M28" t="str">
        <v>Philadelphia Flyers</v>
      </c>
      <c r="N28">
        <v>45.42</v>
      </c>
      <c r="O28">
        <v>14.53</v>
      </c>
      <c r="P28">
        <v>4.54</v>
      </c>
      <c r="Q28">
        <v>31.25</v>
      </c>
      <c r="R28">
        <v>6.36</v>
      </c>
      <c r="S28">
        <v>0</v>
      </c>
      <c r="T28">
        <v>0</v>
      </c>
      <c r="U28">
        <v>1.82</v>
      </c>
      <c r="V28">
        <v>14</v>
      </c>
      <c r="W28">
        <v>0.12266666666666667</v>
      </c>
      <c r="X28">
        <f t="shared" si="1"/>
        <v>0.72838951097161242</v>
      </c>
      <c r="Y28">
        <f t="shared" si="0"/>
        <v>2.6352003531890498</v>
      </c>
    </row>
    <row r="29" spans="1:25" x14ac:dyDescent="0.35">
      <c r="A29" t="str">
        <v>Pittsburgh Penguins</v>
      </c>
      <c r="B29">
        <v>27.86</v>
      </c>
      <c r="C29">
        <v>8.81</v>
      </c>
      <c r="D29">
        <v>1.9</v>
      </c>
      <c r="E29">
        <v>21.62</v>
      </c>
      <c r="F29">
        <v>6.19</v>
      </c>
      <c r="G29">
        <v>0.24</v>
      </c>
      <c r="H29">
        <v>3.85</v>
      </c>
      <c r="I29">
        <v>0.95</v>
      </c>
      <c r="J29">
        <v>11.97</v>
      </c>
      <c r="K29">
        <v>0.83733333333333337</v>
      </c>
      <c r="L29">
        <f t="shared" si="2"/>
        <v>2.8827841801349967</v>
      </c>
      <c r="M29" t="str">
        <v>Pittsburgh Penguins</v>
      </c>
      <c r="N29">
        <v>61.54</v>
      </c>
      <c r="O29">
        <v>22.74</v>
      </c>
      <c r="P29">
        <v>4.01</v>
      </c>
      <c r="Q29">
        <v>17.649999999999999</v>
      </c>
      <c r="R29">
        <v>17.39</v>
      </c>
      <c r="S29">
        <v>2.68</v>
      </c>
      <c r="T29">
        <v>15.38</v>
      </c>
      <c r="U29">
        <v>0</v>
      </c>
      <c r="V29">
        <v>10.87</v>
      </c>
      <c r="W29">
        <v>7.1499999999999994E-2</v>
      </c>
      <c r="X29">
        <f t="shared" si="1"/>
        <v>0.44530328258849355</v>
      </c>
      <c r="Y29">
        <f t="shared" si="0"/>
        <v>3.3280874627234902</v>
      </c>
    </row>
    <row r="30" spans="1:25" x14ac:dyDescent="0.35">
      <c r="A30" t="str">
        <v>San Jose Sharks</v>
      </c>
      <c r="B30">
        <v>27.41</v>
      </c>
      <c r="C30">
        <v>8.2200000000000006</v>
      </c>
      <c r="D30">
        <v>1.19</v>
      </c>
      <c r="E30">
        <v>14.49</v>
      </c>
      <c r="F30">
        <v>8.11</v>
      </c>
      <c r="G30">
        <v>1.07</v>
      </c>
      <c r="H30">
        <v>13.24</v>
      </c>
      <c r="I30">
        <v>0.36</v>
      </c>
      <c r="J30">
        <v>9.57</v>
      </c>
      <c r="K30">
        <v>0.83666666666666667</v>
      </c>
      <c r="L30">
        <f t="shared" si="2"/>
        <v>2.2252397350302959</v>
      </c>
      <c r="M30" t="str">
        <v>San Jose Sharks</v>
      </c>
      <c r="N30">
        <v>51.84</v>
      </c>
      <c r="O30">
        <v>19.440000000000001</v>
      </c>
      <c r="P30">
        <v>3.89</v>
      </c>
      <c r="Q30">
        <v>20</v>
      </c>
      <c r="R30">
        <v>18.14</v>
      </c>
      <c r="S30">
        <v>0</v>
      </c>
      <c r="T30">
        <v>0</v>
      </c>
      <c r="U30">
        <v>3.89</v>
      </c>
      <c r="V30">
        <v>15</v>
      </c>
      <c r="W30">
        <v>8.9666666666666658E-2</v>
      </c>
      <c r="X30">
        <f t="shared" si="1"/>
        <v>0.56339071296018628</v>
      </c>
      <c r="Y30">
        <f t="shared" si="0"/>
        <v>2.7886304479904824</v>
      </c>
    </row>
    <row r="31" spans="1:25" x14ac:dyDescent="0.35">
      <c r="A31" t="str">
        <v>St Louis Blues</v>
      </c>
      <c r="B31">
        <v>31.43</v>
      </c>
      <c r="C31">
        <v>5.82</v>
      </c>
      <c r="D31">
        <v>1.1599999999999999</v>
      </c>
      <c r="E31">
        <v>20</v>
      </c>
      <c r="F31">
        <v>9.7799999999999994</v>
      </c>
      <c r="G31">
        <v>0.7</v>
      </c>
      <c r="H31">
        <v>7.14</v>
      </c>
      <c r="I31">
        <v>0.35</v>
      </c>
      <c r="J31">
        <v>7.04</v>
      </c>
      <c r="K31">
        <v>0.872</v>
      </c>
      <c r="L31">
        <f t="shared" si="2"/>
        <v>1.925950563856839</v>
      </c>
      <c r="M31" t="str">
        <v>St Louis Blues</v>
      </c>
      <c r="N31">
        <v>66.72</v>
      </c>
      <c r="O31">
        <v>14.37</v>
      </c>
      <c r="P31">
        <v>4.1100000000000003</v>
      </c>
      <c r="Q31">
        <v>28.57</v>
      </c>
      <c r="R31">
        <v>11.29</v>
      </c>
      <c r="S31">
        <v>1.03</v>
      </c>
      <c r="T31">
        <v>9.09</v>
      </c>
      <c r="U31">
        <v>0</v>
      </c>
      <c r="V31">
        <v>7.69</v>
      </c>
      <c r="W31">
        <v>0.1085</v>
      </c>
      <c r="X31">
        <f t="shared" si="1"/>
        <v>0.60692029982457107</v>
      </c>
      <c r="Y31">
        <f t="shared" si="0"/>
        <v>2.5328708636814099</v>
      </c>
    </row>
    <row r="32" spans="1:25" x14ac:dyDescent="0.35">
      <c r="A32" t="str">
        <v>Tampa Bay Lightning</v>
      </c>
      <c r="B32">
        <v>28.59</v>
      </c>
      <c r="C32">
        <v>8.42</v>
      </c>
      <c r="D32">
        <v>1.98</v>
      </c>
      <c r="E32">
        <v>23.53</v>
      </c>
      <c r="F32">
        <v>9.7799999999999994</v>
      </c>
      <c r="G32">
        <v>0.62</v>
      </c>
      <c r="H32">
        <v>6.33</v>
      </c>
      <c r="I32">
        <v>0.62</v>
      </c>
      <c r="J32">
        <v>12.99</v>
      </c>
      <c r="K32">
        <v>0.80466666666666664</v>
      </c>
      <c r="L32">
        <f t="shared" si="2"/>
        <v>3.014134063323842</v>
      </c>
      <c r="M32" t="str">
        <v>Tampa Bay Lightning</v>
      </c>
      <c r="N32">
        <v>45.46</v>
      </c>
      <c r="O32">
        <v>18.43</v>
      </c>
      <c r="P32">
        <v>6.14</v>
      </c>
      <c r="Q32">
        <v>33.33</v>
      </c>
      <c r="R32">
        <v>14.74</v>
      </c>
      <c r="S32">
        <v>2.46</v>
      </c>
      <c r="T32">
        <v>16.670000000000002</v>
      </c>
      <c r="U32">
        <v>0</v>
      </c>
      <c r="V32">
        <v>18.920000000000002</v>
      </c>
      <c r="W32">
        <v>9.2166666666666675E-2</v>
      </c>
      <c r="X32">
        <f t="shared" si="1"/>
        <v>0.72714768737822322</v>
      </c>
      <c r="Y32">
        <f t="shared" si="0"/>
        <v>3.7412817507020653</v>
      </c>
    </row>
    <row r="33" spans="1:25" x14ac:dyDescent="0.35">
      <c r="A33" t="str">
        <v>Toronto Maple Leafs</v>
      </c>
      <c r="B33">
        <v>32.47</v>
      </c>
      <c r="C33">
        <v>11.14</v>
      </c>
      <c r="D33">
        <v>1.32</v>
      </c>
      <c r="E33">
        <v>11.83</v>
      </c>
      <c r="F33">
        <v>10.18</v>
      </c>
      <c r="G33">
        <v>1.32</v>
      </c>
      <c r="H33">
        <v>12.94</v>
      </c>
      <c r="I33">
        <v>0.36</v>
      </c>
      <c r="J33">
        <v>9.23</v>
      </c>
      <c r="K33">
        <v>0.83416666666666661</v>
      </c>
      <c r="L33">
        <f t="shared" si="2"/>
        <v>2.4742042326007412</v>
      </c>
      <c r="M33" t="str">
        <v>Toronto Maple Leafs</v>
      </c>
      <c r="N33">
        <v>41.86</v>
      </c>
      <c r="O33">
        <v>15.42</v>
      </c>
      <c r="P33">
        <v>3.3</v>
      </c>
      <c r="Q33">
        <v>21.43</v>
      </c>
      <c r="R33">
        <v>14.32</v>
      </c>
      <c r="S33">
        <v>1.1000000000000001</v>
      </c>
      <c r="T33">
        <v>7.69</v>
      </c>
      <c r="U33">
        <v>0</v>
      </c>
      <c r="V33">
        <v>10.53</v>
      </c>
      <c r="W33">
        <v>8.7833333333333333E-2</v>
      </c>
      <c r="X33">
        <f t="shared" si="1"/>
        <v>0.37479567117715151</v>
      </c>
      <c r="Y33">
        <f t="shared" si="0"/>
        <v>2.8489999037778926</v>
      </c>
    </row>
    <row r="34" spans="1:25" x14ac:dyDescent="0.35">
      <c r="A34" t="str">
        <v>Vancouver Canucks</v>
      </c>
      <c r="B34">
        <v>29.3</v>
      </c>
      <c r="C34">
        <v>6.8</v>
      </c>
      <c r="D34">
        <v>0.7</v>
      </c>
      <c r="E34">
        <v>10.34</v>
      </c>
      <c r="F34">
        <v>7.15</v>
      </c>
      <c r="G34">
        <v>0.59</v>
      </c>
      <c r="H34">
        <v>8.1999999999999993</v>
      </c>
      <c r="I34">
        <v>0.12</v>
      </c>
      <c r="J34">
        <v>4.8</v>
      </c>
      <c r="K34">
        <v>0.85199999999999998</v>
      </c>
      <c r="L34">
        <f t="shared" si="2"/>
        <v>1.1967060679379296</v>
      </c>
      <c r="M34" t="str">
        <v>Vancouver Canucks</v>
      </c>
      <c r="N34">
        <v>59.52</v>
      </c>
      <c r="O34">
        <v>15.97</v>
      </c>
      <c r="P34">
        <v>4.3499999999999996</v>
      </c>
      <c r="Q34">
        <v>27.27</v>
      </c>
      <c r="R34">
        <v>18.87</v>
      </c>
      <c r="S34">
        <v>1.45</v>
      </c>
      <c r="T34">
        <v>7.69</v>
      </c>
      <c r="U34">
        <v>2.9</v>
      </c>
      <c r="V34">
        <v>14.63</v>
      </c>
      <c r="W34">
        <v>6.8000000000000005E-2</v>
      </c>
      <c r="X34">
        <f t="shared" si="1"/>
        <v>0.49466207371382059</v>
      </c>
      <c r="Y34">
        <f t="shared" si="0"/>
        <v>1.6913681416517501</v>
      </c>
    </row>
    <row r="35" spans="1:25" x14ac:dyDescent="0.35">
      <c r="A35" t="str">
        <v>Vegas Golden Knights</v>
      </c>
      <c r="B35">
        <v>28.31</v>
      </c>
      <c r="C35">
        <v>7.25</v>
      </c>
      <c r="D35">
        <v>1.5</v>
      </c>
      <c r="E35">
        <v>20.63</v>
      </c>
      <c r="F35">
        <v>7.48</v>
      </c>
      <c r="G35">
        <v>0.69</v>
      </c>
      <c r="H35">
        <v>9.23</v>
      </c>
      <c r="I35">
        <v>0.69</v>
      </c>
      <c r="J35">
        <v>10.16</v>
      </c>
      <c r="K35">
        <v>0.86799999999999999</v>
      </c>
      <c r="L35">
        <f t="shared" si="2"/>
        <v>2.5284265707846081</v>
      </c>
      <c r="M35" t="str">
        <v>Vegas Golden Knights</v>
      </c>
      <c r="N35">
        <v>82.2</v>
      </c>
      <c r="O35">
        <v>22.68</v>
      </c>
      <c r="P35">
        <v>5.67</v>
      </c>
      <c r="Q35">
        <v>25</v>
      </c>
      <c r="R35">
        <v>22.68</v>
      </c>
      <c r="S35">
        <v>2.83</v>
      </c>
      <c r="T35">
        <v>12.5</v>
      </c>
      <c r="U35">
        <v>4.25</v>
      </c>
      <c r="V35">
        <v>15.52</v>
      </c>
      <c r="W35">
        <v>6.8999999999999992E-2</v>
      </c>
      <c r="X35">
        <f t="shared" si="1"/>
        <v>0.68695076634054497</v>
      </c>
      <c r="Y35">
        <f t="shared" si="0"/>
        <v>3.2153773371251528</v>
      </c>
    </row>
    <row r="36" spans="1:25" x14ac:dyDescent="0.35">
      <c r="A36" t="str">
        <v>Winnipeg Jets</v>
      </c>
      <c r="B36">
        <v>29.71</v>
      </c>
      <c r="C36">
        <v>7.89</v>
      </c>
      <c r="D36">
        <v>2.09</v>
      </c>
      <c r="E36">
        <v>26.47</v>
      </c>
      <c r="F36">
        <v>8.36</v>
      </c>
      <c r="G36">
        <v>0.57999999999999996</v>
      </c>
      <c r="H36">
        <v>6.94</v>
      </c>
      <c r="I36">
        <v>0.12</v>
      </c>
      <c r="J36">
        <v>9.77</v>
      </c>
      <c r="K36">
        <v>0.8736666666666667</v>
      </c>
      <c r="L36">
        <f>($L$5+($B$5*B36)+($C$5*C36)+($D$5*D36)+($E$5*E36)+($F$5*F36)+($G$5*G36)+($H$5*H36)+($I$5*I36)+($J$5*J36))*K36</f>
        <v>2.5443544172071819</v>
      </c>
      <c r="M36" t="str">
        <v>Winnipeg Jets</v>
      </c>
      <c r="N36">
        <v>48.77</v>
      </c>
      <c r="O36">
        <v>17.73</v>
      </c>
      <c r="P36">
        <v>2.96</v>
      </c>
      <c r="Q36">
        <v>16.670000000000002</v>
      </c>
      <c r="R36">
        <v>13.3</v>
      </c>
      <c r="S36">
        <v>5.91</v>
      </c>
      <c r="T36">
        <v>44.44</v>
      </c>
      <c r="U36">
        <v>0</v>
      </c>
      <c r="V36">
        <v>18.18</v>
      </c>
      <c r="W36">
        <v>6.7333333333333328E-2</v>
      </c>
      <c r="X36">
        <f t="shared" si="1"/>
        <v>0.53083163735533412</v>
      </c>
      <c r="Y36">
        <f t="shared" si="0"/>
        <v>3.0751860545625158</v>
      </c>
    </row>
    <row r="37" spans="1:25" x14ac:dyDescent="0.35">
      <c r="A37" t="str">
        <v>Washington Capitals</v>
      </c>
      <c r="B37">
        <v>28.68</v>
      </c>
      <c r="C37">
        <v>6.73</v>
      </c>
      <c r="D37">
        <v>1.39</v>
      </c>
      <c r="E37">
        <v>20.69</v>
      </c>
      <c r="F37">
        <v>7.08</v>
      </c>
      <c r="G37">
        <v>0.57999999999999996</v>
      </c>
      <c r="H37">
        <v>8.1999999999999993</v>
      </c>
      <c r="I37">
        <v>0.23</v>
      </c>
      <c r="J37">
        <v>8.1</v>
      </c>
      <c r="K37">
        <v>0.87349999999999994</v>
      </c>
      <c r="L37">
        <f t="shared" si="2"/>
        <v>2.0145619206807712</v>
      </c>
      <c r="M37" t="str">
        <v>Washington Capitals</v>
      </c>
      <c r="N37">
        <v>34.770000000000003</v>
      </c>
      <c r="O37">
        <v>10.7</v>
      </c>
      <c r="P37">
        <v>6.69</v>
      </c>
      <c r="Q37">
        <v>62.5</v>
      </c>
      <c r="R37">
        <v>9.36</v>
      </c>
      <c r="S37">
        <v>4.01</v>
      </c>
      <c r="T37">
        <v>42.86</v>
      </c>
      <c r="U37">
        <v>1.34</v>
      </c>
      <c r="V37">
        <v>34.619999999999997</v>
      </c>
      <c r="W37">
        <v>7.1499999999999994E-2</v>
      </c>
      <c r="X37">
        <f t="shared" si="1"/>
        <v>0.8271379338840642</v>
      </c>
      <c r="Y37">
        <f t="shared" si="0"/>
        <v>2.8416998545648355</v>
      </c>
    </row>
    <row r="42" spans="1:25" ht="14.5" customHeight="1" x14ac:dyDescent="0.6">
      <c r="A42" s="72" t="s">
        <v>89</v>
      </c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12"/>
    </row>
    <row r="43" spans="1:25" ht="14.5" customHeight="1" x14ac:dyDescent="0.6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12"/>
    </row>
    <row r="44" spans="1:25" x14ac:dyDescent="0.35">
      <c r="A44" s="73" t="s">
        <v>86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 t="s">
        <v>84</v>
      </c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11"/>
    </row>
    <row r="45" spans="1:25" x14ac:dyDescent="0.35">
      <c r="A45" s="2"/>
      <c r="B45" s="2" t="s">
        <v>95</v>
      </c>
      <c r="C45" s="2" t="s">
        <v>108</v>
      </c>
      <c r="D45" s="2" t="s">
        <v>109</v>
      </c>
      <c r="E45" s="2" t="s">
        <v>23</v>
      </c>
      <c r="F45" s="2" t="s">
        <v>112</v>
      </c>
      <c r="G45" s="2" t="s">
        <v>113</v>
      </c>
      <c r="H45" s="2" t="s">
        <v>28</v>
      </c>
      <c r="I45" s="2" t="s">
        <v>117</v>
      </c>
      <c r="J45" s="2" t="s">
        <v>35</v>
      </c>
      <c r="K45" s="2"/>
      <c r="L45" s="2" t="s">
        <v>70</v>
      </c>
      <c r="M45" s="2"/>
      <c r="N45" s="2" t="s">
        <v>95</v>
      </c>
      <c r="O45" s="2" t="s">
        <v>108</v>
      </c>
      <c r="P45" s="2" t="s">
        <v>109</v>
      </c>
      <c r="Q45" s="2" t="s">
        <v>23</v>
      </c>
      <c r="R45" s="2" t="s">
        <v>112</v>
      </c>
      <c r="S45" s="2" t="s">
        <v>113</v>
      </c>
      <c r="T45" s="2" t="s">
        <v>28</v>
      </c>
      <c r="U45" s="2" t="s">
        <v>117</v>
      </c>
      <c r="V45" s="2" t="s">
        <v>35</v>
      </c>
      <c r="W45" s="2"/>
      <c r="X45" s="2" t="s">
        <v>70</v>
      </c>
      <c r="Y45" s="11"/>
    </row>
    <row r="46" spans="1:25" ht="15" thickBot="1" x14ac:dyDescent="0.4">
      <c r="A46" s="5" t="s">
        <v>83</v>
      </c>
      <c r="B46" s="2">
        <v>7.5072392688823708E-2</v>
      </c>
      <c r="C46" s="2">
        <v>-5.3282646223116806E-2</v>
      </c>
      <c r="D46" s="2">
        <v>0.40809356338916575</v>
      </c>
      <c r="E46" s="2">
        <v>-2.3847963791489516E-2</v>
      </c>
      <c r="F46" s="2">
        <v>-2.9854012229833072E-2</v>
      </c>
      <c r="G46" s="2">
        <v>0.44780027611623879</v>
      </c>
      <c r="H46" s="2">
        <v>-2.7977888846503669E-2</v>
      </c>
      <c r="I46" s="2">
        <v>9.6775272570527371E-2</v>
      </c>
      <c r="J46" s="2">
        <v>0.27318953794108231</v>
      </c>
      <c r="K46" s="2"/>
      <c r="L46" s="3">
        <v>-1.61604217520175</v>
      </c>
      <c r="M46" s="5" t="s">
        <v>83</v>
      </c>
      <c r="N46" s="2">
        <v>7.5072392688823708E-2</v>
      </c>
      <c r="O46" s="2">
        <v>-5.3282646223116806E-2</v>
      </c>
      <c r="P46" s="2">
        <v>0.40809356338916575</v>
      </c>
      <c r="Q46" s="2">
        <v>-2.3847963791489516E-2</v>
      </c>
      <c r="R46" s="2">
        <v>-2.9854012229833072E-2</v>
      </c>
      <c r="S46" s="2">
        <v>0.44780027611623879</v>
      </c>
      <c r="T46" s="2">
        <v>-2.7977888846503669E-2</v>
      </c>
      <c r="U46" s="2">
        <v>9.6775272570527371E-2</v>
      </c>
      <c r="V46" s="2">
        <v>0.27318953794108231</v>
      </c>
      <c r="W46" s="2"/>
      <c r="X46" s="3">
        <v>-1.61604217520175</v>
      </c>
      <c r="Y46" s="11"/>
    </row>
    <row r="47" spans="1:25" x14ac:dyDescent="0.35">
      <c r="A47" s="4" t="s">
        <v>81</v>
      </c>
      <c r="B47" s="4" t="s">
        <v>95</v>
      </c>
      <c r="C47" s="4" t="s">
        <v>108</v>
      </c>
      <c r="D47" s="4" t="s">
        <v>109</v>
      </c>
      <c r="E47" s="4" t="s">
        <v>23</v>
      </c>
      <c r="F47" s="4" t="s">
        <v>112</v>
      </c>
      <c r="G47" s="4" t="s">
        <v>113</v>
      </c>
      <c r="H47" s="4" t="s">
        <v>28</v>
      </c>
      <c r="I47" s="4" t="s">
        <v>117</v>
      </c>
      <c r="J47" s="4" t="s">
        <v>35</v>
      </c>
      <c r="K47" s="4" t="s">
        <v>119</v>
      </c>
      <c r="L47" s="4" t="s">
        <v>82</v>
      </c>
      <c r="M47" s="4" t="s">
        <v>81</v>
      </c>
      <c r="N47" s="4" t="s">
        <v>95</v>
      </c>
      <c r="O47" s="4" t="s">
        <v>108</v>
      </c>
      <c r="P47" s="4" t="s">
        <v>109</v>
      </c>
      <c r="Q47" s="4" t="s">
        <v>23</v>
      </c>
      <c r="R47" s="4" t="s">
        <v>112</v>
      </c>
      <c r="S47" s="4" t="s">
        <v>113</v>
      </c>
      <c r="T47" s="4" t="s">
        <v>28</v>
      </c>
      <c r="U47" s="4" t="s">
        <v>117</v>
      </c>
      <c r="V47" s="4" t="s">
        <v>35</v>
      </c>
      <c r="W47" s="4" t="s">
        <v>119</v>
      </c>
      <c r="X47" s="4" t="s">
        <v>82</v>
      </c>
      <c r="Y47" s="11" t="s">
        <v>69</v>
      </c>
    </row>
    <row r="48" spans="1:25" x14ac:dyDescent="0.35">
      <c r="A48" t="str" cm="1">
        <f t="array" ref="A48:A78">Table5[Team]</f>
        <v>Anaheim Ducks</v>
      </c>
      <c r="B48" cm="1">
        <f t="array" ref="B48:B78">Table_0__2[SF/60]</f>
        <v>26.29</v>
      </c>
      <c r="C48" cm="1">
        <f t="array" ref="C48:C78">Table_0__2[HDSF/60]</f>
        <v>5.69</v>
      </c>
      <c r="D48" cm="1">
        <f t="array" ref="D48:D78">Table_0__2[HDGF/60]</f>
        <v>0.8</v>
      </c>
      <c r="E48" cm="1">
        <f t="array" ref="E48:E78">Table_0__2[HDSH%]</f>
        <v>14</v>
      </c>
      <c r="F48" cm="1">
        <f t="array" ref="F48:F78">Table_0__2[MDSF/60]</f>
        <v>6.72</v>
      </c>
      <c r="G48" cm="1">
        <f t="array" ref="G48:G78">Table_0__2[MDGF/60]</f>
        <v>1.25</v>
      </c>
      <c r="H48" cm="1">
        <f t="array" ref="H48:H78">Table_0__2[MDSH%]</f>
        <v>18.64</v>
      </c>
      <c r="I48" cm="1">
        <f t="array" ref="I48:I78">Table_0__2[LDGF/60]</f>
        <v>0.34</v>
      </c>
      <c r="J48" cm="1">
        <f t="array" ref="J48:J78">Table_0__2[SH%]</f>
        <v>9.09</v>
      </c>
      <c r="K48" cm="1">
        <f t="array" ref="K48:K78">Table_0__2[TOI/GP]/60</f>
        <v>0.89049999999999996</v>
      </c>
      <c r="L48">
        <f>($L$5+($B$5*B48)+($C$5*C48)+($D$5*D48)+($E$5*E48)+($F$5*F48)+($G$5*G48)+($H$5*H48)+($I$5*I48)+($J$5*J48))*K48</f>
        <v>2.1379624074779278</v>
      </c>
      <c r="M48" t="str" cm="1">
        <f t="array" ref="M48:M78">Table4[Team]</f>
        <v>Anaheim Ducks</v>
      </c>
      <c r="N48" cm="1">
        <f t="array" ref="N48:N78">Table5[SF/60]</f>
        <v>47.6</v>
      </c>
      <c r="O48" cm="1">
        <f t="array" ref="O48:O78">Table5[HDSF/60]</f>
        <v>12.69</v>
      </c>
      <c r="P48" cm="1">
        <f t="array" ref="P48:P78">Table5[HDGF/60]</f>
        <v>6.35</v>
      </c>
      <c r="Q48" cm="1">
        <f t="array" ref="Q48:Q78">Table5[HDSH%]</f>
        <v>50</v>
      </c>
      <c r="R48" cm="1">
        <f t="array" ref="R48:R78">Table5[MDSF/60]</f>
        <v>7.93</v>
      </c>
      <c r="S48" cm="1">
        <f t="array" ref="S48:S78">Table5[MDGF/60]</f>
        <v>0</v>
      </c>
      <c r="T48" cm="1">
        <f t="array" ref="T48:T78">Table5[MDSH%]</f>
        <v>0</v>
      </c>
      <c r="U48" cm="1">
        <f t="array" ref="U48:U78">Table5[LDGF/60]</f>
        <v>1.59</v>
      </c>
      <c r="V48" cm="1">
        <f t="array" ref="V48:V78">Table5[SH%]</f>
        <v>16.670000000000002</v>
      </c>
      <c r="W48" cm="1">
        <f t="array" ref="W48:W78">Table5[TOI/GP]/60</f>
        <v>7.4499999999999997E-2</v>
      </c>
      <c r="X48">
        <f>($L$5+($B$5*N48)+($C$5*O48)+($D$5*P48)+($E$5*Q48)+($F$5*R48)+($G$5*S48)+($H$5*T48)+($I$5*U48)+($J$5*V48))*W48</f>
        <v>0.53278249143428069</v>
      </c>
      <c r="Y48">
        <f t="shared" ref="Y48:Y78" si="3">L48+X48</f>
        <v>2.6707448989122087</v>
      </c>
    </row>
    <row r="49" spans="1:25" x14ac:dyDescent="0.35">
      <c r="A49" t="str">
        <v>Arizona Coyotes</v>
      </c>
      <c r="B49">
        <v>22.64</v>
      </c>
      <c r="C49">
        <v>6.09</v>
      </c>
      <c r="D49">
        <v>0.73</v>
      </c>
      <c r="E49">
        <v>12</v>
      </c>
      <c r="F49">
        <v>6.7</v>
      </c>
      <c r="G49">
        <v>0.49</v>
      </c>
      <c r="H49">
        <v>7.27</v>
      </c>
      <c r="I49">
        <v>0.37</v>
      </c>
      <c r="J49">
        <v>6.99</v>
      </c>
      <c r="K49">
        <v>0.81950000000000001</v>
      </c>
      <c r="L49">
        <f>($L$5+($B$5*B49)+($C$5*C49)+($D$5*D49)+($E$5*E49)+($F$5*F49)+($G$5*G49)+($H$5*H49)+($I$5*I49)+($J$5*J49))*K49</f>
        <v>1.2556714487343585</v>
      </c>
      <c r="M49" t="str">
        <v>Arizona Coyotes</v>
      </c>
      <c r="N49">
        <v>37.33</v>
      </c>
      <c r="O49">
        <v>8.5299999999999994</v>
      </c>
      <c r="P49">
        <v>5.33</v>
      </c>
      <c r="Q49">
        <v>62.5</v>
      </c>
      <c r="R49">
        <v>9.6</v>
      </c>
      <c r="S49">
        <v>2.13</v>
      </c>
      <c r="T49">
        <v>22.22</v>
      </c>
      <c r="U49">
        <v>1.07</v>
      </c>
      <c r="V49">
        <v>22.86</v>
      </c>
      <c r="W49">
        <v>0.10633333333333334</v>
      </c>
      <c r="X49">
        <f t="shared" ref="X49:X78" si="4">($L$5+($B$5*N49)+($C$5*O49)+($D$5*P49)+($E$5*Q49)+($F$5*R49)+($G$5*S49)+($H$5*T49)+($I$5*U49)+($J$5*V49))*W49</f>
        <v>0.83054414528651277</v>
      </c>
      <c r="Y49">
        <f t="shared" si="3"/>
        <v>2.0862155940208713</v>
      </c>
    </row>
    <row r="50" spans="1:25" x14ac:dyDescent="0.35">
      <c r="A50" t="str">
        <v>Boston Bruins</v>
      </c>
      <c r="B50">
        <v>34.200000000000003</v>
      </c>
      <c r="C50">
        <v>7.27</v>
      </c>
      <c r="D50">
        <v>1.07</v>
      </c>
      <c r="E50">
        <v>14.75</v>
      </c>
      <c r="F50">
        <v>9.5299999999999994</v>
      </c>
      <c r="G50">
        <v>0.36</v>
      </c>
      <c r="H50">
        <v>3.75</v>
      </c>
      <c r="I50">
        <v>0.36</v>
      </c>
      <c r="J50">
        <v>5.23</v>
      </c>
      <c r="K50">
        <v>0.83683333333333332</v>
      </c>
      <c r="L50">
        <f t="shared" ref="L50:L78" si="5">($L$5+($B$5*B50)+($C$5*C50)+($D$5*D50)+($E$5*E50)+($F$5*F50)+($G$5*G50)+($H$5*H50)+($I$5*I50)+($J$5*J50))*K50</f>
        <v>1.5769070801455569</v>
      </c>
      <c r="M50" t="str">
        <v>Boston Bruins</v>
      </c>
      <c r="N50">
        <v>45.48</v>
      </c>
      <c r="O50">
        <v>12.69</v>
      </c>
      <c r="P50">
        <v>2.12</v>
      </c>
      <c r="Q50">
        <v>16.670000000000002</v>
      </c>
      <c r="R50">
        <v>12.69</v>
      </c>
      <c r="S50">
        <v>0</v>
      </c>
      <c r="T50">
        <v>0</v>
      </c>
      <c r="U50">
        <v>3.17</v>
      </c>
      <c r="V50">
        <v>11.63</v>
      </c>
      <c r="W50">
        <v>0.10666666666666667</v>
      </c>
      <c r="X50">
        <f t="shared" si="4"/>
        <v>0.50078195059224306</v>
      </c>
      <c r="Y50">
        <f t="shared" si="3"/>
        <v>2.0776890307378002</v>
      </c>
    </row>
    <row r="51" spans="1:25" x14ac:dyDescent="0.35">
      <c r="A51" t="str">
        <v>Buffalo Sabres</v>
      </c>
      <c r="B51">
        <v>27.24</v>
      </c>
      <c r="C51">
        <v>6.84</v>
      </c>
      <c r="D51">
        <v>1.37</v>
      </c>
      <c r="E51">
        <v>20</v>
      </c>
      <c r="F51">
        <v>7.52</v>
      </c>
      <c r="G51">
        <v>0.46</v>
      </c>
      <c r="H51">
        <v>6.06</v>
      </c>
      <c r="I51">
        <v>0.68</v>
      </c>
      <c r="J51">
        <v>9.2100000000000009</v>
      </c>
      <c r="K51">
        <v>0.88983333333333337</v>
      </c>
      <c r="L51">
        <f t="shared" si="5"/>
        <v>2.2605576807619769</v>
      </c>
      <c r="M51" t="str">
        <v>Buffalo Sabres</v>
      </c>
      <c r="N51">
        <v>33.26</v>
      </c>
      <c r="O51">
        <v>12.94</v>
      </c>
      <c r="P51">
        <v>0</v>
      </c>
      <c r="Q51">
        <v>0</v>
      </c>
      <c r="R51">
        <v>5.54</v>
      </c>
      <c r="S51">
        <v>1.85</v>
      </c>
      <c r="T51">
        <v>33.33</v>
      </c>
      <c r="U51">
        <v>1.85</v>
      </c>
      <c r="V51">
        <v>11.11</v>
      </c>
      <c r="W51">
        <v>5.2499999999999998E-2</v>
      </c>
      <c r="X51">
        <f t="shared" si="4"/>
        <v>0.16464495768472995</v>
      </c>
      <c r="Y51">
        <f t="shared" si="3"/>
        <v>2.4252026384467067</v>
      </c>
    </row>
    <row r="52" spans="1:25" x14ac:dyDescent="0.35">
      <c r="A52" t="str">
        <v>Carolina Hurricanes</v>
      </c>
      <c r="B52">
        <v>27.6</v>
      </c>
      <c r="C52">
        <v>7.19</v>
      </c>
      <c r="D52">
        <v>1.3</v>
      </c>
      <c r="E52">
        <v>18.03</v>
      </c>
      <c r="F52">
        <v>7.67</v>
      </c>
      <c r="G52">
        <v>0.59</v>
      </c>
      <c r="H52">
        <v>7.69</v>
      </c>
      <c r="I52">
        <v>0.12</v>
      </c>
      <c r="J52">
        <v>7.26</v>
      </c>
      <c r="K52">
        <v>0.85866666666666669</v>
      </c>
      <c r="L52">
        <f t="shared" si="5"/>
        <v>1.7074049862165135</v>
      </c>
      <c r="M52" t="str">
        <v>Carolina Hurricanes</v>
      </c>
      <c r="N52">
        <v>57.7</v>
      </c>
      <c r="O52">
        <v>17.440000000000001</v>
      </c>
      <c r="P52">
        <v>5.37</v>
      </c>
      <c r="Q52">
        <v>30.77</v>
      </c>
      <c r="R52">
        <v>17.440000000000001</v>
      </c>
      <c r="S52">
        <v>1.34</v>
      </c>
      <c r="T52">
        <v>7.69</v>
      </c>
      <c r="U52">
        <v>2.68</v>
      </c>
      <c r="V52">
        <v>18.600000000000001</v>
      </c>
      <c r="W52">
        <v>7.1333333333333332E-2</v>
      </c>
      <c r="X52">
        <f t="shared" si="4"/>
        <v>0.60269374188801561</v>
      </c>
      <c r="Y52">
        <f t="shared" si="3"/>
        <v>2.3100987281045291</v>
      </c>
    </row>
    <row r="53" spans="1:25" x14ac:dyDescent="0.35">
      <c r="A53" t="str">
        <v>Columbus Blue Jackets</v>
      </c>
      <c r="B53">
        <v>31.26</v>
      </c>
      <c r="C53">
        <v>7.04</v>
      </c>
      <c r="D53">
        <v>1.73</v>
      </c>
      <c r="E53">
        <v>24.59</v>
      </c>
      <c r="F53">
        <v>8.65</v>
      </c>
      <c r="G53">
        <v>0.23</v>
      </c>
      <c r="H53">
        <v>2.67</v>
      </c>
      <c r="I53">
        <v>0.23</v>
      </c>
      <c r="J53">
        <v>7.01</v>
      </c>
      <c r="K53">
        <v>0.8666666666666667</v>
      </c>
      <c r="L53">
        <f t="shared" si="5"/>
        <v>1.8915557214904037</v>
      </c>
      <c r="M53" t="str">
        <v>Columbus Blue Jackets</v>
      </c>
      <c r="N53">
        <v>37.369999999999997</v>
      </c>
      <c r="O53">
        <v>8.01</v>
      </c>
      <c r="P53">
        <v>1.33</v>
      </c>
      <c r="Q53">
        <v>16.670000000000002</v>
      </c>
      <c r="R53">
        <v>6.67</v>
      </c>
      <c r="S53">
        <v>0</v>
      </c>
      <c r="T53">
        <v>0</v>
      </c>
      <c r="U53">
        <v>1.33</v>
      </c>
      <c r="V53">
        <v>7.14</v>
      </c>
      <c r="W53">
        <v>7.166666666666667E-2</v>
      </c>
      <c r="X53">
        <f t="shared" si="4"/>
        <v>0.19980639276247372</v>
      </c>
      <c r="Y53">
        <f t="shared" si="3"/>
        <v>2.0913621142528775</v>
      </c>
    </row>
    <row r="54" spans="1:25" x14ac:dyDescent="0.35">
      <c r="A54" t="str">
        <v>Calgary Flames</v>
      </c>
      <c r="B54">
        <v>30.07</v>
      </c>
      <c r="C54">
        <v>4.79</v>
      </c>
      <c r="D54">
        <v>0.24</v>
      </c>
      <c r="E54">
        <v>5</v>
      </c>
      <c r="F54">
        <v>7.67</v>
      </c>
      <c r="G54">
        <v>0.72</v>
      </c>
      <c r="H54">
        <v>9.3800000000000008</v>
      </c>
      <c r="I54">
        <v>0.6</v>
      </c>
      <c r="J54">
        <v>5.18</v>
      </c>
      <c r="K54">
        <v>0.83416666666666661</v>
      </c>
      <c r="L54">
        <f t="shared" si="5"/>
        <v>1.3922689876897405</v>
      </c>
      <c r="M54" t="str">
        <v>Calgary Flames</v>
      </c>
      <c r="N54">
        <v>51.92</v>
      </c>
      <c r="O54">
        <v>9.56</v>
      </c>
      <c r="P54">
        <v>2.73</v>
      </c>
      <c r="Q54">
        <v>28.57</v>
      </c>
      <c r="R54">
        <v>16.39</v>
      </c>
      <c r="S54">
        <v>4.0999999999999996</v>
      </c>
      <c r="T54">
        <v>25</v>
      </c>
      <c r="U54">
        <v>1.37</v>
      </c>
      <c r="V54">
        <v>15.79</v>
      </c>
      <c r="W54">
        <v>7.0666666666666669E-2</v>
      </c>
      <c r="X54">
        <f t="shared" si="4"/>
        <v>0.51576526253105959</v>
      </c>
      <c r="Y54">
        <f t="shared" si="3"/>
        <v>1.9080342502208001</v>
      </c>
    </row>
    <row r="55" spans="1:25" x14ac:dyDescent="0.35">
      <c r="A55" t="str">
        <v>Chicago Blackhawks</v>
      </c>
      <c r="B55">
        <v>26.13</v>
      </c>
      <c r="C55">
        <v>6.26</v>
      </c>
      <c r="D55">
        <v>0.49</v>
      </c>
      <c r="E55">
        <v>7.84</v>
      </c>
      <c r="F55">
        <v>8.4700000000000006</v>
      </c>
      <c r="G55">
        <v>0.98</v>
      </c>
      <c r="H55">
        <v>11.59</v>
      </c>
      <c r="I55">
        <v>0.37</v>
      </c>
      <c r="J55">
        <v>7.98</v>
      </c>
      <c r="K55">
        <v>0.82566666666666666</v>
      </c>
      <c r="L55">
        <f t="shared" si="5"/>
        <v>1.7360668046567949</v>
      </c>
      <c r="M55" t="str">
        <v>Chicago Blackhawks</v>
      </c>
      <c r="N55">
        <v>40.96</v>
      </c>
      <c r="O55">
        <v>13.96</v>
      </c>
      <c r="P55">
        <v>5.59</v>
      </c>
      <c r="Q55">
        <v>40</v>
      </c>
      <c r="R55">
        <v>15.83</v>
      </c>
      <c r="S55">
        <v>1.86</v>
      </c>
      <c r="T55">
        <v>11.76</v>
      </c>
      <c r="U55">
        <v>0</v>
      </c>
      <c r="V55">
        <v>18.18</v>
      </c>
      <c r="W55">
        <v>0.1045</v>
      </c>
      <c r="X55">
        <f t="shared" si="4"/>
        <v>0.73571209013750538</v>
      </c>
      <c r="Y55">
        <f t="shared" si="3"/>
        <v>2.4717788947943005</v>
      </c>
    </row>
    <row r="56" spans="1:25" x14ac:dyDescent="0.35">
      <c r="A56" t="str">
        <v>Colorado Avalanche</v>
      </c>
      <c r="B56">
        <v>32.43</v>
      </c>
      <c r="C56">
        <v>7.56</v>
      </c>
      <c r="D56">
        <v>1.34</v>
      </c>
      <c r="E56">
        <v>17.739999999999998</v>
      </c>
      <c r="F56">
        <v>10</v>
      </c>
      <c r="G56">
        <v>1.34</v>
      </c>
      <c r="H56">
        <v>13.41</v>
      </c>
      <c r="I56">
        <v>0.61</v>
      </c>
      <c r="J56">
        <v>10.53</v>
      </c>
      <c r="K56">
        <v>0.81866666666666665</v>
      </c>
      <c r="L56">
        <f t="shared" si="5"/>
        <v>2.7847509259180456</v>
      </c>
      <c r="M56" t="str">
        <v>Colorado Avalanche</v>
      </c>
      <c r="N56">
        <v>52.77</v>
      </c>
      <c r="O56">
        <v>18.2</v>
      </c>
      <c r="P56">
        <v>5.46</v>
      </c>
      <c r="Q56">
        <v>30</v>
      </c>
      <c r="R56">
        <v>13.65</v>
      </c>
      <c r="S56">
        <v>0.91</v>
      </c>
      <c r="T56">
        <v>6.67</v>
      </c>
      <c r="U56">
        <v>0</v>
      </c>
      <c r="V56">
        <v>12.07</v>
      </c>
      <c r="W56">
        <v>0.12266666666666667</v>
      </c>
      <c r="X56">
        <f t="shared" si="4"/>
        <v>0.73591560002899981</v>
      </c>
      <c r="Y56">
        <f t="shared" si="3"/>
        <v>3.5206665259470453</v>
      </c>
    </row>
    <row r="57" spans="1:25" x14ac:dyDescent="0.35">
      <c r="A57" t="str">
        <v>Dallas Stars</v>
      </c>
      <c r="B57">
        <v>30.14</v>
      </c>
      <c r="C57">
        <v>6.56</v>
      </c>
      <c r="D57">
        <v>1.38</v>
      </c>
      <c r="E57">
        <v>21.05</v>
      </c>
      <c r="F57">
        <v>8.86</v>
      </c>
      <c r="G57">
        <v>0.46</v>
      </c>
      <c r="H57">
        <v>5.19</v>
      </c>
      <c r="I57">
        <v>0.35</v>
      </c>
      <c r="J57">
        <v>7.25</v>
      </c>
      <c r="K57">
        <v>0.8683333333333334</v>
      </c>
      <c r="L57">
        <f t="shared" si="5"/>
        <v>1.8834557177983322</v>
      </c>
      <c r="M57" t="str">
        <v>Dallas Stars</v>
      </c>
      <c r="N57">
        <v>48.85</v>
      </c>
      <c r="O57">
        <v>15.03</v>
      </c>
      <c r="P57">
        <v>6.26</v>
      </c>
      <c r="Q57">
        <v>41.67</v>
      </c>
      <c r="R57">
        <v>11.27</v>
      </c>
      <c r="S57">
        <v>0</v>
      </c>
      <c r="T57">
        <v>0</v>
      </c>
      <c r="U57">
        <v>0</v>
      </c>
      <c r="V57">
        <v>12.82</v>
      </c>
      <c r="W57">
        <v>9.116666666666666E-2</v>
      </c>
      <c r="X57">
        <f t="shared" si="4"/>
        <v>0.54491795837747836</v>
      </c>
      <c r="Y57">
        <f t="shared" si="3"/>
        <v>2.4283736761758106</v>
      </c>
    </row>
    <row r="58" spans="1:25" x14ac:dyDescent="0.35">
      <c r="A58" t="str">
        <v>Detroit Red Wings</v>
      </c>
      <c r="B58">
        <v>31.41</v>
      </c>
      <c r="C58">
        <v>7.39</v>
      </c>
      <c r="D58">
        <v>1.39</v>
      </c>
      <c r="E58">
        <v>18.75</v>
      </c>
      <c r="F58">
        <v>7.51</v>
      </c>
      <c r="G58">
        <v>0.57999999999999996</v>
      </c>
      <c r="H58">
        <v>7.69</v>
      </c>
      <c r="I58">
        <v>0.12</v>
      </c>
      <c r="J58">
        <v>6.62</v>
      </c>
      <c r="K58">
        <v>0.87616666666666665</v>
      </c>
      <c r="L58">
        <f t="shared" si="5"/>
        <v>1.8476795357936855</v>
      </c>
      <c r="M58" t="str">
        <v>Detroit Red Wings</v>
      </c>
      <c r="N58">
        <v>56.48</v>
      </c>
      <c r="O58">
        <v>10.76</v>
      </c>
      <c r="P58">
        <v>0</v>
      </c>
      <c r="Q58">
        <v>0</v>
      </c>
      <c r="R58">
        <v>17.48</v>
      </c>
      <c r="S58">
        <v>4.03</v>
      </c>
      <c r="T58">
        <v>23.08</v>
      </c>
      <c r="U58">
        <v>1.34</v>
      </c>
      <c r="V58">
        <v>9.52</v>
      </c>
      <c r="W58">
        <v>7.1333333333333332E-2</v>
      </c>
      <c r="X58">
        <f t="shared" si="4"/>
        <v>0.38650011144222063</v>
      </c>
      <c r="Y58">
        <f t="shared" si="3"/>
        <v>2.2341796472359059</v>
      </c>
    </row>
    <row r="59" spans="1:25" x14ac:dyDescent="0.35">
      <c r="A59" t="str">
        <v>Edmonton Oilers</v>
      </c>
      <c r="B59">
        <v>28.64</v>
      </c>
      <c r="C59">
        <v>8.32</v>
      </c>
      <c r="D59">
        <v>1.43</v>
      </c>
      <c r="E59">
        <v>17.14</v>
      </c>
      <c r="F59">
        <v>7.61</v>
      </c>
      <c r="G59">
        <v>0.95</v>
      </c>
      <c r="H59">
        <v>12.5</v>
      </c>
      <c r="I59">
        <v>0.12</v>
      </c>
      <c r="J59">
        <v>9.9600000000000009</v>
      </c>
      <c r="K59">
        <v>0.83816666666666662</v>
      </c>
      <c r="L59">
        <f t="shared" si="5"/>
        <v>2.3859400524149925</v>
      </c>
      <c r="M59" t="str">
        <v>Edmonton Oilers</v>
      </c>
      <c r="N59">
        <v>68.569999999999993</v>
      </c>
      <c r="O59">
        <v>20.57</v>
      </c>
      <c r="P59">
        <v>5.71</v>
      </c>
      <c r="Q59">
        <v>27.78</v>
      </c>
      <c r="R59">
        <v>22.86</v>
      </c>
      <c r="S59">
        <v>2.29</v>
      </c>
      <c r="T59">
        <v>10</v>
      </c>
      <c r="U59">
        <v>2.29</v>
      </c>
      <c r="V59">
        <v>15</v>
      </c>
      <c r="W59">
        <v>8.5833333333333345E-2</v>
      </c>
      <c r="X59">
        <f t="shared" si="4"/>
        <v>0.72838553251895999</v>
      </c>
      <c r="Y59">
        <f t="shared" si="3"/>
        <v>3.1143255849339524</v>
      </c>
    </row>
    <row r="60" spans="1:25" x14ac:dyDescent="0.35">
      <c r="A60" t="str">
        <v>Florida Panthers</v>
      </c>
      <c r="B60">
        <v>32.6</v>
      </c>
      <c r="C60">
        <v>9.1199999999999992</v>
      </c>
      <c r="D60">
        <v>2.0699999999999998</v>
      </c>
      <c r="E60">
        <v>22.67</v>
      </c>
      <c r="F60">
        <v>8.76</v>
      </c>
      <c r="G60">
        <v>0.73</v>
      </c>
      <c r="H60">
        <v>8.33</v>
      </c>
      <c r="I60">
        <v>0.49</v>
      </c>
      <c r="J60">
        <v>10.07</v>
      </c>
      <c r="K60">
        <v>0.82000000000000006</v>
      </c>
      <c r="L60">
        <f t="shared" si="5"/>
        <v>2.6898100847609459</v>
      </c>
      <c r="M60" t="str">
        <v>Florida Panthers</v>
      </c>
      <c r="N60">
        <v>64.39</v>
      </c>
      <c r="O60">
        <v>16.100000000000001</v>
      </c>
      <c r="P60">
        <v>7.04</v>
      </c>
      <c r="Q60">
        <v>43.75</v>
      </c>
      <c r="R60">
        <v>19.12</v>
      </c>
      <c r="S60">
        <v>3.02</v>
      </c>
      <c r="T60">
        <v>15.79</v>
      </c>
      <c r="U60">
        <v>2.0099999999999998</v>
      </c>
      <c r="V60">
        <v>18.75</v>
      </c>
      <c r="W60">
        <v>0.10966666666666666</v>
      </c>
      <c r="X60">
        <f t="shared" si="4"/>
        <v>1.0798052242711822</v>
      </c>
      <c r="Y60">
        <f t="shared" si="3"/>
        <v>3.7696153090321278</v>
      </c>
    </row>
    <row r="61" spans="1:25" x14ac:dyDescent="0.35">
      <c r="A61" t="str">
        <v>Los Angeles Kings</v>
      </c>
      <c r="B61">
        <v>29.98</v>
      </c>
      <c r="C61">
        <v>7.23</v>
      </c>
      <c r="D61">
        <v>1.3</v>
      </c>
      <c r="E61">
        <v>18.03</v>
      </c>
      <c r="F61">
        <v>7.7</v>
      </c>
      <c r="G61">
        <v>0.24</v>
      </c>
      <c r="H61">
        <v>3.08</v>
      </c>
      <c r="I61">
        <v>0.24</v>
      </c>
      <c r="J61">
        <v>6.32</v>
      </c>
      <c r="K61">
        <v>0.85633333333333339</v>
      </c>
      <c r="L61">
        <f t="shared" si="5"/>
        <v>1.6194510928080628</v>
      </c>
      <c r="M61" t="str">
        <v>Los Angeles Kings</v>
      </c>
      <c r="N61">
        <v>46.82</v>
      </c>
      <c r="O61">
        <v>11.98</v>
      </c>
      <c r="P61">
        <v>3.27</v>
      </c>
      <c r="Q61">
        <v>27.27</v>
      </c>
      <c r="R61">
        <v>9.8000000000000007</v>
      </c>
      <c r="S61">
        <v>1.0900000000000001</v>
      </c>
      <c r="T61">
        <v>11.11</v>
      </c>
      <c r="U61">
        <v>3.27</v>
      </c>
      <c r="V61">
        <v>16.28</v>
      </c>
      <c r="W61">
        <v>0.10516666666666666</v>
      </c>
      <c r="X61">
        <f t="shared" si="4"/>
        <v>0.69339881002519232</v>
      </c>
      <c r="Y61">
        <f t="shared" si="3"/>
        <v>2.3128499028332552</v>
      </c>
    </row>
    <row r="62" spans="1:25" x14ac:dyDescent="0.35">
      <c r="A62" t="str">
        <v>Minnesota Wild</v>
      </c>
      <c r="B62">
        <v>28.84</v>
      </c>
      <c r="C62">
        <v>9.33</v>
      </c>
      <c r="D62">
        <v>2.0299999999999998</v>
      </c>
      <c r="E62">
        <v>21.79</v>
      </c>
      <c r="F62">
        <v>7.18</v>
      </c>
      <c r="G62">
        <v>1.08</v>
      </c>
      <c r="H62">
        <v>15</v>
      </c>
      <c r="I62">
        <v>0.24</v>
      </c>
      <c r="J62">
        <v>12.03</v>
      </c>
      <c r="K62">
        <v>0.83466666666666667</v>
      </c>
      <c r="L62">
        <f t="shared" si="5"/>
        <v>2.9380280921868751</v>
      </c>
      <c r="M62" t="str">
        <v>Minnesota Wild</v>
      </c>
      <c r="N62">
        <v>50.14</v>
      </c>
      <c r="O62">
        <v>13.37</v>
      </c>
      <c r="P62">
        <v>1.1100000000000001</v>
      </c>
      <c r="Q62">
        <v>8.33</v>
      </c>
      <c r="R62">
        <v>8.91</v>
      </c>
      <c r="S62">
        <v>1.1100000000000001</v>
      </c>
      <c r="T62">
        <v>12.5</v>
      </c>
      <c r="U62">
        <v>1.1100000000000001</v>
      </c>
      <c r="V62">
        <v>6.67</v>
      </c>
      <c r="W62">
        <v>8.716666666666667E-2</v>
      </c>
      <c r="X62">
        <f t="shared" si="4"/>
        <v>0.30516693913287279</v>
      </c>
      <c r="Y62">
        <f t="shared" si="3"/>
        <v>3.2431950313197477</v>
      </c>
    </row>
    <row r="63" spans="1:25" x14ac:dyDescent="0.35">
      <c r="A63" t="str">
        <v>Montreal Canadiens</v>
      </c>
      <c r="B63">
        <v>32.229999999999997</v>
      </c>
      <c r="C63">
        <v>7.47</v>
      </c>
      <c r="D63">
        <v>1.17</v>
      </c>
      <c r="E63">
        <v>15.63</v>
      </c>
      <c r="F63">
        <v>9.58</v>
      </c>
      <c r="G63">
        <v>0.93</v>
      </c>
      <c r="H63">
        <v>9.76</v>
      </c>
      <c r="I63">
        <v>0.35</v>
      </c>
      <c r="J63">
        <v>7.61</v>
      </c>
      <c r="K63">
        <v>0.85383333333333333</v>
      </c>
      <c r="L63">
        <f t="shared" si="5"/>
        <v>2.1179146475235155</v>
      </c>
      <c r="M63" t="str">
        <v>Montreal Canadiens</v>
      </c>
      <c r="N63">
        <v>42.06</v>
      </c>
      <c r="O63">
        <v>12.02</v>
      </c>
      <c r="P63">
        <v>2.4</v>
      </c>
      <c r="Q63">
        <v>20</v>
      </c>
      <c r="R63">
        <v>13.22</v>
      </c>
      <c r="S63">
        <v>0</v>
      </c>
      <c r="T63">
        <v>0</v>
      </c>
      <c r="U63">
        <v>2.4</v>
      </c>
      <c r="V63">
        <v>11.43</v>
      </c>
      <c r="W63">
        <v>9.3166666666666662E-2</v>
      </c>
      <c r="X63">
        <f t="shared" si="4"/>
        <v>0.40654742944713812</v>
      </c>
      <c r="Y63">
        <f t="shared" si="3"/>
        <v>2.5244620769706536</v>
      </c>
    </row>
    <row r="64" spans="1:25" x14ac:dyDescent="0.35">
      <c r="A64" t="str">
        <v>New Jersey Devils</v>
      </c>
      <c r="B64">
        <v>32.57</v>
      </c>
      <c r="C64">
        <v>10.42</v>
      </c>
      <c r="D64">
        <v>1.78</v>
      </c>
      <c r="E64">
        <v>17.05</v>
      </c>
      <c r="F64">
        <v>8.2899999999999991</v>
      </c>
      <c r="G64">
        <v>0.95</v>
      </c>
      <c r="H64">
        <v>11.43</v>
      </c>
      <c r="I64">
        <v>0.47</v>
      </c>
      <c r="J64">
        <v>10.55</v>
      </c>
      <c r="K64">
        <v>0.85666666666666669</v>
      </c>
      <c r="L64">
        <f t="shared" si="5"/>
        <v>2.8950420144505542</v>
      </c>
      <c r="M64" t="str">
        <v>New Jersey Devils</v>
      </c>
      <c r="N64">
        <v>33.69</v>
      </c>
      <c r="O64">
        <v>6.97</v>
      </c>
      <c r="P64">
        <v>1.1599999999999999</v>
      </c>
      <c r="Q64">
        <v>16.670000000000002</v>
      </c>
      <c r="R64">
        <v>13.94</v>
      </c>
      <c r="S64">
        <v>3.48</v>
      </c>
      <c r="T64">
        <v>25</v>
      </c>
      <c r="U64">
        <v>0</v>
      </c>
      <c r="V64">
        <v>13.79</v>
      </c>
      <c r="W64">
        <v>8.4999999999999992E-2</v>
      </c>
      <c r="X64">
        <f>($L$5+($B$5*N64)+($C$5*O64)+($D$5*P64)+($E$5*Q64)+($F$5*R64)+($G$5*S64)+($H$5*T64)+($I$5*U64)+($J$5*V64))*W64</f>
        <v>0.41034822741500987</v>
      </c>
      <c r="Y64">
        <f t="shared" si="3"/>
        <v>3.3053902418655641</v>
      </c>
    </row>
    <row r="65" spans="1:25" x14ac:dyDescent="0.35">
      <c r="A65" t="str">
        <v>Nashville Predators</v>
      </c>
      <c r="B65">
        <v>27.47</v>
      </c>
      <c r="C65">
        <v>7.63</v>
      </c>
      <c r="D65">
        <v>0.59</v>
      </c>
      <c r="E65">
        <v>7.69</v>
      </c>
      <c r="F65">
        <v>7.75</v>
      </c>
      <c r="G65">
        <v>0.35</v>
      </c>
      <c r="H65">
        <v>4.55</v>
      </c>
      <c r="I65">
        <v>0.47</v>
      </c>
      <c r="J65">
        <v>5.56</v>
      </c>
      <c r="K65">
        <v>0.85100000000000009</v>
      </c>
      <c r="L65">
        <f t="shared" si="5"/>
        <v>1.2420468725097455</v>
      </c>
      <c r="M65" t="str">
        <v>Nashville Predators</v>
      </c>
      <c r="N65">
        <v>43.09</v>
      </c>
      <c r="O65">
        <v>6.16</v>
      </c>
      <c r="P65">
        <v>3.69</v>
      </c>
      <c r="Q65">
        <v>60</v>
      </c>
      <c r="R65">
        <v>12.31</v>
      </c>
      <c r="S65">
        <v>2.46</v>
      </c>
      <c r="T65">
        <v>20</v>
      </c>
      <c r="U65">
        <v>2.46</v>
      </c>
      <c r="V65">
        <v>22.86</v>
      </c>
      <c r="W65">
        <v>9.1999999999999998E-2</v>
      </c>
      <c r="X65">
        <f t="shared" si="4"/>
        <v>0.73814374407799677</v>
      </c>
      <c r="Y65">
        <f t="shared" si="3"/>
        <v>1.9801906165877423</v>
      </c>
    </row>
    <row r="66" spans="1:25" x14ac:dyDescent="0.35">
      <c r="A66" t="str">
        <v>New York Islanders</v>
      </c>
      <c r="B66">
        <v>26.93</v>
      </c>
      <c r="C66">
        <v>7.6</v>
      </c>
      <c r="D66">
        <v>1.1499999999999999</v>
      </c>
      <c r="E66">
        <v>15.15</v>
      </c>
      <c r="F66">
        <v>6.79</v>
      </c>
      <c r="G66">
        <v>0.35</v>
      </c>
      <c r="H66">
        <v>5.08</v>
      </c>
      <c r="I66">
        <v>0.57999999999999996</v>
      </c>
      <c r="J66">
        <v>7.69</v>
      </c>
      <c r="K66">
        <v>0.86799999999999999</v>
      </c>
      <c r="L66">
        <f t="shared" si="5"/>
        <v>1.8033316958661134</v>
      </c>
      <c r="M66" t="str">
        <v>New York Islanders</v>
      </c>
      <c r="N66">
        <v>58.49</v>
      </c>
      <c r="O66">
        <v>21.55</v>
      </c>
      <c r="P66">
        <v>3.08</v>
      </c>
      <c r="Q66">
        <v>14.29</v>
      </c>
      <c r="R66">
        <v>18.47</v>
      </c>
      <c r="S66">
        <v>1.54</v>
      </c>
      <c r="T66">
        <v>8.33</v>
      </c>
      <c r="U66">
        <v>0</v>
      </c>
      <c r="V66">
        <v>7.89</v>
      </c>
      <c r="W66">
        <v>7.5666666666666674E-2</v>
      </c>
      <c r="X66">
        <f t="shared" si="4"/>
        <v>0.34832849446819725</v>
      </c>
      <c r="Y66">
        <f t="shared" si="3"/>
        <v>2.1516601903343107</v>
      </c>
    </row>
    <row r="67" spans="1:25" x14ac:dyDescent="0.35">
      <c r="A67" t="str">
        <v>New York Rangers</v>
      </c>
      <c r="B67">
        <v>27.81</v>
      </c>
      <c r="C67">
        <v>6.42</v>
      </c>
      <c r="D67">
        <v>1.1299999999999999</v>
      </c>
      <c r="E67">
        <v>17.649999999999999</v>
      </c>
      <c r="F67">
        <v>7.05</v>
      </c>
      <c r="G67">
        <v>0.76</v>
      </c>
      <c r="H67">
        <v>10.71</v>
      </c>
      <c r="I67">
        <v>0.76</v>
      </c>
      <c r="J67">
        <v>9.9499999999999993</v>
      </c>
      <c r="K67">
        <v>0.80683333333333329</v>
      </c>
      <c r="L67">
        <f t="shared" si="5"/>
        <v>2.2525778013506348</v>
      </c>
      <c r="M67" t="str">
        <v>New York Rangers</v>
      </c>
      <c r="N67">
        <v>43.13</v>
      </c>
      <c r="O67">
        <v>13.42</v>
      </c>
      <c r="P67">
        <v>4.79</v>
      </c>
      <c r="Q67">
        <v>35.71</v>
      </c>
      <c r="R67">
        <v>12.46</v>
      </c>
      <c r="S67">
        <v>1.92</v>
      </c>
      <c r="T67">
        <v>15.38</v>
      </c>
      <c r="U67">
        <v>0</v>
      </c>
      <c r="V67">
        <v>15.56</v>
      </c>
      <c r="W67">
        <v>0.10266666666666667</v>
      </c>
      <c r="X67">
        <f t="shared" si="4"/>
        <v>0.64867461206819821</v>
      </c>
      <c r="Y67">
        <f t="shared" si="3"/>
        <v>2.9012524134188329</v>
      </c>
    </row>
    <row r="68" spans="1:25" x14ac:dyDescent="0.35">
      <c r="A68" t="str">
        <v>Ottawa Senators</v>
      </c>
      <c r="B68">
        <v>29.05</v>
      </c>
      <c r="C68">
        <v>6.23</v>
      </c>
      <c r="D68">
        <v>1.29</v>
      </c>
      <c r="E68">
        <v>20.75</v>
      </c>
      <c r="F68">
        <v>8.59</v>
      </c>
      <c r="G68">
        <v>0.59</v>
      </c>
      <c r="H68">
        <v>6.85</v>
      </c>
      <c r="I68">
        <v>0.59</v>
      </c>
      <c r="J68">
        <v>8.5</v>
      </c>
      <c r="K68">
        <v>0.85016666666666663</v>
      </c>
      <c r="L68">
        <f t="shared" si="5"/>
        <v>2.0912157684652914</v>
      </c>
      <c r="M68" t="str">
        <v>Ottawa Senators</v>
      </c>
      <c r="N68">
        <v>33.42</v>
      </c>
      <c r="O68">
        <v>11.14</v>
      </c>
      <c r="P68">
        <v>1.39</v>
      </c>
      <c r="Q68">
        <v>12.5</v>
      </c>
      <c r="R68">
        <v>13.93</v>
      </c>
      <c r="S68">
        <v>1.39</v>
      </c>
      <c r="T68">
        <v>10</v>
      </c>
      <c r="U68">
        <v>0</v>
      </c>
      <c r="V68">
        <v>8.33</v>
      </c>
      <c r="W68">
        <v>6.9666666666666668E-2</v>
      </c>
      <c r="X68">
        <f t="shared" si="4"/>
        <v>0.19304110633213847</v>
      </c>
      <c r="Y68">
        <f t="shared" si="3"/>
        <v>2.2842568747974301</v>
      </c>
    </row>
    <row r="69" spans="1:25" x14ac:dyDescent="0.35">
      <c r="A69" t="str">
        <v>Philadelphia Flyers</v>
      </c>
      <c r="B69">
        <v>28.74</v>
      </c>
      <c r="C69">
        <v>8.69</v>
      </c>
      <c r="D69">
        <v>1.81</v>
      </c>
      <c r="E69">
        <v>20.83</v>
      </c>
      <c r="F69">
        <v>5.55</v>
      </c>
      <c r="G69">
        <v>0.72</v>
      </c>
      <c r="H69">
        <v>13.04</v>
      </c>
      <c r="I69">
        <v>0.24</v>
      </c>
      <c r="J69">
        <v>9.66</v>
      </c>
      <c r="K69">
        <v>0.84033333333333338</v>
      </c>
      <c r="L69">
        <f t="shared" si="5"/>
        <v>2.3315386325915206</v>
      </c>
      <c r="M69" t="str">
        <v>Philadelphia Flyers</v>
      </c>
      <c r="N69">
        <v>58.67</v>
      </c>
      <c r="O69">
        <v>22.25</v>
      </c>
      <c r="P69">
        <v>2.02</v>
      </c>
      <c r="Q69">
        <v>9.09</v>
      </c>
      <c r="R69">
        <v>9.1</v>
      </c>
      <c r="S69">
        <v>2.02</v>
      </c>
      <c r="T69">
        <v>22.22</v>
      </c>
      <c r="U69">
        <v>1.01</v>
      </c>
      <c r="V69">
        <v>8.6199999999999992</v>
      </c>
      <c r="W69">
        <v>0.10933333333333332</v>
      </c>
      <c r="X69">
        <f t="shared" si="4"/>
        <v>0.5110612204790731</v>
      </c>
      <c r="Y69">
        <f t="shared" si="3"/>
        <v>2.8425998530705936</v>
      </c>
    </row>
    <row r="70" spans="1:25" x14ac:dyDescent="0.35">
      <c r="A70" t="str">
        <v>Pittsburgh Penguins</v>
      </c>
      <c r="B70">
        <v>30.87</v>
      </c>
      <c r="C70">
        <v>7.97</v>
      </c>
      <c r="D70">
        <v>1.1200000000000001</v>
      </c>
      <c r="E70">
        <v>14.08</v>
      </c>
      <c r="F70">
        <v>8.5299999999999994</v>
      </c>
      <c r="G70">
        <v>1.01</v>
      </c>
      <c r="H70">
        <v>11.84</v>
      </c>
      <c r="I70">
        <v>0.11</v>
      </c>
      <c r="J70">
        <v>7.64</v>
      </c>
      <c r="K70">
        <v>0.88783333333333336</v>
      </c>
      <c r="L70">
        <f t="shared" si="5"/>
        <v>2.0972790161455861</v>
      </c>
      <c r="M70" t="str">
        <v>Pittsburgh Penguins</v>
      </c>
      <c r="N70">
        <v>51.89</v>
      </c>
      <c r="O70">
        <v>21.08</v>
      </c>
      <c r="P70">
        <v>6.49</v>
      </c>
      <c r="Q70">
        <v>30.77</v>
      </c>
      <c r="R70">
        <v>17.84</v>
      </c>
      <c r="S70">
        <v>3.24</v>
      </c>
      <c r="T70">
        <v>18.18</v>
      </c>
      <c r="U70">
        <v>0</v>
      </c>
      <c r="V70">
        <v>18.75</v>
      </c>
      <c r="W70">
        <v>7.3666666666666672E-2</v>
      </c>
      <c r="X70">
        <f t="shared" si="4"/>
        <v>0.63374951650365685</v>
      </c>
      <c r="Y70">
        <f t="shared" si="3"/>
        <v>2.7310285326492432</v>
      </c>
    </row>
    <row r="71" spans="1:25" x14ac:dyDescent="0.35">
      <c r="A71" t="str">
        <v>San Jose Sharks</v>
      </c>
      <c r="B71">
        <v>30.64</v>
      </c>
      <c r="C71">
        <v>10.67</v>
      </c>
      <c r="D71">
        <v>1.93</v>
      </c>
      <c r="E71">
        <v>18.09</v>
      </c>
      <c r="F71">
        <v>7.94</v>
      </c>
      <c r="G71">
        <v>0.91</v>
      </c>
      <c r="H71">
        <v>11.43</v>
      </c>
      <c r="I71">
        <v>0.11</v>
      </c>
      <c r="J71">
        <v>9.6300000000000008</v>
      </c>
      <c r="K71">
        <v>0.89200000000000002</v>
      </c>
      <c r="L71">
        <f t="shared" si="5"/>
        <v>2.6438805686917535</v>
      </c>
      <c r="M71" t="str">
        <v>San Jose Sharks</v>
      </c>
      <c r="N71">
        <v>41.26</v>
      </c>
      <c r="O71">
        <v>16.14</v>
      </c>
      <c r="P71">
        <v>3.59</v>
      </c>
      <c r="Q71">
        <v>22.22</v>
      </c>
      <c r="R71">
        <v>8.9700000000000006</v>
      </c>
      <c r="S71">
        <v>1.79</v>
      </c>
      <c r="T71">
        <v>20</v>
      </c>
      <c r="U71">
        <v>1.79</v>
      </c>
      <c r="V71">
        <v>17.39</v>
      </c>
      <c r="W71">
        <v>5.3499999999999999E-2</v>
      </c>
      <c r="X71">
        <f t="shared" si="4"/>
        <v>0.34533313774242319</v>
      </c>
      <c r="Y71">
        <f t="shared" si="3"/>
        <v>2.9892137064341768</v>
      </c>
    </row>
    <row r="72" spans="1:25" x14ac:dyDescent="0.35">
      <c r="A72" t="str">
        <v>St Louis Blues</v>
      </c>
      <c r="B72">
        <v>24.62</v>
      </c>
      <c r="C72">
        <v>7.18</v>
      </c>
      <c r="D72">
        <v>1.37</v>
      </c>
      <c r="E72">
        <v>19.05</v>
      </c>
      <c r="F72">
        <v>6.61</v>
      </c>
      <c r="G72">
        <v>0.46</v>
      </c>
      <c r="H72">
        <v>6.9</v>
      </c>
      <c r="I72">
        <v>0.34</v>
      </c>
      <c r="J72">
        <v>9.26</v>
      </c>
      <c r="K72">
        <v>0.88983333333333337</v>
      </c>
      <c r="L72">
        <f t="shared" si="5"/>
        <v>2.0757138533229726</v>
      </c>
      <c r="M72" t="str">
        <v>St Louis Blues</v>
      </c>
      <c r="N72">
        <v>43.84</v>
      </c>
      <c r="O72">
        <v>15.18</v>
      </c>
      <c r="P72">
        <v>8.43</v>
      </c>
      <c r="Q72">
        <v>55.56</v>
      </c>
      <c r="R72">
        <v>11.8</v>
      </c>
      <c r="S72">
        <v>3.37</v>
      </c>
      <c r="T72">
        <v>28.57</v>
      </c>
      <c r="U72">
        <v>1.69</v>
      </c>
      <c r="V72">
        <v>30.77</v>
      </c>
      <c r="W72">
        <v>7.2166666666666671E-2</v>
      </c>
      <c r="X72">
        <f t="shared" si="4"/>
        <v>0.85940471840310906</v>
      </c>
      <c r="Y72">
        <f t="shared" si="3"/>
        <v>2.9351185717260817</v>
      </c>
    </row>
    <row r="73" spans="1:25" x14ac:dyDescent="0.35">
      <c r="A73" t="str">
        <v>Tampa Bay Lightning</v>
      </c>
      <c r="B73">
        <v>30.84</v>
      </c>
      <c r="C73">
        <v>8.57</v>
      </c>
      <c r="D73">
        <v>1.19</v>
      </c>
      <c r="E73">
        <v>13.89</v>
      </c>
      <c r="F73">
        <v>8.81</v>
      </c>
      <c r="G73">
        <v>0.83</v>
      </c>
      <c r="H73">
        <v>9.4600000000000009</v>
      </c>
      <c r="I73">
        <v>0.24</v>
      </c>
      <c r="J73">
        <v>7.34</v>
      </c>
      <c r="K73">
        <v>0.83733333333333337</v>
      </c>
      <c r="L73">
        <f t="shared" si="5"/>
        <v>1.9002175451887735</v>
      </c>
      <c r="M73" t="str">
        <v>Tampa Bay Lightning</v>
      </c>
      <c r="N73">
        <v>53.2</v>
      </c>
      <c r="O73">
        <v>12.28</v>
      </c>
      <c r="P73">
        <v>4.09</v>
      </c>
      <c r="Q73">
        <v>33.33</v>
      </c>
      <c r="R73">
        <v>21.48</v>
      </c>
      <c r="S73">
        <v>5.12</v>
      </c>
      <c r="T73">
        <v>23.81</v>
      </c>
      <c r="U73">
        <v>2.0499999999999998</v>
      </c>
      <c r="V73">
        <v>21.15</v>
      </c>
      <c r="W73">
        <v>0.10866666666666666</v>
      </c>
      <c r="X73">
        <f t="shared" si="4"/>
        <v>1.0387898714698898</v>
      </c>
      <c r="Y73">
        <f t="shared" si="3"/>
        <v>2.9390074166586633</v>
      </c>
    </row>
    <row r="74" spans="1:25" x14ac:dyDescent="0.35">
      <c r="A74" t="str">
        <v>Toronto Maple Leafs</v>
      </c>
      <c r="B74">
        <v>27.88</v>
      </c>
      <c r="C74">
        <v>7.82</v>
      </c>
      <c r="D74">
        <v>1.59</v>
      </c>
      <c r="E74">
        <v>20.29</v>
      </c>
      <c r="F74">
        <v>8.9499999999999993</v>
      </c>
      <c r="G74">
        <v>0.68</v>
      </c>
      <c r="H74">
        <v>7.59</v>
      </c>
      <c r="I74">
        <v>0.56999999999999995</v>
      </c>
      <c r="J74">
        <v>10.16</v>
      </c>
      <c r="K74">
        <v>0.89266666666666672</v>
      </c>
      <c r="L74">
        <f t="shared" si="5"/>
        <v>2.5717955481779891</v>
      </c>
      <c r="M74" t="str">
        <v>Toronto Maple Leafs</v>
      </c>
      <c r="N74">
        <v>73.87</v>
      </c>
      <c r="O74">
        <v>26.27</v>
      </c>
      <c r="P74">
        <v>8.2100000000000009</v>
      </c>
      <c r="Q74">
        <v>31.25</v>
      </c>
      <c r="R74">
        <v>22.98</v>
      </c>
      <c r="S74">
        <v>3.28</v>
      </c>
      <c r="T74">
        <v>14.29</v>
      </c>
      <c r="U74">
        <v>4.92</v>
      </c>
      <c r="V74">
        <v>22.22</v>
      </c>
      <c r="W74">
        <v>7.3166666666666658E-2</v>
      </c>
      <c r="X74">
        <f t="shared" si="4"/>
        <v>0.8827090937702945</v>
      </c>
      <c r="Y74">
        <f t="shared" si="3"/>
        <v>3.4545046419482834</v>
      </c>
    </row>
    <row r="75" spans="1:25" x14ac:dyDescent="0.35">
      <c r="A75" t="str">
        <v>Vancouver Canucks</v>
      </c>
      <c r="B75">
        <v>26.5</v>
      </c>
      <c r="C75">
        <v>6.97</v>
      </c>
      <c r="D75">
        <v>1.37</v>
      </c>
      <c r="E75">
        <v>19.670000000000002</v>
      </c>
      <c r="F75">
        <v>5.83</v>
      </c>
      <c r="G75">
        <v>0.91</v>
      </c>
      <c r="H75">
        <v>15.69</v>
      </c>
      <c r="I75">
        <v>0.23</v>
      </c>
      <c r="J75">
        <v>9.48</v>
      </c>
      <c r="K75">
        <v>0.88850000000000007</v>
      </c>
      <c r="L75">
        <f t="shared" si="5"/>
        <v>2.2199761906718605</v>
      </c>
      <c r="M75" t="str">
        <v>Vancouver Canucks</v>
      </c>
      <c r="N75">
        <v>41.01</v>
      </c>
      <c r="O75">
        <v>4.5599999999999996</v>
      </c>
      <c r="P75">
        <v>3.04</v>
      </c>
      <c r="Q75">
        <v>66.67</v>
      </c>
      <c r="R75">
        <v>18.23</v>
      </c>
      <c r="S75">
        <v>3.04</v>
      </c>
      <c r="T75">
        <v>16.670000000000002</v>
      </c>
      <c r="U75">
        <v>3.04</v>
      </c>
      <c r="V75">
        <v>22.22</v>
      </c>
      <c r="W75">
        <v>7.6166666666666674E-2</v>
      </c>
      <c r="X75">
        <f t="shared" si="4"/>
        <v>0.57776374438630596</v>
      </c>
      <c r="Y75">
        <f t="shared" si="3"/>
        <v>2.7977399350581664</v>
      </c>
    </row>
    <row r="76" spans="1:25" x14ac:dyDescent="0.35">
      <c r="A76" t="str">
        <v>Vegas Golden Knights</v>
      </c>
      <c r="B76">
        <v>30.26</v>
      </c>
      <c r="C76">
        <v>7.04</v>
      </c>
      <c r="D76">
        <v>1.85</v>
      </c>
      <c r="E76">
        <v>26.23</v>
      </c>
      <c r="F76">
        <v>9.82</v>
      </c>
      <c r="G76">
        <v>1.39</v>
      </c>
      <c r="H76">
        <v>14.12</v>
      </c>
      <c r="I76">
        <v>0.35</v>
      </c>
      <c r="J76">
        <v>11.83</v>
      </c>
      <c r="K76">
        <v>0.87616666666666665</v>
      </c>
      <c r="L76">
        <f>($L$5+($B$5*B76)+($C$5*C76)+($D$5*D76)+($E$5*E76)+($F$5*F76)+($G$5*G76)+($H$5*H76)+($I$5*I76)+($J$5*J76))*K76</f>
        <v>3.1628840142975614</v>
      </c>
      <c r="M76" t="str">
        <v>Vegas Golden Knights</v>
      </c>
      <c r="N76">
        <v>45.5</v>
      </c>
      <c r="O76">
        <v>3.5</v>
      </c>
      <c r="P76">
        <v>1.17</v>
      </c>
      <c r="Q76">
        <v>33.33</v>
      </c>
      <c r="R76">
        <v>16.329999999999998</v>
      </c>
      <c r="S76">
        <v>1.17</v>
      </c>
      <c r="T76">
        <v>7.14</v>
      </c>
      <c r="U76">
        <v>0</v>
      </c>
      <c r="V76">
        <v>5.13</v>
      </c>
      <c r="W76">
        <v>8.483333333333333E-2</v>
      </c>
      <c r="X76">
        <f t="shared" si="4"/>
        <v>0.21496679907365043</v>
      </c>
      <c r="Y76">
        <f>L76+X76</f>
        <v>3.3778508133712117</v>
      </c>
    </row>
    <row r="77" spans="1:25" x14ac:dyDescent="0.35">
      <c r="A77" t="str">
        <v>Winnipeg Jets</v>
      </c>
      <c r="B77">
        <v>27.77</v>
      </c>
      <c r="C77">
        <v>6.63</v>
      </c>
      <c r="D77">
        <v>1.8</v>
      </c>
      <c r="E77">
        <v>27.12</v>
      </c>
      <c r="F77">
        <v>7.31</v>
      </c>
      <c r="G77">
        <v>0.67</v>
      </c>
      <c r="H77">
        <v>9.23</v>
      </c>
      <c r="I77">
        <v>0.22</v>
      </c>
      <c r="J77">
        <v>10.119999999999999</v>
      </c>
      <c r="K77">
        <v>0.88700000000000001</v>
      </c>
      <c r="L77">
        <f t="shared" si="5"/>
        <v>2.4949464923419487</v>
      </c>
      <c r="M77" t="str">
        <v>Winnipeg Jets</v>
      </c>
      <c r="N77">
        <v>62.04</v>
      </c>
      <c r="O77">
        <v>18.61</v>
      </c>
      <c r="P77">
        <v>6.2</v>
      </c>
      <c r="Q77">
        <v>33.33</v>
      </c>
      <c r="R77">
        <v>17.059999999999999</v>
      </c>
      <c r="S77">
        <v>4.6500000000000004</v>
      </c>
      <c r="T77">
        <v>27.27</v>
      </c>
      <c r="U77">
        <v>1.55</v>
      </c>
      <c r="V77">
        <v>20</v>
      </c>
      <c r="W77">
        <v>7.5333333333333322E-2</v>
      </c>
      <c r="X77">
        <f t="shared" si="4"/>
        <v>0.76907677346820691</v>
      </c>
      <c r="Y77">
        <f t="shared" si="3"/>
        <v>3.2640232658101556</v>
      </c>
    </row>
    <row r="78" spans="1:25" x14ac:dyDescent="0.35">
      <c r="A78" t="str">
        <v>Washington Capitals</v>
      </c>
      <c r="B78">
        <v>26.62</v>
      </c>
      <c r="C78">
        <v>7.59</v>
      </c>
      <c r="D78">
        <v>2.1</v>
      </c>
      <c r="E78">
        <v>27.69</v>
      </c>
      <c r="F78">
        <v>5.84</v>
      </c>
      <c r="G78">
        <v>1.28</v>
      </c>
      <c r="H78">
        <v>22</v>
      </c>
      <c r="I78">
        <v>0.35</v>
      </c>
      <c r="J78">
        <v>14.47</v>
      </c>
      <c r="K78">
        <v>0.85399999999999998</v>
      </c>
      <c r="L78">
        <f t="shared" si="5"/>
        <v>3.3689132802868396</v>
      </c>
      <c r="M78" t="str">
        <v>Washington Capitals</v>
      </c>
      <c r="N78">
        <v>62.23</v>
      </c>
      <c r="O78">
        <v>13.24</v>
      </c>
      <c r="P78">
        <v>0</v>
      </c>
      <c r="Q78">
        <v>0</v>
      </c>
      <c r="R78">
        <v>15.89</v>
      </c>
      <c r="S78">
        <v>0</v>
      </c>
      <c r="T78">
        <v>0</v>
      </c>
      <c r="U78">
        <v>2.65</v>
      </c>
      <c r="V78">
        <v>4.26</v>
      </c>
      <c r="W78">
        <v>8.8666666666666671E-2</v>
      </c>
      <c r="X78">
        <f t="shared" si="4"/>
        <v>0.29225528487555086</v>
      </c>
      <c r="Y78">
        <f t="shared" si="3"/>
        <v>3.6611685651623906</v>
      </c>
    </row>
  </sheetData>
  <mergeCells count="6">
    <mergeCell ref="A44:L44"/>
    <mergeCell ref="A42:X43"/>
    <mergeCell ref="M44:X44"/>
    <mergeCell ref="A1:X2"/>
    <mergeCell ref="A3:L3"/>
    <mergeCell ref="M3:X3"/>
  </mergeCells>
  <conditionalFormatting sqref="L7:L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X3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:Y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8:L7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8:X7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8:Y7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D12F5-C3E2-4AF4-80BF-FD497F61737B}">
  <sheetPr codeName="Sheet1"/>
  <dimension ref="A1:CI454"/>
  <sheetViews>
    <sheetView zoomScale="50" zoomScaleNormal="40" workbookViewId="0">
      <selection activeCell="Y5" sqref="Y5"/>
    </sheetView>
  </sheetViews>
  <sheetFormatPr defaultRowHeight="14.5" x14ac:dyDescent="0.35"/>
  <cols>
    <col min="1" max="1" width="19.7265625" bestFit="1" customWidth="1"/>
    <col min="2" max="2" width="14.7265625" bestFit="1" customWidth="1"/>
    <col min="3" max="3" width="13.90625" bestFit="1" customWidth="1"/>
    <col min="4" max="4" width="16" bestFit="1" customWidth="1"/>
    <col min="5" max="5" width="16.54296875" bestFit="1" customWidth="1"/>
    <col min="8" max="8" width="16.6328125" bestFit="1" customWidth="1"/>
    <col min="9" max="9" width="17.36328125" bestFit="1" customWidth="1"/>
    <col min="10" max="10" width="9.81640625" bestFit="1" customWidth="1"/>
    <col min="11" max="11" width="8.81640625" bestFit="1" customWidth="1"/>
    <col min="12" max="12" width="6.453125" bestFit="1" customWidth="1"/>
    <col min="13" max="13" width="18.1796875" bestFit="1" customWidth="1"/>
    <col min="14" max="14" width="13.6328125" bestFit="1" customWidth="1"/>
    <col min="15" max="15" width="20" bestFit="1" customWidth="1"/>
    <col min="18" max="18" width="20.6328125" bestFit="1" customWidth="1"/>
    <col min="19" max="19" width="10.08984375" bestFit="1" customWidth="1"/>
    <col min="21" max="21" width="9.81640625" bestFit="1" customWidth="1"/>
    <col min="22" max="22" width="9.7265625" bestFit="1" customWidth="1"/>
    <col min="23" max="23" width="8.26953125" bestFit="1" customWidth="1"/>
    <col min="24" max="24" width="8.54296875" bestFit="1" customWidth="1"/>
    <col min="25" max="25" width="9.7265625" bestFit="1" customWidth="1"/>
    <col min="26" max="26" width="13.6328125" bestFit="1" customWidth="1"/>
    <col min="27" max="27" width="12.6328125" bestFit="1" customWidth="1"/>
    <col min="28" max="28" width="8.81640625" bestFit="1" customWidth="1"/>
    <col min="29" max="29" width="13.26953125" bestFit="1" customWidth="1"/>
    <col min="30" max="30" width="13.08984375" bestFit="1" customWidth="1"/>
    <col min="31" max="32" width="18.26953125" bestFit="1" customWidth="1"/>
    <col min="33" max="33" width="12.90625" bestFit="1" customWidth="1"/>
    <col min="36" max="36" width="7.54296875" bestFit="1" customWidth="1"/>
  </cols>
  <sheetData>
    <row r="1" spans="1:83" x14ac:dyDescent="0.35">
      <c r="A1" s="7"/>
      <c r="B1" s="73" t="s">
        <v>128</v>
      </c>
      <c r="C1" s="73"/>
      <c r="D1" s="73"/>
      <c r="E1" s="73"/>
      <c r="F1" s="79" t="s">
        <v>131</v>
      </c>
      <c r="G1" s="79"/>
      <c r="H1" s="79"/>
      <c r="I1" s="79"/>
    </row>
    <row r="2" spans="1:83" ht="21" x14ac:dyDescent="0.5">
      <c r="A2" s="7" t="s">
        <v>0</v>
      </c>
      <c r="B2" s="7" t="s">
        <v>12</v>
      </c>
      <c r="C2" s="7" t="s">
        <v>13</v>
      </c>
      <c r="D2" s="7" t="s">
        <v>129</v>
      </c>
      <c r="E2" s="7" t="s">
        <v>130</v>
      </c>
      <c r="F2" s="14" t="s">
        <v>12</v>
      </c>
      <c r="G2" s="14" t="s">
        <v>13</v>
      </c>
      <c r="H2" s="14" t="s">
        <v>129</v>
      </c>
      <c r="I2" s="14" t="s">
        <v>130</v>
      </c>
      <c r="M2" s="19" t="s">
        <v>136</v>
      </c>
      <c r="N2" s="44"/>
      <c r="O2" s="76" t="s">
        <v>138</v>
      </c>
      <c r="P2" s="76"/>
      <c r="Q2" s="75" t="s">
        <v>140</v>
      </c>
      <c r="R2" s="75"/>
      <c r="S2" s="75"/>
      <c r="T2" s="77" t="s">
        <v>142</v>
      </c>
      <c r="U2" s="77"/>
      <c r="V2" s="28" t="s">
        <v>145</v>
      </c>
      <c r="W2" s="42" t="s">
        <v>145</v>
      </c>
      <c r="X2" s="43"/>
      <c r="Y2" s="43"/>
      <c r="Z2" s="43"/>
      <c r="AD2" s="46" t="s">
        <v>186</v>
      </c>
      <c r="AE2" s="46" t="s">
        <v>187</v>
      </c>
    </row>
    <row r="3" spans="1:83" ht="21" x14ac:dyDescent="0.5">
      <c r="A3" t="str" cm="1">
        <f t="array" ref="A3:A33">Table_0__3[Team]</f>
        <v>Anaheim Ducks</v>
      </c>
      <c r="B3">
        <f>VLOOKUP(A3,'Expected Goals For '!$A$7:$L$37,12,FALSE)</f>
        <v>1.7940260316247714</v>
      </c>
      <c r="C3">
        <f>VLOOKUP('Model Outputs'!A3,'Expected Goals Against'!$N$7:$AA$37,14,FALSE)</f>
        <v>4.3041794656679979</v>
      </c>
      <c r="D3">
        <f>B3/$B$34</f>
        <v>0.78396436415397919</v>
      </c>
      <c r="E3">
        <f>C3/$C$34</f>
        <v>1.5685775091338168</v>
      </c>
      <c r="F3">
        <f>VLOOKUP('Model Outputs'!A3,'Expected Goals For '!$M$48:$Y$78,13,FALSE)</f>
        <v>2.6707448989122087</v>
      </c>
      <c r="G3">
        <f>VLOOKUP(A3,'Expected Goals Against'!$N$48:$AA$78,14,FALSE)</f>
        <v>3.3341041545371906</v>
      </c>
      <c r="H3">
        <f>F3/$F$34</f>
        <v>0.97628988692260876</v>
      </c>
      <c r="I3">
        <f>G3/$G$34</f>
        <v>1.1616578656274457</v>
      </c>
      <c r="M3" s="22" t="s">
        <v>132</v>
      </c>
      <c r="N3" s="44" t="s">
        <v>137</v>
      </c>
      <c r="O3" s="23" t="s">
        <v>135</v>
      </c>
      <c r="P3" s="23" t="s">
        <v>139</v>
      </c>
      <c r="Q3" s="24" t="s">
        <v>141</v>
      </c>
      <c r="R3" s="24" t="s">
        <v>135</v>
      </c>
      <c r="S3" s="24" t="s">
        <v>69</v>
      </c>
      <c r="T3" s="27" t="s">
        <v>143</v>
      </c>
      <c r="U3" s="27" t="s">
        <v>144</v>
      </c>
      <c r="V3" s="29" t="s">
        <v>146</v>
      </c>
      <c r="W3" s="42" t="s">
        <v>204</v>
      </c>
      <c r="X3" s="43" t="s">
        <v>201</v>
      </c>
      <c r="Y3" s="43" t="s">
        <v>202</v>
      </c>
      <c r="Z3" s="43" t="s">
        <v>190</v>
      </c>
      <c r="AD3" s="50">
        <v>534.50622293268384</v>
      </c>
      <c r="AE3" s="47">
        <v>0.15</v>
      </c>
    </row>
    <row r="4" spans="1:83" x14ac:dyDescent="0.35">
      <c r="A4" t="str">
        <v>Arizona Coyotes</v>
      </c>
      <c r="B4">
        <f>VLOOKUP(A4,'Expected Goals For '!$A$7:$L$37,12,FALSE)</f>
        <v>2.0456599022179311</v>
      </c>
      <c r="C4">
        <f>VLOOKUP('Model Outputs'!A4,'Expected Goals Against'!$N$7:$AA$37,14,FALSE)</f>
        <v>3.5963576744582588</v>
      </c>
      <c r="D4">
        <f t="shared" ref="D4:D33" si="0">B4/$B$34</f>
        <v>0.89392485741421945</v>
      </c>
      <c r="E4">
        <f>C4/$C$34</f>
        <v>1.3106251279604872</v>
      </c>
      <c r="F4">
        <f>VLOOKUP('Model Outputs'!A4,'Expected Goals For '!$M$48:$Y$78,13,FALSE)</f>
        <v>2.0862155940208713</v>
      </c>
      <c r="G4">
        <f>VLOOKUP(A4,'Expected Goals Against'!$N$48:$AA$78,14,FALSE)</f>
        <v>2.5149390498556068</v>
      </c>
      <c r="H4">
        <f>F4/$F$34</f>
        <v>0.76261539887706453</v>
      </c>
      <c r="I4">
        <f t="shared" ref="I4:I33" si="1">G4/$G$34</f>
        <v>0.87624698972366555</v>
      </c>
      <c r="L4" t="s">
        <v>131</v>
      </c>
      <c r="M4" s="19" t="s">
        <v>59</v>
      </c>
      <c r="N4" s="45">
        <f>(VLOOKUP(M4,A3:I33,8,FALSE)*VLOOKUP(M5,A3:I33,5,FALSE))*$F$34</f>
        <v>3.0336606748023298</v>
      </c>
      <c r="O4" s="21">
        <f>(SUM(AJ23:AS23,AK24:AS24,AL25:AS25,AM26:AS26,AN27:AS27,AO28:AS28,AP29:AS29,AQ30:AS30,AR31:AS31,AS32))+(SUM(AI23,AJ24,AK25,AL26,AM27,AN28,AO29,AP30,AQ31,AR32,AS33)/2)</f>
        <v>0.71708231677744616</v>
      </c>
      <c r="P4" s="20">
        <f>1/O4</f>
        <v>1.3945400362039053</v>
      </c>
      <c r="Q4" s="19">
        <v>1.77</v>
      </c>
      <c r="R4" s="30">
        <f>R7/(R7+R8)</f>
        <v>0.54263565891472865</v>
      </c>
      <c r="S4" s="72">
        <v>5.5</v>
      </c>
      <c r="T4" s="78">
        <v>5</v>
      </c>
      <c r="U4" s="78">
        <f>IF(S4&gt;=T4,S4-T4,T4-S4)</f>
        <v>0.5</v>
      </c>
      <c r="V4" s="17">
        <f>IF(O4&lt;R4,O4-R4,O4-R4)</f>
        <v>0.17444665786271751</v>
      </c>
      <c r="W4" s="16">
        <f>V4*0.7202</f>
        <v>0.12563648299272914</v>
      </c>
      <c r="X4" s="41">
        <f>IF((((((O4*Q4)-1)/(Q4-1))*$AD$3)*$AE$3)&gt;0,(((((O4*Q4)-1)/(Q4-1))*$AD$3)*$AE$3),0)</f>
        <v>28.034056647603141</v>
      </c>
      <c r="Y4" s="41">
        <f>IFERROR((O4*((X4*Q4)-X4))-((1-O4)*(X4)),"")</f>
        <v>7.5477688848710223</v>
      </c>
      <c r="Z4" s="1" t="str">
        <f>IF(Y4&gt;7,"BET","")</f>
        <v>BET</v>
      </c>
    </row>
    <row r="5" spans="1:83" x14ac:dyDescent="0.35">
      <c r="A5" t="str">
        <v>Boston Bruins</v>
      </c>
      <c r="B5">
        <f>VLOOKUP(A5,'Expected Goals For '!$A$7:$L$37,12,FALSE)</f>
        <v>2.1432316014108306</v>
      </c>
      <c r="C5">
        <f>VLOOKUP('Model Outputs'!A5,'Expected Goals Against'!$N$7:$AA$37,14,FALSE)</f>
        <v>1.6173383778329986</v>
      </c>
      <c r="D5">
        <f t="shared" si="0"/>
        <v>0.93656232965195985</v>
      </c>
      <c r="E5">
        <f t="shared" ref="E5:E33" si="2">C5/$C$34</f>
        <v>0.58940864904992729</v>
      </c>
      <c r="F5">
        <f>VLOOKUP('Model Outputs'!A5,'Expected Goals For '!$M$48:$Y$78,13,FALSE)</f>
        <v>2.0776890307378002</v>
      </c>
      <c r="G5">
        <f>VLOOKUP(A5,'Expected Goals Against'!$N$48:$AA$78,14,FALSE)</f>
        <v>2.4446811405403941</v>
      </c>
      <c r="H5">
        <f t="shared" ref="H5:H33" si="3">F5/$F$34</f>
        <v>0.7594985165769772</v>
      </c>
      <c r="I5">
        <f t="shared" si="1"/>
        <v>0.85176795451791454</v>
      </c>
      <c r="L5" t="s">
        <v>128</v>
      </c>
      <c r="M5" s="19" t="s">
        <v>65</v>
      </c>
      <c r="N5" s="45">
        <f>(VLOOKUP(M5,A3:I33,4,FALSE)*VLOOKUP(M4,A3:I33,9,FALSE))*$B$34</f>
        <v>1.7510429287668077</v>
      </c>
      <c r="O5" s="21">
        <f>(SUM(AI33:AR33,AI32:AQ32,AI31:AP31,AI30:AO30,AI29:AN29,AI28:AM28,AI27:AL27,AI26:AK26,AI25:AJ25,AI24))+(SUM(AI23,AJ24,AK25,AL26,AM27,AN28,AO29,AP30,AQ31,AR32,AS33)/2)</f>
        <v>0.28259457222169276</v>
      </c>
      <c r="P5" s="20">
        <f>1/O5</f>
        <v>3.5386383826774614</v>
      </c>
      <c r="Q5" s="19">
        <v>2.1</v>
      </c>
      <c r="R5" s="30">
        <f>R8/(R7+R8)</f>
        <v>0.4573643410852713</v>
      </c>
      <c r="S5" s="72"/>
      <c r="T5" s="78"/>
      <c r="U5" s="78"/>
      <c r="V5" s="17">
        <f>IF(O5&lt;R5,O5-R5,O5-R5)</f>
        <v>-0.17476976886357853</v>
      </c>
      <c r="W5" s="16">
        <f>V5*0.7202</f>
        <v>-0.12586918753554927</v>
      </c>
      <c r="X5" s="41">
        <f>IF((((((O5*Q5)-1)/(Q5-1))*$AD$3)*$AE$3)&gt;0,(((((O5*Q5)-1)/(Q5-1))*$AD$3)*$AE$3),0)</f>
        <v>0</v>
      </c>
      <c r="Y5" s="41">
        <f>IFERROR((O5*((X5*Q5)-X5))-((1-O5)*(X5)),"")</f>
        <v>0</v>
      </c>
      <c r="Z5" s="1" t="str">
        <f>IF(Y5&gt;7,"BET","")</f>
        <v/>
      </c>
    </row>
    <row r="6" spans="1:83" x14ac:dyDescent="0.35">
      <c r="A6" t="str">
        <v>Buffalo Sabres</v>
      </c>
      <c r="B6">
        <f>VLOOKUP(A6,'Expected Goals For '!$A$7:$L$37,12,FALSE)</f>
        <v>0.22325523552971049</v>
      </c>
      <c r="C6">
        <f>VLOOKUP('Model Outputs'!A6,'Expected Goals Against'!$N$7:$AA$37,14,FALSE)</f>
        <v>3.8722673508138792</v>
      </c>
      <c r="D6">
        <f t="shared" si="0"/>
        <v>9.7559425382241868E-2</v>
      </c>
      <c r="E6">
        <f t="shared" si="2"/>
        <v>1.4111752366016124</v>
      </c>
      <c r="F6">
        <f>VLOOKUP('Model Outputs'!A6,'Expected Goals For '!$M$48:$Y$78,13,FALSE)</f>
        <v>2.4252026384467067</v>
      </c>
      <c r="G6">
        <f>VLOOKUP(A6,'Expected Goals Against'!$N$48:$AA$78,14,FALSE)</f>
        <v>3.8231100432920386</v>
      </c>
      <c r="H6">
        <f t="shared" si="3"/>
        <v>0.88653199735321386</v>
      </c>
      <c r="I6">
        <f t="shared" si="1"/>
        <v>1.3320357274699355</v>
      </c>
    </row>
    <row r="7" spans="1:83" x14ac:dyDescent="0.35">
      <c r="A7" t="str">
        <v>Carolina Hurricanes</v>
      </c>
      <c r="B7">
        <f>VLOOKUP(A7,'Expected Goals For '!$A$7:$L$37,12,FALSE)</f>
        <v>2.1809480899039904</v>
      </c>
      <c r="C7">
        <f>VLOOKUP('Model Outputs'!A7,'Expected Goals Against'!$N$7:$AA$37,14,FALSE)</f>
        <v>2.3471529328943115</v>
      </c>
      <c r="D7">
        <f t="shared" si="0"/>
        <v>0.95304390929374583</v>
      </c>
      <c r="E7">
        <f t="shared" si="2"/>
        <v>0.85537588067650483</v>
      </c>
      <c r="F7">
        <f>VLOOKUP('Model Outputs'!A7,'Expected Goals For '!$M$48:$Y$78,13,FALSE)</f>
        <v>2.3100987281045291</v>
      </c>
      <c r="G7">
        <f>VLOOKUP(A7,'Expected Goals Against'!$N$48:$AA$78,14,FALSE)</f>
        <v>2.4151808586451748</v>
      </c>
      <c r="H7">
        <f t="shared" si="3"/>
        <v>0.84445580218456084</v>
      </c>
      <c r="I7">
        <f t="shared" si="1"/>
        <v>0.84148956100846961</v>
      </c>
      <c r="Q7" s="30" t="s">
        <v>203</v>
      </c>
      <c r="R7" s="30">
        <f>1/Q4</f>
        <v>0.56497175141242939</v>
      </c>
      <c r="S7" s="30" t="s">
        <v>69</v>
      </c>
    </row>
    <row r="8" spans="1:83" ht="14.5" customHeight="1" x14ac:dyDescent="0.35">
      <c r="A8" t="str">
        <v>Columbus Blue Jackets</v>
      </c>
      <c r="B8">
        <f>VLOOKUP(A8,'Expected Goals For '!$A$7:$L$37,12,FALSE)</f>
        <v>1.8560269792809214</v>
      </c>
      <c r="C8">
        <f>VLOOKUP('Model Outputs'!A8,'Expected Goals Against'!$N$7:$AA$37,14,FALSE)</f>
        <v>2.8264006091396707</v>
      </c>
      <c r="D8">
        <f t="shared" si="0"/>
        <v>0.81105791388479165</v>
      </c>
      <c r="E8">
        <f t="shared" si="2"/>
        <v>1.0300287110845527</v>
      </c>
      <c r="F8">
        <f>VLOOKUP('Model Outputs'!A8,'Expected Goals For '!$M$48:$Y$78,13,FALSE)</f>
        <v>2.0913621142528775</v>
      </c>
      <c r="G8">
        <f>VLOOKUP(A8,'Expected Goals Against'!$N$48:$AA$78,14,FALSE)</f>
        <v>3.1484695431844369</v>
      </c>
      <c r="H8">
        <f t="shared" si="3"/>
        <v>0.76449670759262056</v>
      </c>
      <c r="I8">
        <f t="shared" si="1"/>
        <v>1.0969796503061988</v>
      </c>
      <c r="Q8" s="30"/>
      <c r="R8" s="30">
        <f>1/Q5</f>
        <v>0.47619047619047616</v>
      </c>
      <c r="S8" s="30">
        <f>R7+R8</f>
        <v>1.0411622276029056</v>
      </c>
      <c r="Z8" s="17"/>
      <c r="AG8" s="17"/>
      <c r="AH8" s="41"/>
    </row>
    <row r="9" spans="1:83" ht="14.5" customHeight="1" x14ac:dyDescent="0.35">
      <c r="A9" t="str">
        <v>Calgary Flames</v>
      </c>
      <c r="B9">
        <f>VLOOKUP(A9,'Expected Goals For '!$A$7:$L$37,12,FALSE)</f>
        <v>2.853448128881515</v>
      </c>
      <c r="C9">
        <f>VLOOKUP('Model Outputs'!A9,'Expected Goals Against'!$N$7:$AA$37,14,FALSE)</f>
        <v>3.1797561642946777</v>
      </c>
      <c r="D9">
        <f t="shared" si="0"/>
        <v>1.24691705057312</v>
      </c>
      <c r="E9">
        <f t="shared" si="2"/>
        <v>1.1588025182560939</v>
      </c>
      <c r="F9">
        <f>VLOOKUP('Model Outputs'!A9,'Expected Goals For '!$M$48:$Y$78,13,FALSE)</f>
        <v>1.9080342502208001</v>
      </c>
      <c r="G9">
        <f>VLOOKUP(A9,'Expected Goals Against'!$N$48:$AA$78,14,FALSE)</f>
        <v>2.8198072188351442</v>
      </c>
      <c r="H9">
        <f t="shared" si="3"/>
        <v>0.69748126942084343</v>
      </c>
      <c r="I9">
        <f t="shared" si="1"/>
        <v>0.98246817840266076</v>
      </c>
      <c r="Z9" s="17"/>
      <c r="AD9" s="17"/>
      <c r="BB9" s="19" t="s">
        <v>136</v>
      </c>
      <c r="BC9" s="44"/>
      <c r="BD9" s="76" t="s">
        <v>138</v>
      </c>
      <c r="BE9" s="76"/>
      <c r="BF9" s="75" t="s">
        <v>140</v>
      </c>
      <c r="BG9" s="75"/>
      <c r="BH9" s="75"/>
      <c r="BI9" s="77" t="s">
        <v>142</v>
      </c>
      <c r="BJ9" s="77"/>
      <c r="BK9" s="28" t="s">
        <v>145</v>
      </c>
      <c r="BL9" s="42" t="s">
        <v>145</v>
      </c>
      <c r="BM9" s="43"/>
      <c r="BN9" s="43"/>
      <c r="BO9" s="43"/>
    </row>
    <row r="10" spans="1:83" x14ac:dyDescent="0.35">
      <c r="A10" t="str">
        <v>Chicago Blackhawks</v>
      </c>
      <c r="B10">
        <f>VLOOKUP(A10,'Expected Goals For '!$A$7:$L$37,12,FALSE)</f>
        <v>2.8302417178978843</v>
      </c>
      <c r="C10">
        <f>VLOOKUP('Model Outputs'!A10,'Expected Goals Against'!$N$7:$AA$37,14,FALSE)</f>
        <v>3.4490515545566263</v>
      </c>
      <c r="D10">
        <f t="shared" si="0"/>
        <v>1.2367761725087134</v>
      </c>
      <c r="E10">
        <f t="shared" si="2"/>
        <v>1.2569421743386615</v>
      </c>
      <c r="F10">
        <f>VLOOKUP('Model Outputs'!A10,'Expected Goals For '!$M$48:$Y$78,13,FALSE)</f>
        <v>2.4717788947943005</v>
      </c>
      <c r="G10">
        <f>VLOOKUP(A10,'Expected Goals Against'!$N$48:$AA$78,14,FALSE)</f>
        <v>3.4622467304818167</v>
      </c>
      <c r="H10">
        <f t="shared" si="3"/>
        <v>0.90355793197594458</v>
      </c>
      <c r="I10">
        <f t="shared" si="1"/>
        <v>1.2063048905457479</v>
      </c>
      <c r="AG10" t="s">
        <v>205</v>
      </c>
      <c r="BB10" s="22" t="s">
        <v>132</v>
      </c>
      <c r="BC10" s="44" t="s">
        <v>137</v>
      </c>
      <c r="BD10" s="23" t="s">
        <v>135</v>
      </c>
      <c r="BE10" s="23" t="s">
        <v>139</v>
      </c>
      <c r="BF10" s="24" t="s">
        <v>141</v>
      </c>
      <c r="BG10" s="24" t="s">
        <v>135</v>
      </c>
      <c r="BH10" s="24" t="s">
        <v>69</v>
      </c>
      <c r="BI10" s="27" t="s">
        <v>143</v>
      </c>
      <c r="BJ10" s="27" t="s">
        <v>144</v>
      </c>
      <c r="BK10" s="29" t="s">
        <v>146</v>
      </c>
      <c r="BL10" s="42" t="s">
        <v>204</v>
      </c>
      <c r="BM10" s="43" t="s">
        <v>201</v>
      </c>
      <c r="BN10" s="43" t="s">
        <v>202</v>
      </c>
      <c r="BO10" s="43" t="s">
        <v>190</v>
      </c>
    </row>
    <row r="11" spans="1:83" x14ac:dyDescent="0.35">
      <c r="A11" t="str">
        <v>Colorado Avalanche</v>
      </c>
      <c r="B11">
        <f>VLOOKUP(A11,'Expected Goals For '!$A$7:$L$37,12,FALSE)</f>
        <v>3.0518224423874369</v>
      </c>
      <c r="C11">
        <f>VLOOKUP('Model Outputs'!A11,'Expected Goals Against'!$N$7:$AA$37,14,FALSE)</f>
        <v>2.1680906528843376</v>
      </c>
      <c r="D11">
        <f t="shared" si="0"/>
        <v>1.3336038599118372</v>
      </c>
      <c r="E11">
        <f t="shared" si="2"/>
        <v>0.79011998988518617</v>
      </c>
      <c r="F11">
        <f>VLOOKUP('Model Outputs'!A11,'Expected Goals For '!$M$48:$Y$78,13,FALSE)</f>
        <v>3.5206665259470453</v>
      </c>
      <c r="G11">
        <f>VLOOKUP(A11,'Expected Goals Against'!$N$48:$AA$78,14,FALSE)</f>
        <v>2.4383082695593958</v>
      </c>
      <c r="H11">
        <f t="shared" si="3"/>
        <v>1.2869784478139483</v>
      </c>
      <c r="I11">
        <f t="shared" si="1"/>
        <v>0.84954753927034909</v>
      </c>
      <c r="O11" s="17"/>
      <c r="R11" s="17"/>
      <c r="AG11" t="s">
        <v>206</v>
      </c>
      <c r="AH11" t="s">
        <v>207</v>
      </c>
      <c r="BB11" s="38" t="s">
        <v>56</v>
      </c>
      <c r="BC11" s="48">
        <v>2.7461373704349654</v>
      </c>
      <c r="BD11" s="49">
        <v>0.80446851349405601</v>
      </c>
      <c r="BE11" s="38">
        <v>1.2430567302835633</v>
      </c>
      <c r="BF11" s="38">
        <v>1.77</v>
      </c>
      <c r="BG11" s="49">
        <v>0.54263565891472865</v>
      </c>
      <c r="BH11" s="38"/>
      <c r="BI11" s="38"/>
      <c r="BJ11" s="38"/>
      <c r="BK11" s="49">
        <v>0.26183285457932737</v>
      </c>
      <c r="BL11" s="49">
        <v>0.18857202186803157</v>
      </c>
      <c r="BM11" s="48">
        <v>38.17958098811193</v>
      </c>
      <c r="BN11" s="48">
        <v>16.184678262986289</v>
      </c>
      <c r="BO11" s="38" t="s">
        <v>192</v>
      </c>
      <c r="BR11" s="38" t="s">
        <v>56</v>
      </c>
      <c r="BS11" s="48">
        <v>2.7461373704349654</v>
      </c>
      <c r="BT11" s="49">
        <v>0.80446851349405601</v>
      </c>
      <c r="BU11" s="38">
        <v>1.2430567302835633</v>
      </c>
      <c r="BV11" s="38">
        <v>1.77</v>
      </c>
      <c r="BW11" s="49">
        <v>0.54263565891472865</v>
      </c>
      <c r="BX11" s="38"/>
      <c r="BY11" s="38"/>
      <c r="BZ11" s="38"/>
      <c r="CA11" s="49">
        <v>0.26183285457932737</v>
      </c>
      <c r="CB11" s="49">
        <v>0.18857202186803157</v>
      </c>
      <c r="CC11" s="48">
        <v>38.17958098811193</v>
      </c>
      <c r="CD11" s="48">
        <v>16.184678262986289</v>
      </c>
      <c r="CE11" s="38" t="s">
        <v>192</v>
      </c>
    </row>
    <row r="12" spans="1:83" x14ac:dyDescent="0.35">
      <c r="A12" t="str">
        <v>Dallas Stars</v>
      </c>
      <c r="B12">
        <f>VLOOKUP(A12,'Expected Goals For '!$A$7:$L$37,12,FALSE)</f>
        <v>2.1184684780114913</v>
      </c>
      <c r="C12">
        <f>VLOOKUP('Model Outputs'!A12,'Expected Goals Against'!$N$7:$AA$37,14,FALSE)</f>
        <v>2.3095124585843898</v>
      </c>
      <c r="D12">
        <f t="shared" si="0"/>
        <v>0.92574118996501353</v>
      </c>
      <c r="E12">
        <f t="shared" si="2"/>
        <v>0.84165851551861193</v>
      </c>
      <c r="F12">
        <f>VLOOKUP('Model Outputs'!A12,'Expected Goals For '!$M$48:$Y$78,13,FALSE)</f>
        <v>2.4283736761758106</v>
      </c>
      <c r="G12">
        <f>VLOOKUP(A12,'Expected Goals Against'!$N$48:$AA$78,14,FALSE)</f>
        <v>2.5513293131536599</v>
      </c>
      <c r="H12">
        <f t="shared" si="3"/>
        <v>0.88769116911358492</v>
      </c>
      <c r="I12">
        <f t="shared" si="1"/>
        <v>0.88892596843370675</v>
      </c>
      <c r="M12" s="19" t="s">
        <v>136</v>
      </c>
      <c r="N12" s="44"/>
      <c r="O12" s="76" t="s">
        <v>138</v>
      </c>
      <c r="P12" s="76"/>
      <c r="Q12" s="75" t="s">
        <v>140</v>
      </c>
      <c r="R12" s="75"/>
      <c r="S12" s="75"/>
      <c r="T12" s="77" t="s">
        <v>142</v>
      </c>
      <c r="U12" s="77"/>
      <c r="V12" s="28" t="s">
        <v>145</v>
      </c>
      <c r="W12" s="42" t="s">
        <v>145</v>
      </c>
      <c r="X12" s="43"/>
      <c r="Y12" s="43"/>
      <c r="Z12" s="43"/>
      <c r="AF12" t="s">
        <v>208</v>
      </c>
      <c r="AG12">
        <v>44.819030063767983</v>
      </c>
      <c r="AH12">
        <f>AG12/AH17</f>
        <v>1.2412143329002052</v>
      </c>
      <c r="BB12" t="s">
        <v>41</v>
      </c>
      <c r="BC12" s="41">
        <v>1.0530555111478193</v>
      </c>
      <c r="BD12" s="17">
        <v>0.19539268905419807</v>
      </c>
      <c r="BE12">
        <v>5.1178987547615957</v>
      </c>
      <c r="BF12">
        <v>2.1</v>
      </c>
      <c r="BG12" s="17">
        <v>0.4573643410852713</v>
      </c>
      <c r="BK12" s="17">
        <v>-0.2619716520310732</v>
      </c>
      <c r="BL12" s="17">
        <v>-0.18867198379277891</v>
      </c>
      <c r="BM12" s="41">
        <v>0</v>
      </c>
      <c r="BN12" s="41">
        <v>0</v>
      </c>
      <c r="BO12" t="s">
        <v>193</v>
      </c>
      <c r="BR12" s="38" t="s">
        <v>54</v>
      </c>
      <c r="BS12" s="38">
        <v>2.8817329012078554</v>
      </c>
      <c r="BT12" s="49">
        <v>0.69448198454863963</v>
      </c>
      <c r="BU12" s="38">
        <v>1.4399221610477395</v>
      </c>
      <c r="BV12" s="38">
        <v>2.15</v>
      </c>
      <c r="BW12" s="49">
        <v>0.44730077120822626</v>
      </c>
      <c r="BX12" s="49"/>
      <c r="BY12" s="38"/>
      <c r="BZ12" s="38"/>
      <c r="CA12" s="38">
        <v>0.24718121334041337</v>
      </c>
      <c r="CB12" s="38">
        <v>0.17801990984776569</v>
      </c>
      <c r="CC12" s="38">
        <v>29.73843248319152</v>
      </c>
      <c r="CD12" s="38">
        <v>14.665099574637521</v>
      </c>
      <c r="CE12" s="38" t="s">
        <v>192</v>
      </c>
    </row>
    <row r="13" spans="1:83" x14ac:dyDescent="0.35">
      <c r="A13" t="str">
        <v>Detroit Red Wings</v>
      </c>
      <c r="B13">
        <f>VLOOKUP(A13,'Expected Goals For '!$A$7:$L$37,12,FALSE)</f>
        <v>2.3574062062890615</v>
      </c>
      <c r="C13">
        <f>VLOOKUP('Model Outputs'!A13,'Expected Goals Against'!$N$7:$AA$37,14,FALSE)</f>
        <v>2.7360925692003968</v>
      </c>
      <c r="D13">
        <f t="shared" si="0"/>
        <v>1.0301536460383935</v>
      </c>
      <c r="E13">
        <f t="shared" si="2"/>
        <v>0.99711763907359074</v>
      </c>
      <c r="F13">
        <f>VLOOKUP('Model Outputs'!A13,'Expected Goals For '!$M$48:$Y$78,13,FALSE)</f>
        <v>2.2341796472359059</v>
      </c>
      <c r="G13">
        <f>VLOOKUP(A13,'Expected Goals Against'!$N$48:$AA$78,14,FALSE)</f>
        <v>3.1708168002045238</v>
      </c>
      <c r="H13">
        <f t="shared" si="3"/>
        <v>0.81670360806572717</v>
      </c>
      <c r="I13">
        <f t="shared" si="1"/>
        <v>1.1047658098529107</v>
      </c>
      <c r="M13" s="22" t="s">
        <v>132</v>
      </c>
      <c r="N13" s="44" t="s">
        <v>137</v>
      </c>
      <c r="O13" s="23" t="s">
        <v>135</v>
      </c>
      <c r="P13" s="23" t="s">
        <v>139</v>
      </c>
      <c r="Q13" s="24" t="s">
        <v>141</v>
      </c>
      <c r="R13" s="24" t="s">
        <v>135</v>
      </c>
      <c r="S13" s="24" t="s">
        <v>69</v>
      </c>
      <c r="T13" s="27" t="s">
        <v>143</v>
      </c>
      <c r="U13" s="27" t="s">
        <v>144</v>
      </c>
      <c r="V13" s="29" t="s">
        <v>146</v>
      </c>
      <c r="W13" s="42" t="s">
        <v>204</v>
      </c>
      <c r="X13" s="43" t="s">
        <v>201</v>
      </c>
      <c r="Y13" s="43" t="s">
        <v>202</v>
      </c>
      <c r="Z13" s="43" t="s">
        <v>190</v>
      </c>
      <c r="AA13" s="43" t="s">
        <v>214</v>
      </c>
      <c r="AF13" t="s">
        <v>209</v>
      </c>
      <c r="AG13">
        <f>AH13*AH17</f>
        <v>44.775181695827733</v>
      </c>
      <c r="AH13">
        <v>1.24</v>
      </c>
      <c r="BB13" t="s">
        <v>67</v>
      </c>
      <c r="BC13">
        <v>4.00712421009076</v>
      </c>
      <c r="BD13" s="17">
        <v>0.5272792676334106</v>
      </c>
      <c r="BE13">
        <v>1.8965281993511778</v>
      </c>
      <c r="BF13">
        <v>2.0499999999999998</v>
      </c>
      <c r="BG13">
        <v>0.46753246753246758</v>
      </c>
      <c r="BK13">
        <v>5.9746800100943021E-2</v>
      </c>
      <c r="BL13">
        <v>4.302964543269916E-2</v>
      </c>
      <c r="BM13">
        <v>5.3447691907355699</v>
      </c>
      <c r="BN13">
        <v>0.43251207761379851</v>
      </c>
      <c r="BO13" t="s">
        <v>193</v>
      </c>
      <c r="BR13" s="38" t="s">
        <v>52</v>
      </c>
      <c r="BS13" s="38">
        <v>2.6642404027424673</v>
      </c>
      <c r="BT13" s="49">
        <v>0.73962406738393438</v>
      </c>
      <c r="BU13" s="38">
        <v>1.3520382098124804</v>
      </c>
      <c r="BV13" s="38">
        <v>1.74</v>
      </c>
      <c r="BW13" s="38">
        <v>0.5526992287917738</v>
      </c>
      <c r="BX13" s="38"/>
      <c r="BY13" s="38"/>
      <c r="BZ13" s="38"/>
      <c r="CA13" s="38">
        <v>0.18692483859216058</v>
      </c>
      <c r="CB13" s="38">
        <v>0.13462326875407404</v>
      </c>
      <c r="CC13" s="38">
        <v>26.891636980409288</v>
      </c>
      <c r="CD13" s="38">
        <v>7.7164443639795302</v>
      </c>
      <c r="CE13" s="38" t="s">
        <v>192</v>
      </c>
    </row>
    <row r="14" spans="1:83" ht="14.5" customHeight="1" x14ac:dyDescent="0.35">
      <c r="A14" t="str">
        <v>Edmonton Oilers</v>
      </c>
      <c r="B14">
        <f>VLOOKUP(A14,'Expected Goals For '!$A$7:$L$37,12,FALSE)</f>
        <v>2.5971299108819679</v>
      </c>
      <c r="C14">
        <f>VLOOKUP('Model Outputs'!A14,'Expected Goals Against'!$N$7:$AA$37,14,FALSE)</f>
        <v>2.4122837905055565</v>
      </c>
      <c r="D14">
        <f t="shared" si="0"/>
        <v>1.1349095628037762</v>
      </c>
      <c r="E14">
        <f t="shared" si="2"/>
        <v>0.87911160062370752</v>
      </c>
      <c r="F14">
        <f>VLOOKUP('Model Outputs'!A14,'Expected Goals For '!$M$48:$Y$78,13,FALSE)</f>
        <v>3.1143255849339524</v>
      </c>
      <c r="G14">
        <f>VLOOKUP(A14,'Expected Goals Against'!$N$48:$AA$78,14,FALSE)</f>
        <v>2.2070131713649115</v>
      </c>
      <c r="H14">
        <f t="shared" si="3"/>
        <v>1.1384406554118072</v>
      </c>
      <c r="I14">
        <f t="shared" si="1"/>
        <v>0.76896044371334438</v>
      </c>
      <c r="L14" t="s">
        <v>213</v>
      </c>
      <c r="M14" t="s">
        <v>56</v>
      </c>
      <c r="N14">
        <v>1.2682071259994556</v>
      </c>
      <c r="O14">
        <v>0.50129834285660335</v>
      </c>
      <c r="P14">
        <v>1.9948200791999238</v>
      </c>
      <c r="Q14">
        <v>1.95</v>
      </c>
      <c r="R14">
        <v>0.48952879581151842</v>
      </c>
      <c r="S14">
        <v>5.5</v>
      </c>
      <c r="T14">
        <v>5</v>
      </c>
      <c r="U14">
        <v>0.5</v>
      </c>
      <c r="V14">
        <v>1.1769547045084927E-2</v>
      </c>
      <c r="W14">
        <v>8.476427781870164E-3</v>
      </c>
      <c r="X14">
        <v>0</v>
      </c>
      <c r="Y14">
        <v>0</v>
      </c>
      <c r="Z14" t="s">
        <v>193</v>
      </c>
      <c r="AA14">
        <f t="shared" ref="AA14:AA42" si="4">IF(AND(L14="A",Q14&lt;2,Z14="BET"),"BET",)</f>
        <v>0</v>
      </c>
      <c r="BB14" t="s">
        <v>60</v>
      </c>
      <c r="BC14">
        <v>3.792317254511163</v>
      </c>
      <c r="BD14" s="17">
        <v>0.46794918044672695</v>
      </c>
      <c r="BE14">
        <v>2.1369841892774586</v>
      </c>
      <c r="BF14">
        <v>1.8</v>
      </c>
      <c r="BG14" s="17">
        <v>0.53246753246753253</v>
      </c>
      <c r="BH14" s="17"/>
      <c r="BK14">
        <v>-6.4518352020805581E-2</v>
      </c>
      <c r="BL14">
        <v>-4.6466117125384176E-2</v>
      </c>
      <c r="BM14">
        <v>0</v>
      </c>
      <c r="BN14">
        <v>0</v>
      </c>
      <c r="BO14" t="s">
        <v>193</v>
      </c>
      <c r="BR14" s="38" t="s">
        <v>68</v>
      </c>
      <c r="BS14" s="38">
        <v>2.5719615362059929</v>
      </c>
      <c r="BT14" s="49">
        <v>0.64975777681404445</v>
      </c>
      <c r="BU14" s="38">
        <v>1.5390350615013757</v>
      </c>
      <c r="BV14" s="38">
        <v>1.87</v>
      </c>
      <c r="BW14" s="38">
        <v>0.51047120418848169</v>
      </c>
      <c r="BX14" s="38"/>
      <c r="BY14" s="38"/>
      <c r="BZ14" s="38"/>
      <c r="CA14" s="38">
        <v>0.13928657262556277</v>
      </c>
      <c r="CB14" s="38">
        <v>0.1003141896049303</v>
      </c>
      <c r="CC14" s="38">
        <v>17.142067156388517</v>
      </c>
      <c r="CD14" s="38">
        <v>3.6863508467564214</v>
      </c>
      <c r="CE14" s="38" t="s">
        <v>192</v>
      </c>
    </row>
    <row r="15" spans="1:83" ht="14.5" customHeight="1" x14ac:dyDescent="0.35">
      <c r="A15" t="str">
        <v>Florida Panthers</v>
      </c>
      <c r="B15">
        <f>VLOOKUP(A15,'Expected Goals For '!$A$7:$L$37,12,FALSE)</f>
        <v>2.1774948175525273</v>
      </c>
      <c r="C15">
        <f>VLOOKUP('Model Outputs'!A15,'Expected Goals Against'!$N$7:$AA$37,14,FALSE)</f>
        <v>2.5270181847740032</v>
      </c>
      <c r="D15">
        <f t="shared" si="0"/>
        <v>0.95153487742043819</v>
      </c>
      <c r="E15">
        <f t="shared" si="2"/>
        <v>0.92092439951118288</v>
      </c>
      <c r="F15">
        <f>VLOOKUP('Model Outputs'!A15,'Expected Goals For '!$M$48:$Y$78,13,FALSE)</f>
        <v>3.7696153090321278</v>
      </c>
      <c r="G15">
        <f>VLOOKUP(A15,'Expected Goals Against'!$N$48:$AA$78,14,FALSE)</f>
        <v>2.9648752992933276</v>
      </c>
      <c r="H15">
        <f t="shared" si="3"/>
        <v>1.3779815905651145</v>
      </c>
      <c r="I15">
        <f t="shared" si="1"/>
        <v>1.0330123332654881</v>
      </c>
      <c r="L15" t="s">
        <v>153</v>
      </c>
      <c r="M15" t="s">
        <v>40</v>
      </c>
      <c r="N15">
        <v>1.2627295120169775</v>
      </c>
      <c r="O15">
        <v>0.49870144672212535</v>
      </c>
      <c r="P15">
        <v>2.0052077381624209</v>
      </c>
      <c r="Q15">
        <v>1.87</v>
      </c>
      <c r="R15">
        <v>0.51047120418848169</v>
      </c>
      <c r="V15">
        <v>-1.1769757466356334E-2</v>
      </c>
      <c r="W15">
        <v>-8.4765793272698307E-3</v>
      </c>
      <c r="X15">
        <v>0</v>
      </c>
      <c r="Y15">
        <v>0</v>
      </c>
      <c r="Z15" t="s">
        <v>193</v>
      </c>
      <c r="AA15">
        <f t="shared" si="4"/>
        <v>0</v>
      </c>
      <c r="BB15" s="38" t="s">
        <v>54</v>
      </c>
      <c r="BC15" s="38">
        <v>2.8817329012078554</v>
      </c>
      <c r="BD15" s="49">
        <v>0.69448198454863963</v>
      </c>
      <c r="BE15" s="38">
        <v>1.4399221610477395</v>
      </c>
      <c r="BF15" s="38">
        <v>2.15</v>
      </c>
      <c r="BG15" s="49">
        <v>0.44730077120822626</v>
      </c>
      <c r="BH15" s="49"/>
      <c r="BI15" s="38"/>
      <c r="BJ15" s="38"/>
      <c r="BK15" s="38">
        <v>0.24718121334041337</v>
      </c>
      <c r="BL15" s="38">
        <v>0.17801990984776569</v>
      </c>
      <c r="BM15" s="38">
        <v>29.73843248319152</v>
      </c>
      <c r="BN15" s="38">
        <v>14.665099574637521</v>
      </c>
      <c r="BO15" s="38" t="s">
        <v>192</v>
      </c>
      <c r="BR15" s="38" t="s">
        <v>66</v>
      </c>
      <c r="BS15" s="38">
        <v>4.5496644010503626</v>
      </c>
      <c r="BT15" s="38">
        <v>0.77128735744103583</v>
      </c>
      <c r="BU15" s="38">
        <v>1.2965336334797228</v>
      </c>
      <c r="BV15" s="38">
        <v>2.2999999999999998</v>
      </c>
      <c r="BW15" s="38">
        <v>0.420654911838791</v>
      </c>
      <c r="BX15" s="38">
        <v>5.5</v>
      </c>
      <c r="BY15" s="38">
        <v>5</v>
      </c>
      <c r="BZ15" s="38">
        <v>0.5</v>
      </c>
      <c r="CA15" s="38">
        <v>0.35063244560224482</v>
      </c>
      <c r="CB15" s="38">
        <v>0.25252548732273672</v>
      </c>
      <c r="CC15" s="38">
        <v>41.368449428835916</v>
      </c>
      <c r="CD15" s="38">
        <v>32.01756326638403</v>
      </c>
      <c r="CE15" s="38" t="s">
        <v>192</v>
      </c>
    </row>
    <row r="16" spans="1:83" ht="14.5" customHeight="1" x14ac:dyDescent="0.35">
      <c r="A16" t="str">
        <v>Los Angeles Kings</v>
      </c>
      <c r="B16">
        <f>VLOOKUP(A16,'Expected Goals For '!$A$7:$L$37,12,FALSE)</f>
        <v>2.1166638340488233</v>
      </c>
      <c r="C16">
        <f>VLOOKUP('Model Outputs'!A16,'Expected Goals Against'!$N$7:$AA$37,14,FALSE)</f>
        <v>2.2506091424364878</v>
      </c>
      <c r="D16">
        <f t="shared" si="0"/>
        <v>0.92495258571302508</v>
      </c>
      <c r="E16">
        <f t="shared" si="2"/>
        <v>0.8201923063003449</v>
      </c>
      <c r="F16">
        <f>VLOOKUP('Model Outputs'!A16,'Expected Goals For '!$M$48:$Y$78,13,FALSE)</f>
        <v>2.3128499028332552</v>
      </c>
      <c r="G16">
        <f>VLOOKUP(A16,'Expected Goals Against'!$N$48:$AA$78,14,FALSE)</f>
        <v>2.7732852815421225</v>
      </c>
      <c r="H16">
        <f t="shared" si="3"/>
        <v>0.84546149316834085</v>
      </c>
      <c r="I16">
        <f t="shared" si="1"/>
        <v>0.96625915436628751</v>
      </c>
      <c r="L16" t="s">
        <v>213</v>
      </c>
      <c r="M16" t="s">
        <v>57</v>
      </c>
      <c r="N16">
        <v>3.5702405273660638</v>
      </c>
      <c r="O16">
        <v>0.80815624974632683</v>
      </c>
      <c r="P16">
        <v>1.2373844789468513</v>
      </c>
      <c r="Q16">
        <v>1.77</v>
      </c>
      <c r="R16">
        <v>0.54263565891472865</v>
      </c>
      <c r="S16">
        <v>5.5</v>
      </c>
      <c r="T16">
        <v>5</v>
      </c>
      <c r="U16">
        <v>0.5</v>
      </c>
      <c r="V16">
        <v>0.26552059083159818</v>
      </c>
      <c r="W16">
        <v>0.191227929516917</v>
      </c>
      <c r="X16">
        <v>44.819030063767983</v>
      </c>
      <c r="Y16">
        <v>19.291749215108631</v>
      </c>
      <c r="Z16" t="s">
        <v>192</v>
      </c>
      <c r="AA16" t="str">
        <f t="shared" si="4"/>
        <v>BET</v>
      </c>
      <c r="AB16">
        <v>1.24</v>
      </c>
      <c r="AC16">
        <v>44.775181695827733</v>
      </c>
      <c r="AG16" t="s">
        <v>210</v>
      </c>
      <c r="AH16" t="s">
        <v>211</v>
      </c>
      <c r="BB16" t="s">
        <v>57</v>
      </c>
      <c r="BC16">
        <v>1.7603904403689405</v>
      </c>
      <c r="BD16" s="17">
        <v>0.30530666898149372</v>
      </c>
      <c r="BE16">
        <v>3.2753952061905838</v>
      </c>
      <c r="BF16">
        <v>1.74</v>
      </c>
      <c r="BG16">
        <v>0.5526992287917738</v>
      </c>
      <c r="BK16">
        <v>-0.24739255981028008</v>
      </c>
      <c r="BL16">
        <v>-0.17817212157536369</v>
      </c>
      <c r="BM16">
        <v>0</v>
      </c>
      <c r="BN16">
        <v>0</v>
      </c>
      <c r="BO16" t="s">
        <v>193</v>
      </c>
      <c r="BR16" s="38" t="s">
        <v>54</v>
      </c>
      <c r="BS16" s="38">
        <v>2.7210412986837005</v>
      </c>
      <c r="BT16" s="38">
        <v>0.54091241457249561</v>
      </c>
      <c r="BU16" s="38">
        <v>1.8487281361259555</v>
      </c>
      <c r="BV16" s="38">
        <v>2.8</v>
      </c>
      <c r="BW16" s="38">
        <v>0.34117647058823525</v>
      </c>
      <c r="BX16" s="38">
        <v>5.5</v>
      </c>
      <c r="BY16" s="38">
        <v>5</v>
      </c>
      <c r="BZ16" s="38">
        <v>0.5</v>
      </c>
      <c r="CA16" s="38">
        <v>0.19973594398426037</v>
      </c>
      <c r="CB16" s="38">
        <v>0.14384982685746431</v>
      </c>
      <c r="CC16" s="38">
        <v>17.726926064423729</v>
      </c>
      <c r="CD16" s="38">
        <v>9.1214742008518002</v>
      </c>
      <c r="CE16" s="38" t="s">
        <v>192</v>
      </c>
    </row>
    <row r="17" spans="1:83" ht="14.5" customHeight="1" x14ac:dyDescent="0.35">
      <c r="A17" t="str">
        <v>Minnesota Wild</v>
      </c>
      <c r="B17">
        <f>VLOOKUP(A17,'Expected Goals For '!$A$7:$L$37,12,FALSE)</f>
        <v>2.9202423685537018</v>
      </c>
      <c r="C17">
        <f>VLOOKUP('Model Outputs'!A17,'Expected Goals Against'!$N$7:$AA$37,14,FALSE)</f>
        <v>1.3719515469650347</v>
      </c>
      <c r="D17">
        <f t="shared" si="0"/>
        <v>1.2761052020885861</v>
      </c>
      <c r="E17">
        <f t="shared" si="2"/>
        <v>0.49998201918764879</v>
      </c>
      <c r="F17">
        <f>VLOOKUP('Model Outputs'!A17,'Expected Goals For '!$M$48:$Y$78,13,FALSE)</f>
        <v>3.2431950313197477</v>
      </c>
      <c r="G17">
        <f>VLOOKUP(A17,'Expected Goals Against'!$N$48:$AA$78,14,FALSE)</f>
        <v>3.3857502754861968</v>
      </c>
      <c r="H17">
        <f t="shared" si="3"/>
        <v>1.1855488375863801</v>
      </c>
      <c r="I17">
        <f t="shared" si="1"/>
        <v>1.179652241282422</v>
      </c>
      <c r="L17" t="s">
        <v>153</v>
      </c>
      <c r="M17" t="s">
        <v>59</v>
      </c>
      <c r="N17">
        <v>1.5705957645616091</v>
      </c>
      <c r="O17">
        <v>0.19065138676994808</v>
      </c>
      <c r="P17">
        <v>5.2451755895521632</v>
      </c>
      <c r="Q17">
        <v>2.1</v>
      </c>
      <c r="R17">
        <v>0.4573643410852713</v>
      </c>
      <c r="V17">
        <v>-0.26671295431532321</v>
      </c>
      <c r="W17">
        <v>-0.19208666969789576</v>
      </c>
      <c r="X17">
        <v>0</v>
      </c>
      <c r="Y17">
        <v>0</v>
      </c>
      <c r="Z17" t="s">
        <v>193</v>
      </c>
      <c r="AA17">
        <f t="shared" si="4"/>
        <v>0</v>
      </c>
      <c r="AG17">
        <v>1</v>
      </c>
      <c r="AH17">
        <v>36.109017496635268</v>
      </c>
      <c r="BB17" s="38" t="s">
        <v>52</v>
      </c>
      <c r="BC17" s="38">
        <v>2.6642404027424673</v>
      </c>
      <c r="BD17" s="49">
        <v>0.73962406738393438</v>
      </c>
      <c r="BE17" s="38">
        <v>1.3520382098124804</v>
      </c>
      <c r="BF17" s="38">
        <v>1.74</v>
      </c>
      <c r="BG17" s="38">
        <v>0.5526992287917738</v>
      </c>
      <c r="BH17" s="38"/>
      <c r="BI17" s="38"/>
      <c r="BJ17" s="38"/>
      <c r="BK17" s="38">
        <v>0.18692483859216058</v>
      </c>
      <c r="BL17" s="38">
        <v>0.13462326875407404</v>
      </c>
      <c r="BM17" s="38">
        <v>26.891636980409288</v>
      </c>
      <c r="BN17" s="38">
        <v>7.7164443639795302</v>
      </c>
      <c r="BO17" s="38" t="s">
        <v>192</v>
      </c>
      <c r="BR17" s="38" t="s">
        <v>41</v>
      </c>
      <c r="BS17" s="38">
        <v>3.88894590937428</v>
      </c>
      <c r="BT17" s="38">
        <v>0.74799295891306439</v>
      </c>
      <c r="BU17" s="38">
        <v>1.3369109803562003</v>
      </c>
      <c r="BV17" s="38">
        <v>2.35</v>
      </c>
      <c r="BW17" s="38">
        <v>0.41249999999999998</v>
      </c>
      <c r="BX17" s="38">
        <v>5.5</v>
      </c>
      <c r="BY17" s="38">
        <v>5</v>
      </c>
      <c r="BZ17" s="38">
        <v>0.5</v>
      </c>
      <c r="CA17" s="38">
        <v>0.33549295891306441</v>
      </c>
      <c r="CB17" s="38">
        <v>0.24162202900918897</v>
      </c>
      <c r="CC17" s="38">
        <v>34.8085303395438</v>
      </c>
      <c r="CD17" s="38">
        <v>26.377328330068973</v>
      </c>
      <c r="CE17" s="38" t="s">
        <v>192</v>
      </c>
    </row>
    <row r="18" spans="1:83" ht="14.5" customHeight="1" x14ac:dyDescent="0.35">
      <c r="A18" t="str">
        <v>Montreal Canadiens</v>
      </c>
      <c r="B18">
        <f>VLOOKUP(A18,'Expected Goals For '!$A$7:$L$37,12,FALSE)</f>
        <v>2.4390727929326244</v>
      </c>
      <c r="C18">
        <f>VLOOKUP('Model Outputs'!A18,'Expected Goals Against'!$N$7:$AA$37,14,FALSE)</f>
        <v>3.1374022304010469</v>
      </c>
      <c r="D18">
        <f t="shared" si="0"/>
        <v>1.0658408058354356</v>
      </c>
      <c r="E18">
        <f>C18/$C$34</f>
        <v>1.1433674211234564</v>
      </c>
      <c r="F18">
        <f>VLOOKUP('Model Outputs'!A18,'Expected Goals For '!$M$48:$Y$78,13,FALSE)</f>
        <v>2.5244620769706536</v>
      </c>
      <c r="G18">
        <f>VLOOKUP(A18,'Expected Goals Against'!$N$48:$AA$78,14,FALSE)</f>
        <v>2.7172927177773958</v>
      </c>
      <c r="H18">
        <f t="shared" si="3"/>
        <v>0.92281625125257194</v>
      </c>
      <c r="I18">
        <f t="shared" si="1"/>
        <v>0.94675040505939312</v>
      </c>
      <c r="L18" t="s">
        <v>213</v>
      </c>
      <c r="M18" t="s">
        <v>54</v>
      </c>
      <c r="N18">
        <v>3.3735645608037412</v>
      </c>
      <c r="O18">
        <v>0.72046628714826877</v>
      </c>
      <c r="P18">
        <v>1.3879899973643104</v>
      </c>
      <c r="Q18">
        <v>2.7</v>
      </c>
      <c r="R18">
        <v>0.35714285714285715</v>
      </c>
      <c r="S18">
        <v>5.5</v>
      </c>
      <c r="T18">
        <v>5</v>
      </c>
      <c r="U18">
        <v>0.5</v>
      </c>
      <c r="V18">
        <v>0.36332343000541162</v>
      </c>
      <c r="W18">
        <v>0.26166553428989742</v>
      </c>
      <c r="X18">
        <v>44.580600404205548</v>
      </c>
      <c r="Y18">
        <v>42.140212656352624</v>
      </c>
      <c r="Z18" t="s">
        <v>192</v>
      </c>
      <c r="AA18">
        <f t="shared" si="4"/>
        <v>0</v>
      </c>
      <c r="AD18" s="17"/>
      <c r="BB18" t="s">
        <v>51</v>
      </c>
      <c r="BC18">
        <v>1.3495295826504257</v>
      </c>
      <c r="BD18" s="17">
        <v>0.26026867547538285</v>
      </c>
      <c r="BE18">
        <v>3.8421834597401778</v>
      </c>
      <c r="BF18">
        <v>2.15</v>
      </c>
      <c r="BG18" s="17">
        <v>0.44730077120822626</v>
      </c>
      <c r="BK18" s="17">
        <v>-0.18703209573284341</v>
      </c>
      <c r="BL18">
        <v>-0.13470051534679381</v>
      </c>
      <c r="BM18">
        <v>0</v>
      </c>
      <c r="BN18">
        <v>0</v>
      </c>
      <c r="BO18" t="s">
        <v>193</v>
      </c>
      <c r="BR18" s="38" t="s">
        <v>50</v>
      </c>
      <c r="BS18" s="38">
        <v>3.1217209613478412</v>
      </c>
      <c r="BT18" s="38">
        <v>0.7726685963671025</v>
      </c>
      <c r="BU18" s="38">
        <v>1.294215922197115</v>
      </c>
      <c r="BV18" s="38">
        <v>1.56</v>
      </c>
      <c r="BW18" s="38">
        <v>0.625</v>
      </c>
      <c r="BX18" s="38">
        <v>5.5</v>
      </c>
      <c r="BY18" s="38">
        <v>5</v>
      </c>
      <c r="BZ18" s="38">
        <v>0.5</v>
      </c>
      <c r="CA18" s="38">
        <v>0.1476685963671025</v>
      </c>
      <c r="CB18" s="38">
        <v>0.10635092310358721</v>
      </c>
      <c r="CC18" s="38">
        <v>22.554799393041456</v>
      </c>
      <c r="CD18" s="38">
        <v>4.6319215008046992</v>
      </c>
      <c r="CE18" s="38" t="s">
        <v>192</v>
      </c>
    </row>
    <row r="19" spans="1:83" x14ac:dyDescent="0.35">
      <c r="A19" t="str">
        <v>New Jersey Devils</v>
      </c>
      <c r="B19">
        <f>VLOOKUP(A19,'Expected Goals For '!$A$7:$L$37,12,FALSE)</f>
        <v>1.6711611905928698</v>
      </c>
      <c r="C19">
        <f>VLOOKUP('Model Outputs'!A19,'Expected Goals Against'!$N$7:$AA$37,14,FALSE)</f>
        <v>3.4562924022857535</v>
      </c>
      <c r="D19">
        <f t="shared" si="0"/>
        <v>0.73027414156048653</v>
      </c>
      <c r="E19">
        <f t="shared" si="2"/>
        <v>1.2595809655381378</v>
      </c>
      <c r="F19">
        <f>VLOOKUP('Model Outputs'!A19,'Expected Goals For '!$M$48:$Y$78,13,FALSE)</f>
        <v>3.3053902418655641</v>
      </c>
      <c r="G19">
        <f>VLOOKUP(A19,'Expected Goals Against'!$N$48:$AA$78,14,FALSE)</f>
        <v>2.8381515259267354</v>
      </c>
      <c r="H19">
        <f t="shared" si="3"/>
        <v>1.2082842755893262</v>
      </c>
      <c r="I19">
        <f t="shared" si="1"/>
        <v>0.98885964298646301</v>
      </c>
      <c r="L19" t="s">
        <v>153</v>
      </c>
      <c r="M19" t="s">
        <v>67</v>
      </c>
      <c r="N19">
        <v>1.9921189816585105</v>
      </c>
      <c r="O19">
        <v>0.27876445519417958</v>
      </c>
      <c r="P19">
        <v>3.5872579210410014</v>
      </c>
      <c r="Q19">
        <v>1.5</v>
      </c>
      <c r="R19">
        <v>0.6428571428571429</v>
      </c>
      <c r="V19">
        <v>-0.36409268766296332</v>
      </c>
      <c r="W19">
        <v>-0.26221955365486616</v>
      </c>
      <c r="X19">
        <v>0</v>
      </c>
      <c r="Y19">
        <v>0</v>
      </c>
      <c r="Z19" t="s">
        <v>193</v>
      </c>
      <c r="AA19">
        <f t="shared" si="4"/>
        <v>0</v>
      </c>
      <c r="BB19" t="s">
        <v>46</v>
      </c>
      <c r="BC19">
        <v>1.7500821590382412</v>
      </c>
      <c r="BD19" s="17">
        <v>0.35016089563772979</v>
      </c>
      <c r="BE19">
        <v>2.8558300268759371</v>
      </c>
      <c r="BF19">
        <v>1.95</v>
      </c>
      <c r="BG19">
        <v>0.48952879581151842</v>
      </c>
      <c r="BK19">
        <v>-0.13936790017378864</v>
      </c>
      <c r="BL19">
        <v>-0.10037276170516257</v>
      </c>
      <c r="BM19">
        <v>0</v>
      </c>
      <c r="BN19">
        <v>0</v>
      </c>
      <c r="BO19" t="s">
        <v>193</v>
      </c>
      <c r="BR19" s="38" t="s">
        <v>49</v>
      </c>
      <c r="BS19" s="38">
        <v>3.1017807176263492</v>
      </c>
      <c r="BT19" s="38">
        <v>0.6939540367272381</v>
      </c>
      <c r="BU19" s="38">
        <v>1.4410176280782336</v>
      </c>
      <c r="BV19" s="38">
        <v>1.95</v>
      </c>
      <c r="BW19" s="38">
        <v>0.48952879581151842</v>
      </c>
      <c r="BX19" s="38">
        <v>5.5</v>
      </c>
      <c r="BY19" s="38">
        <v>5</v>
      </c>
      <c r="BZ19" s="38">
        <v>0.5</v>
      </c>
      <c r="CA19" s="38">
        <v>0.20442524091571967</v>
      </c>
      <c r="CB19" s="38">
        <v>0.14722705850750131</v>
      </c>
      <c r="CC19" s="38">
        <v>22.867285619026131</v>
      </c>
      <c r="CD19" s="38">
        <v>8.0769624513937757</v>
      </c>
      <c r="CE19" s="38" t="s">
        <v>192</v>
      </c>
    </row>
    <row r="20" spans="1:83" ht="14.25" customHeight="1" x14ac:dyDescent="0.35">
      <c r="A20" t="str">
        <v>Nashville Predators</v>
      </c>
      <c r="B20">
        <f>VLOOKUP(A20,'Expected Goals For '!$A$7:$L$37,12,FALSE)</f>
        <v>1.5713819435706682</v>
      </c>
      <c r="C20">
        <f>VLOOKUP('Model Outputs'!A20,'Expected Goals Against'!$N$7:$AA$37,14,FALSE)</f>
        <v>3.3094608167417601</v>
      </c>
      <c r="D20">
        <f t="shared" si="0"/>
        <v>0.68667200169817932</v>
      </c>
      <c r="E20">
        <f t="shared" si="2"/>
        <v>1.2060709470661219</v>
      </c>
      <c r="F20">
        <f>VLOOKUP('Model Outputs'!A20,'Expected Goals For '!$M$48:$Y$78,13,FALSE)</f>
        <v>1.9801906165877423</v>
      </c>
      <c r="G20">
        <f>VLOOKUP(A20,'Expected Goals Against'!$N$48:$AA$78,14,FALSE)</f>
        <v>2.8276425540056378</v>
      </c>
      <c r="H20">
        <f t="shared" si="3"/>
        <v>0.72385800453688565</v>
      </c>
      <c r="I20">
        <f t="shared" si="1"/>
        <v>0.98519814072799639</v>
      </c>
      <c r="L20" t="s">
        <v>213</v>
      </c>
      <c r="M20" t="s">
        <v>42</v>
      </c>
      <c r="N20">
        <v>2.3794680153875727</v>
      </c>
      <c r="O20">
        <v>0.65536393684810457</v>
      </c>
      <c r="P20">
        <v>1.5258697401162808</v>
      </c>
      <c r="Q20">
        <v>1.59</v>
      </c>
      <c r="R20">
        <v>0.6112469437652811</v>
      </c>
      <c r="S20">
        <v>5.5</v>
      </c>
      <c r="T20">
        <v>5</v>
      </c>
      <c r="U20">
        <v>0.5</v>
      </c>
      <c r="V20">
        <v>4.4116993082823464E-2</v>
      </c>
      <c r="W20">
        <v>3.1773058418249456E-2</v>
      </c>
      <c r="X20">
        <v>5.711333921584397</v>
      </c>
      <c r="Y20">
        <v>0.24003970918644524</v>
      </c>
      <c r="Z20" t="s">
        <v>193</v>
      </c>
      <c r="AA20">
        <f t="shared" si="4"/>
        <v>0</v>
      </c>
      <c r="AD20" s="17"/>
      <c r="AI20" t="str">
        <f>M4</f>
        <v>Philadelphia Flyers</v>
      </c>
      <c r="BB20" s="38" t="s">
        <v>68</v>
      </c>
      <c r="BC20" s="38">
        <v>2.5719615362059929</v>
      </c>
      <c r="BD20" s="49">
        <v>0.64975777681404445</v>
      </c>
      <c r="BE20" s="38">
        <v>1.5390350615013757</v>
      </c>
      <c r="BF20" s="38">
        <v>1.87</v>
      </c>
      <c r="BG20" s="38">
        <v>0.51047120418848169</v>
      </c>
      <c r="BH20" s="38"/>
      <c r="BI20" s="38"/>
      <c r="BJ20" s="38"/>
      <c r="BK20" s="38">
        <v>0.13928657262556277</v>
      </c>
      <c r="BL20" s="38">
        <v>0.1003141896049303</v>
      </c>
      <c r="BM20" s="38">
        <v>17.142067156388517</v>
      </c>
      <c r="BN20" s="38">
        <v>3.6863508467564214</v>
      </c>
      <c r="BO20" s="38" t="s">
        <v>192</v>
      </c>
      <c r="BR20" s="38" t="s">
        <v>57</v>
      </c>
      <c r="BS20" s="38">
        <v>3.0828126904829491</v>
      </c>
      <c r="BT20" s="38">
        <v>0.65684866514068418</v>
      </c>
      <c r="BU20" s="38">
        <v>1.5224206930310493</v>
      </c>
      <c r="BV20" s="38">
        <v>2.2000000000000002</v>
      </c>
      <c r="BW20" s="38">
        <v>0.4373401534526854</v>
      </c>
      <c r="BX20" s="38">
        <v>5.5</v>
      </c>
      <c r="BY20" s="38">
        <v>5</v>
      </c>
      <c r="BZ20" s="38">
        <v>0.5</v>
      </c>
      <c r="CA20" s="38">
        <v>0.21950851168799879</v>
      </c>
      <c r="CB20" s="38">
        <v>0.15809003011769671</v>
      </c>
      <c r="CC20" s="38">
        <v>25.088430358756806</v>
      </c>
      <c r="CD20" s="38">
        <v>11.16603402281693</v>
      </c>
      <c r="CE20" s="38" t="s">
        <v>192</v>
      </c>
    </row>
    <row r="21" spans="1:83" ht="14.25" customHeight="1" x14ac:dyDescent="0.35">
      <c r="A21" t="str">
        <v>New York Islanders</v>
      </c>
      <c r="B21">
        <f>VLOOKUP(A21,'Expected Goals For '!$A$7:$L$37,12,FALSE)</f>
        <v>3.7644209153410224</v>
      </c>
      <c r="C21">
        <f>VLOOKUP('Model Outputs'!A21,'Expected Goals Against'!$N$7:$AA$37,14,FALSE)</f>
        <v>2.1346039838901358</v>
      </c>
      <c r="D21">
        <f t="shared" si="0"/>
        <v>1.6449994578007974</v>
      </c>
      <c r="E21">
        <f t="shared" si="2"/>
        <v>0.77791640119677596</v>
      </c>
      <c r="F21">
        <f>VLOOKUP('Model Outputs'!A21,'Expected Goals For '!$M$48:$Y$78,13,FALSE)</f>
        <v>2.1516601903343107</v>
      </c>
      <c r="G21">
        <f>VLOOKUP(A21,'Expected Goals Against'!$N$48:$AA$78,14,FALSE)</f>
        <v>1.6909943317361218</v>
      </c>
      <c r="H21">
        <f t="shared" si="3"/>
        <v>0.78653864873914126</v>
      </c>
      <c r="I21">
        <f t="shared" si="1"/>
        <v>0.58917081625044965</v>
      </c>
      <c r="L21" t="s">
        <v>153</v>
      </c>
      <c r="M21" t="s">
        <v>43</v>
      </c>
      <c r="N21">
        <v>1.5618273280149784</v>
      </c>
      <c r="O21">
        <v>0.34459536379053468</v>
      </c>
      <c r="P21">
        <v>2.9019543066396527</v>
      </c>
      <c r="Q21">
        <v>2.5</v>
      </c>
      <c r="R21">
        <v>0.38875305623471884</v>
      </c>
      <c r="V21">
        <v>-4.415769244418416E-2</v>
      </c>
      <c r="W21">
        <v>-3.1802370098301433E-2</v>
      </c>
      <c r="X21">
        <v>0</v>
      </c>
      <c r="Y21">
        <v>0</v>
      </c>
      <c r="Z21" t="s">
        <v>193</v>
      </c>
      <c r="AA21">
        <f t="shared" si="4"/>
        <v>0</v>
      </c>
      <c r="AD21" s="17"/>
      <c r="AI21" t="s">
        <v>134</v>
      </c>
      <c r="BB21" t="s">
        <v>58</v>
      </c>
      <c r="BC21">
        <v>2.1141917992424299</v>
      </c>
      <c r="BD21">
        <v>0.18439864085673535</v>
      </c>
      <c r="BE21">
        <v>5.4230334635542619</v>
      </c>
      <c r="BF21">
        <v>3.6</v>
      </c>
      <c r="BG21">
        <v>0.26680244399185343</v>
      </c>
      <c r="BH21">
        <v>5.5</v>
      </c>
      <c r="BI21">
        <v>5</v>
      </c>
      <c r="BJ21">
        <v>0.5</v>
      </c>
      <c r="BK21">
        <v>-8.2403803135118081E-2</v>
      </c>
      <c r="BL21">
        <v>-5.934721901791204E-2</v>
      </c>
      <c r="BM21">
        <v>0</v>
      </c>
      <c r="BN21">
        <v>0</v>
      </c>
      <c r="BO21" t="s">
        <v>193</v>
      </c>
      <c r="BR21" s="38" t="s">
        <v>50</v>
      </c>
      <c r="BS21" s="38">
        <v>4.297510809208088</v>
      </c>
      <c r="BT21" s="38">
        <v>0.87597184777515669</v>
      </c>
      <c r="BU21" s="38">
        <v>1.1415891989449856</v>
      </c>
      <c r="BV21" s="38">
        <v>1.57</v>
      </c>
      <c r="BW21" s="38">
        <v>0.6189320388349514</v>
      </c>
      <c r="BX21" s="38">
        <v>5.5</v>
      </c>
      <c r="BY21" s="38">
        <v>5</v>
      </c>
      <c r="BZ21" s="38">
        <v>0.5</v>
      </c>
      <c r="CA21" s="38">
        <v>0.25703980894020528</v>
      </c>
      <c r="CB21" s="38">
        <v>0.18512007039873582</v>
      </c>
      <c r="CC21" s="38">
        <v>44.535361900556559</v>
      </c>
      <c r="CD21" s="38">
        <v>16.713043610367812</v>
      </c>
      <c r="CE21" s="38" t="s">
        <v>192</v>
      </c>
    </row>
    <row r="22" spans="1:83" ht="14.25" customHeight="1" x14ac:dyDescent="0.35">
      <c r="A22" t="str">
        <v>New York Rangers</v>
      </c>
      <c r="B22">
        <f>VLOOKUP(A22,'Expected Goals For '!$A$7:$L$37,12,FALSE)</f>
        <v>2.7749314469910931</v>
      </c>
      <c r="C22">
        <f>VLOOKUP('Model Outputs'!A22,'Expected Goals Against'!$N$7:$AA$37,14,FALSE)</f>
        <v>2.4896174817614001</v>
      </c>
      <c r="D22">
        <f t="shared" si="0"/>
        <v>1.2126063552383606</v>
      </c>
      <c r="E22">
        <f t="shared" si="2"/>
        <v>0.90729441450723325</v>
      </c>
      <c r="F22">
        <f>VLOOKUP('Model Outputs'!A22,'Expected Goals For '!$M$48:$Y$78,13,FALSE)</f>
        <v>2.9012524134188329</v>
      </c>
      <c r="G22">
        <f>VLOOKUP(A22,'Expected Goals Against'!$N$48:$AA$78,14,FALSE)</f>
        <v>2.3640558618697551</v>
      </c>
      <c r="H22">
        <f t="shared" si="3"/>
        <v>1.0605518302344328</v>
      </c>
      <c r="I22">
        <f t="shared" si="1"/>
        <v>0.82367675376502347</v>
      </c>
      <c r="L22" t="s">
        <v>213</v>
      </c>
      <c r="M22" t="s">
        <v>64</v>
      </c>
      <c r="N22">
        <v>2.89811631248338</v>
      </c>
      <c r="O22">
        <v>0.62696327637898019</v>
      </c>
      <c r="P22">
        <v>1.594989750875824</v>
      </c>
      <c r="Q22">
        <v>1.33</v>
      </c>
      <c r="R22">
        <v>0.72463768115942018</v>
      </c>
      <c r="S22">
        <v>5.5</v>
      </c>
      <c r="T22">
        <v>5</v>
      </c>
      <c r="U22">
        <v>0.5</v>
      </c>
      <c r="V22">
        <v>-9.7674404780439983E-2</v>
      </c>
      <c r="W22">
        <v>-7.0345106322872872E-2</v>
      </c>
      <c r="X22">
        <v>0</v>
      </c>
      <c r="Y22">
        <v>0</v>
      </c>
      <c r="Z22" t="s">
        <v>193</v>
      </c>
      <c r="AA22">
        <f t="shared" si="4"/>
        <v>0</v>
      </c>
      <c r="AD22" s="17"/>
      <c r="AI22">
        <v>0</v>
      </c>
      <c r="AJ22">
        <v>1</v>
      </c>
      <c r="AK22">
        <v>2</v>
      </c>
      <c r="AL22">
        <v>3</v>
      </c>
      <c r="AM22">
        <v>4</v>
      </c>
      <c r="AN22">
        <v>5</v>
      </c>
      <c r="AO22">
        <v>6</v>
      </c>
      <c r="AP22">
        <v>7</v>
      </c>
      <c r="AQ22">
        <v>8</v>
      </c>
      <c r="AR22">
        <v>9</v>
      </c>
      <c r="AS22">
        <v>10</v>
      </c>
      <c r="BB22" t="s">
        <v>64</v>
      </c>
      <c r="BC22">
        <v>4.4225009455517652</v>
      </c>
      <c r="BD22">
        <v>0.80968936432802041</v>
      </c>
      <c r="BE22">
        <v>1.2350415406900184</v>
      </c>
      <c r="BF22">
        <v>1.31</v>
      </c>
      <c r="BG22">
        <v>0.73319755600814673</v>
      </c>
      <c r="BK22">
        <v>7.6491808319873678E-2</v>
      </c>
      <c r="BL22">
        <v>5.5089400351973017E-2</v>
      </c>
      <c r="BM22">
        <v>13.604135666008013</v>
      </c>
      <c r="BN22">
        <v>0.82567672112324075</v>
      </c>
      <c r="BO22" t="s">
        <v>193</v>
      </c>
      <c r="BR22" s="38" t="s">
        <v>43</v>
      </c>
      <c r="BS22" s="38">
        <v>3.5776901532885796</v>
      </c>
      <c r="BT22" s="38">
        <v>0.71794510701158398</v>
      </c>
      <c r="BU22" s="38">
        <v>1.3928641482946482</v>
      </c>
      <c r="BV22" s="38">
        <v>1.74</v>
      </c>
      <c r="BW22" s="38">
        <v>0.5526992287917738</v>
      </c>
      <c r="BX22" s="38"/>
      <c r="BY22" s="38"/>
      <c r="BZ22" s="38"/>
      <c r="CA22" s="38">
        <v>0.16524587821981018</v>
      </c>
      <c r="CB22" s="38">
        <v>0.11901008149390728</v>
      </c>
      <c r="CC22" s="38">
        <v>22.781812357463991</v>
      </c>
      <c r="CD22" s="38">
        <v>5.6777854794973281</v>
      </c>
      <c r="CE22" s="38" t="s">
        <v>192</v>
      </c>
    </row>
    <row r="23" spans="1:83" ht="14.25" customHeight="1" x14ac:dyDescent="0.35">
      <c r="A23" t="str">
        <v>Ottawa Senators</v>
      </c>
      <c r="B23">
        <f>VLOOKUP(A23,'Expected Goals For '!$A$7:$L$37,12,FALSE)</f>
        <v>2.7402716941740319</v>
      </c>
      <c r="C23">
        <f>VLOOKUP('Model Outputs'!A23,'Expected Goals Against'!$N$7:$AA$37,14,FALSE)</f>
        <v>2.3020482306942158</v>
      </c>
      <c r="D23">
        <f t="shared" si="0"/>
        <v>1.1974605264711198</v>
      </c>
      <c r="E23">
        <f t="shared" si="2"/>
        <v>0.83893831760749638</v>
      </c>
      <c r="F23">
        <f>VLOOKUP('Model Outputs'!A23,'Expected Goals For '!$M$48:$Y$78,13,FALSE)</f>
        <v>2.2842568747974301</v>
      </c>
      <c r="G23">
        <f>VLOOKUP(A23,'Expected Goals Against'!$N$48:$AA$78,14,FALSE)</f>
        <v>4.2961982597084685</v>
      </c>
      <c r="H23">
        <f t="shared" si="3"/>
        <v>0.83500932152168128</v>
      </c>
      <c r="I23">
        <f t="shared" si="1"/>
        <v>1.496867605018791</v>
      </c>
      <c r="L23" t="s">
        <v>153</v>
      </c>
      <c r="M23" t="s">
        <v>58</v>
      </c>
      <c r="N23">
        <v>2.1516904900259206</v>
      </c>
      <c r="O23">
        <v>0.37280152735056604</v>
      </c>
      <c r="P23">
        <v>2.6823924437939448</v>
      </c>
      <c r="Q23">
        <v>3.5</v>
      </c>
      <c r="R23">
        <v>0.27536231884057966</v>
      </c>
      <c r="V23">
        <v>9.7439208509986386E-2</v>
      </c>
      <c r="W23">
        <v>7.0175717968892187E-2</v>
      </c>
      <c r="X23">
        <v>9.7752212444531761</v>
      </c>
      <c r="Y23">
        <v>2.9795396909732812</v>
      </c>
      <c r="Z23" t="s">
        <v>193</v>
      </c>
      <c r="AA23">
        <f t="shared" si="4"/>
        <v>0</v>
      </c>
      <c r="AD23" s="17"/>
      <c r="AF23" s="51" t="str">
        <f>M5</f>
        <v>Vancouver Canucks</v>
      </c>
      <c r="AG23" s="51" t="s">
        <v>133</v>
      </c>
      <c r="AH23">
        <v>0</v>
      </c>
      <c r="AI23" s="16">
        <f>(_xlfn.POISSON.DIST($AH23,$N$5,FALSE))*(_xlfn.POISSON.DIST(AI$22,$N$4,FALSE))</f>
        <v>8.3566002473994348E-3</v>
      </c>
      <c r="AJ23" s="16">
        <f t="shared" ref="AI23:AS33" si="5">(_xlfn.POISSON.DIST($AH23,$N$5,FALSE))*(_xlfn.POISSON.DIST(AJ$22,$N$4,FALSE))</f>
        <v>2.5351089545579086E-2</v>
      </c>
      <c r="AK23" s="16">
        <f t="shared" si="5"/>
        <v>3.8453301708907879E-2</v>
      </c>
      <c r="AL23" s="16">
        <f t="shared" si="5"/>
        <v>3.888475640354102E-2</v>
      </c>
      <c r="AM23" s="16">
        <f t="shared" si="5"/>
        <v>2.9490789087672616E-2</v>
      </c>
      <c r="AN23" s="16">
        <f t="shared" si="5"/>
        <v>1.7893009424832424E-2</v>
      </c>
      <c r="AO23" s="16">
        <f t="shared" si="5"/>
        <v>9.0468865076635922E-3</v>
      </c>
      <c r="AP23" s="16">
        <f t="shared" si="5"/>
        <v>3.9207405468141172E-3</v>
      </c>
      <c r="AQ23" s="16">
        <f t="shared" si="5"/>
        <v>1.486774551621622E-3</v>
      </c>
      <c r="AR23" s="16">
        <f t="shared" si="5"/>
        <v>5.0115216550570922E-4</v>
      </c>
      <c r="AS23" s="16">
        <f t="shared" si="5"/>
        <v>1.5203256165866971E-4</v>
      </c>
      <c r="BB23" t="s">
        <v>45</v>
      </c>
      <c r="BC23">
        <v>1.9851922941086524</v>
      </c>
      <c r="BD23">
        <v>0.48170420980416462</v>
      </c>
      <c r="BE23">
        <v>2.0759627581551485</v>
      </c>
      <c r="BF23">
        <v>1.71</v>
      </c>
      <c r="BG23">
        <v>0.56265984654731449</v>
      </c>
      <c r="BH23">
        <v>5.5</v>
      </c>
      <c r="BI23">
        <v>5</v>
      </c>
      <c r="BJ23">
        <v>0.5</v>
      </c>
      <c r="BK23">
        <v>-8.0955636743149872E-2</v>
      </c>
      <c r="BL23">
        <v>-5.8304249582416534E-2</v>
      </c>
      <c r="BM23">
        <v>0</v>
      </c>
      <c r="BN23">
        <v>0</v>
      </c>
      <c r="BO23" t="s">
        <v>193</v>
      </c>
      <c r="BR23" s="38" t="s">
        <v>64</v>
      </c>
      <c r="BS23" s="38">
        <v>3.4515256317347185</v>
      </c>
      <c r="BT23" s="38">
        <v>0.71989153290077001</v>
      </c>
      <c r="BU23" s="38">
        <v>1.3890981547880494</v>
      </c>
      <c r="BV23" s="38">
        <v>1.91</v>
      </c>
      <c r="BW23" s="38">
        <v>0.5</v>
      </c>
      <c r="BX23" s="38">
        <v>5.5</v>
      </c>
      <c r="BY23" s="38">
        <v>5</v>
      </c>
      <c r="BZ23" s="38">
        <v>0.5</v>
      </c>
      <c r="CA23" s="38">
        <v>0.21989153290077001</v>
      </c>
      <c r="CB23" s="38">
        <v>0.15836588199513454</v>
      </c>
      <c r="CC23" s="38">
        <v>27.874741589495382</v>
      </c>
      <c r="CD23" s="38">
        <v>10.452828173967248</v>
      </c>
      <c r="CE23" s="38" t="s">
        <v>192</v>
      </c>
    </row>
    <row r="24" spans="1:83" x14ac:dyDescent="0.35">
      <c r="A24" t="str">
        <v>Philadelphia Flyers</v>
      </c>
      <c r="B24">
        <f>VLOOKUP(A24,'Expected Goals For '!$A$7:$L$37,12,FALSE)</f>
        <v>1.9068108422174372</v>
      </c>
      <c r="C24">
        <f>VLOOKUP('Model Outputs'!A24,'Expected Goals Against'!$N$7:$AA$37,14,FALSE)</f>
        <v>3.3767300944645595</v>
      </c>
      <c r="D24">
        <f t="shared" si="0"/>
        <v>0.83324975397768697</v>
      </c>
      <c r="E24">
        <f t="shared" si="2"/>
        <v>1.2305859741307017</v>
      </c>
      <c r="F24">
        <f>VLOOKUP('Model Outputs'!A24,'Expected Goals For '!$M$48:$Y$78,13,FALSE)</f>
        <v>2.8425998530705936</v>
      </c>
      <c r="G24">
        <f>VLOOKUP(A24,'Expected Goals Against'!$N$48:$AA$78,14,FALSE)</f>
        <v>4.1996222267396615</v>
      </c>
      <c r="H24">
        <f t="shared" si="3"/>
        <v>1.0391114068029674</v>
      </c>
      <c r="I24">
        <f t="shared" si="1"/>
        <v>1.4632188936620569</v>
      </c>
      <c r="L24" t="s">
        <v>213</v>
      </c>
      <c r="M24" t="s">
        <v>50</v>
      </c>
      <c r="N24">
        <v>4.7381884629551489</v>
      </c>
      <c r="O24">
        <v>0.73227332309848658</v>
      </c>
      <c r="P24">
        <v>1.3656103103260335</v>
      </c>
      <c r="Q24">
        <v>1.8</v>
      </c>
      <c r="R24">
        <v>0.53246753246753253</v>
      </c>
      <c r="S24">
        <v>5.5</v>
      </c>
      <c r="T24">
        <v>5</v>
      </c>
      <c r="U24">
        <v>0.5</v>
      </c>
      <c r="V24">
        <v>0.19980579063095405</v>
      </c>
      <c r="W24">
        <v>0.14390013041241309</v>
      </c>
      <c r="X24">
        <v>31.879151928382974</v>
      </c>
      <c r="Y24">
        <v>10.140502607902377</v>
      </c>
      <c r="Z24" t="s">
        <v>192</v>
      </c>
      <c r="AA24" t="str">
        <f t="shared" si="4"/>
        <v>BET</v>
      </c>
      <c r="AB24">
        <v>0.88</v>
      </c>
      <c r="AC24">
        <v>31.775935397039035</v>
      </c>
      <c r="AF24" s="26"/>
      <c r="AG24" s="26"/>
      <c r="AH24">
        <v>1</v>
      </c>
      <c r="AI24" s="16">
        <f t="shared" si="5"/>
        <v>1.4632765771739734E-2</v>
      </c>
      <c r="AJ24" s="16">
        <f t="shared" si="5"/>
        <v>4.4390846085320394E-2</v>
      </c>
      <c r="AK24" s="16">
        <f t="shared" si="5"/>
        <v>6.7333382045119725E-2</v>
      </c>
      <c r="AL24" s="16">
        <f t="shared" si="5"/>
        <v>6.808887773724033E-2</v>
      </c>
      <c r="AM24" s="16">
        <f t="shared" si="5"/>
        <v>5.1639637695722461E-2</v>
      </c>
      <c r="AN24" s="16">
        <f t="shared" si="5"/>
        <v>3.1331427627710656E-2</v>
      </c>
      <c r="AO24" s="16">
        <f t="shared" si="5"/>
        <v>1.5841486646600171E-2</v>
      </c>
      <c r="AP24" s="16">
        <f t="shared" si="5"/>
        <v>6.8653850100281666E-3</v>
      </c>
      <c r="AQ24" s="16">
        <f t="shared" si="5"/>
        <v>2.603406065287482E-3</v>
      </c>
      <c r="AR24" s="16">
        <f t="shared" si="5"/>
        <v>8.7753895564494488E-4</v>
      </c>
      <c r="AS24" s="16">
        <f t="shared" si="5"/>
        <v>2.6621554203471728E-4</v>
      </c>
      <c r="BB24" t="s">
        <v>48</v>
      </c>
      <c r="BC24">
        <v>2.080759071859362</v>
      </c>
      <c r="BD24">
        <v>0.51827609273684161</v>
      </c>
      <c r="BE24">
        <v>1.9294735258177482</v>
      </c>
      <c r="BF24">
        <v>2.2000000000000002</v>
      </c>
      <c r="BG24">
        <v>0.4373401534526854</v>
      </c>
      <c r="BK24">
        <v>8.0935939284156211E-2</v>
      </c>
      <c r="BL24">
        <v>5.8290063472449298E-2</v>
      </c>
      <c r="BM24">
        <v>8.1186396261369858</v>
      </c>
      <c r="BN24">
        <v>1.1382933861631086</v>
      </c>
      <c r="BO24" t="s">
        <v>193</v>
      </c>
      <c r="BR24" s="38" t="s">
        <v>44</v>
      </c>
      <c r="BS24" s="38">
        <v>3.1138657372866456</v>
      </c>
      <c r="BT24" s="38">
        <v>0.66768376667695994</v>
      </c>
      <c r="BU24" s="38">
        <v>1.4977150110702362</v>
      </c>
      <c r="BV24" s="38">
        <v>2.1</v>
      </c>
      <c r="BW24" s="38">
        <v>0.4573643410852713</v>
      </c>
      <c r="BX24" s="38">
        <v>5.5</v>
      </c>
      <c r="BY24" s="38">
        <v>5</v>
      </c>
      <c r="BZ24" s="38">
        <v>0.5</v>
      </c>
      <c r="CA24" s="38">
        <v>0.21031942559168865</v>
      </c>
      <c r="CB24" s="38">
        <v>0.15147205031113414</v>
      </c>
      <c r="CC24" s="38">
        <v>24.729164997729264</v>
      </c>
      <c r="CD24" s="38">
        <v>9.9444852704365481</v>
      </c>
      <c r="CE24" s="38" t="s">
        <v>192</v>
      </c>
    </row>
    <row r="25" spans="1:83" x14ac:dyDescent="0.35">
      <c r="A25" t="str">
        <v>Pittsburgh Penguins</v>
      </c>
      <c r="B25">
        <f>VLOOKUP(A25,'Expected Goals For '!$A$7:$L$37,12,FALSE)</f>
        <v>2.8827841801349967</v>
      </c>
      <c r="C25">
        <f>VLOOKUP('Model Outputs'!A25,'Expected Goals Against'!$N$7:$AA$37,14,FALSE)</f>
        <v>2.0462670006335264</v>
      </c>
      <c r="D25">
        <f t="shared" si="0"/>
        <v>1.25973649597821</v>
      </c>
      <c r="E25">
        <f t="shared" si="2"/>
        <v>0.74572364383935397</v>
      </c>
      <c r="F25">
        <f>VLOOKUP('Model Outputs'!A25,'Expected Goals For '!$M$48:$Y$78,13,FALSE)</f>
        <v>2.7310285326492432</v>
      </c>
      <c r="G25">
        <f>VLOOKUP(A25,'Expected Goals Against'!$N$48:$AA$78,14,FALSE)</f>
        <v>2.6337311103124152</v>
      </c>
      <c r="H25">
        <f t="shared" si="3"/>
        <v>0.99832654867506021</v>
      </c>
      <c r="I25">
        <f t="shared" si="1"/>
        <v>0.91763613805484534</v>
      </c>
      <c r="L25" t="s">
        <v>153</v>
      </c>
      <c r="M25" t="s">
        <v>45</v>
      </c>
      <c r="N25">
        <v>2.923674600711017</v>
      </c>
      <c r="O25">
        <v>0.25795643063817558</v>
      </c>
      <c r="P25">
        <v>3.8766236512345649</v>
      </c>
      <c r="Q25">
        <v>2.0499999999999998</v>
      </c>
      <c r="R25">
        <v>0.46753246753246758</v>
      </c>
      <c r="V25">
        <v>-0.20957603689429199</v>
      </c>
      <c r="W25">
        <v>-0.15093666177126908</v>
      </c>
      <c r="X25">
        <v>0</v>
      </c>
      <c r="Y25">
        <v>0</v>
      </c>
      <c r="Z25" t="s">
        <v>193</v>
      </c>
      <c r="AA25">
        <f t="shared" si="4"/>
        <v>0</v>
      </c>
      <c r="AF25" s="26"/>
      <c r="AG25" s="26"/>
      <c r="AH25">
        <v>2</v>
      </c>
      <c r="AI25" s="16">
        <f t="shared" si="5"/>
        <v>1.2811300516452925E-2</v>
      </c>
      <c r="AJ25" s="16">
        <f t="shared" si="5"/>
        <v>3.8865138569838018E-2</v>
      </c>
      <c r="AK25" s="16">
        <f t="shared" si="5"/>
        <v>5.8951821250030435E-2</v>
      </c>
      <c r="AL25" s="16">
        <f t="shared" si="5"/>
        <v>5.9613273944731218E-2</v>
      </c>
      <c r="AM25" s="16">
        <f t="shared" si="5"/>
        <v>4.5211611215587366E-2</v>
      </c>
      <c r="AN25" s="16">
        <f t="shared" si="5"/>
        <v>2.7431337397835879E-2</v>
      </c>
      <c r="AO25" s="16">
        <f t="shared" si="5"/>
        <v>1.3869561586841524E-2</v>
      </c>
      <c r="AP25" s="16">
        <f t="shared" si="5"/>
        <v>6.0107919375357319E-3</v>
      </c>
      <c r="AQ25" s="16">
        <f t="shared" si="5"/>
        <v>2.2793378906651326E-3</v>
      </c>
      <c r="AR25" s="16">
        <f t="shared" si="5"/>
        <v>7.6830419149974524E-4</v>
      </c>
      <c r="AS25" s="16">
        <f t="shared" si="5"/>
        <v>2.3307742120385735E-4</v>
      </c>
      <c r="BB25" t="s">
        <v>65</v>
      </c>
      <c r="BC25">
        <v>1.9735572400987993</v>
      </c>
      <c r="BD25">
        <v>0.32789663722770429</v>
      </c>
      <c r="BE25">
        <v>3.0497415540909034</v>
      </c>
      <c r="BF25">
        <v>2.4</v>
      </c>
      <c r="BG25">
        <v>0.40446650124069478</v>
      </c>
      <c r="BH25">
        <v>5.5</v>
      </c>
      <c r="BI25">
        <v>5</v>
      </c>
      <c r="BJ25">
        <v>0.5</v>
      </c>
      <c r="BK25">
        <v>-7.6569864012990485E-2</v>
      </c>
      <c r="BL25">
        <v>-5.514561606215574E-2</v>
      </c>
      <c r="BM25">
        <v>0</v>
      </c>
      <c r="BN25">
        <v>0</v>
      </c>
      <c r="BO25" t="s">
        <v>193</v>
      </c>
      <c r="BR25" s="38" t="s">
        <v>54</v>
      </c>
      <c r="BS25" s="38">
        <v>4.1959862282161113</v>
      </c>
      <c r="BT25" s="38">
        <v>0.79620826834627823</v>
      </c>
      <c r="BU25" s="38">
        <v>1.2559527949602891</v>
      </c>
      <c r="BV25" s="38">
        <v>2.4500000000000002</v>
      </c>
      <c r="BW25" s="38">
        <v>0.39655172413793105</v>
      </c>
      <c r="BX25" s="38">
        <v>5.5</v>
      </c>
      <c r="BY25" s="38">
        <v>5</v>
      </c>
      <c r="BZ25" s="38">
        <v>0.5</v>
      </c>
      <c r="CA25" s="38">
        <v>0.39965654420834718</v>
      </c>
      <c r="CB25" s="38">
        <v>0.2878326431388516</v>
      </c>
      <c r="CC25" s="38">
        <v>40.089943533431274</v>
      </c>
      <c r="CD25" s="38">
        <v>38.11392053775954</v>
      </c>
      <c r="CE25" s="38" t="s">
        <v>192</v>
      </c>
    </row>
    <row r="26" spans="1:83" ht="14.5" customHeight="1" x14ac:dyDescent="0.35">
      <c r="A26" t="str">
        <v>San Jose Sharks</v>
      </c>
      <c r="B26">
        <f>VLOOKUP(A26,'Expected Goals For '!$A$7:$L$37,12,FALSE)</f>
        <v>2.2252397350302959</v>
      </c>
      <c r="C26">
        <f>VLOOKUP('Model Outputs'!A26,'Expected Goals Against'!$N$7:$AA$37,14,FALSE)</f>
        <v>3.146246301512595</v>
      </c>
      <c r="D26">
        <f t="shared" si="0"/>
        <v>0.97239874071574617</v>
      </c>
      <c r="E26">
        <f t="shared" si="2"/>
        <v>1.1465904770265405</v>
      </c>
      <c r="F26">
        <f>VLOOKUP('Model Outputs'!A26,'Expected Goals For '!$M$48:$Y$78,13,FALSE)</f>
        <v>2.9892137064341768</v>
      </c>
      <c r="G26">
        <f>VLOOKUP(A26,'Expected Goals Against'!$N$48:$AA$78,14,FALSE)</f>
        <v>2.9574388334309178</v>
      </c>
      <c r="H26">
        <f t="shared" si="3"/>
        <v>1.0927060508964264</v>
      </c>
      <c r="I26">
        <f t="shared" si="1"/>
        <v>1.0304213437039347</v>
      </c>
      <c r="L26" t="s">
        <v>213</v>
      </c>
      <c r="M26" t="s">
        <v>48</v>
      </c>
      <c r="N26">
        <v>2.6945791630576634</v>
      </c>
      <c r="O26">
        <v>0.67145994329770331</v>
      </c>
      <c r="P26">
        <v>1.4892921163528481</v>
      </c>
      <c r="Q26">
        <v>2.5499999999999998</v>
      </c>
      <c r="R26">
        <v>0.3810679611650486</v>
      </c>
      <c r="S26">
        <v>5.5</v>
      </c>
      <c r="T26">
        <v>5</v>
      </c>
      <c r="U26">
        <v>0.5</v>
      </c>
      <c r="V26">
        <v>0.29039198213265471</v>
      </c>
      <c r="W26">
        <v>0.20914030553193791</v>
      </c>
      <c r="X26">
        <v>36.840730483652159</v>
      </c>
      <c r="Y26">
        <v>26.23881026042541</v>
      </c>
      <c r="Z26" t="s">
        <v>192</v>
      </c>
      <c r="AA26">
        <f t="shared" si="4"/>
        <v>0</v>
      </c>
      <c r="AF26" s="26"/>
      <c r="AG26" s="26"/>
      <c r="AH26">
        <v>3</v>
      </c>
      <c r="AI26" s="16">
        <f t="shared" si="5"/>
        <v>7.4777123925471485E-3</v>
      </c>
      <c r="AJ26" s="16">
        <f t="shared" si="5"/>
        <v>2.2684842022752328E-2</v>
      </c>
      <c r="AK26" s="16">
        <f t="shared" si="5"/>
        <v>3.4409056579263547E-2</v>
      </c>
      <c r="AL26" s="16">
        <f t="shared" si="5"/>
        <v>3.4795133933853396E-2</v>
      </c>
      <c r="AM26" s="16">
        <f t="shared" si="5"/>
        <v>2.6389157372402786E-2</v>
      </c>
      <c r="AN26" s="16">
        <f t="shared" si="5"/>
        <v>1.6011149792365668E-2</v>
      </c>
      <c r="AO26" s="16">
        <f t="shared" si="5"/>
        <v>8.0953992472448649E-3</v>
      </c>
      <c r="AP26" s="16">
        <f t="shared" si="5"/>
        <v>3.5083849061701613E-3</v>
      </c>
      <c r="AQ26" s="16">
        <f t="shared" si="5"/>
        <v>1.3304061652398105E-3</v>
      </c>
      <c r="AR26" s="16">
        <f t="shared" si="5"/>
        <v>4.4844454055584275E-4</v>
      </c>
      <c r="AS26" s="16">
        <f t="shared" si="5"/>
        <v>1.3604285675140575E-4</v>
      </c>
      <c r="BB26" t="s">
        <v>44</v>
      </c>
      <c r="BC26">
        <v>2.9882709679080337</v>
      </c>
      <c r="BD26">
        <v>0.67181305087820842</v>
      </c>
      <c r="BE26">
        <v>1.4885093385619386</v>
      </c>
      <c r="BF26">
        <v>1.63</v>
      </c>
      <c r="BG26">
        <v>0.59553349875930517</v>
      </c>
      <c r="BK26">
        <v>7.6279552118903249E-2</v>
      </c>
      <c r="BL26">
        <v>5.4936533436034114E-2</v>
      </c>
      <c r="BM26">
        <v>10.484053431354036</v>
      </c>
      <c r="BN26">
        <v>0.99656456034557417</v>
      </c>
      <c r="BO26" t="s">
        <v>193</v>
      </c>
      <c r="BR26" s="38" t="s">
        <v>53</v>
      </c>
      <c r="BS26" s="38">
        <v>4.1114165214561753</v>
      </c>
      <c r="BT26" s="38">
        <v>0.89719470187418326</v>
      </c>
      <c r="BU26" s="38">
        <v>1.1145852710800264</v>
      </c>
      <c r="BV26" s="38">
        <v>1.45</v>
      </c>
      <c r="BW26" s="38">
        <v>0.6588235294117647</v>
      </c>
      <c r="BX26" s="38">
        <v>5.5</v>
      </c>
      <c r="BY26" s="38">
        <v>5</v>
      </c>
      <c r="BZ26" s="38">
        <v>0.5</v>
      </c>
      <c r="CA26" s="38">
        <v>0.23837117246241857</v>
      </c>
      <c r="CB26" s="38">
        <v>0.17167491840743385</v>
      </c>
      <c r="CC26" s="38">
        <v>40.889479602191969</v>
      </c>
      <c r="CD26" s="38">
        <v>12.304965866952756</v>
      </c>
      <c r="CE26" s="38" t="s">
        <v>192</v>
      </c>
    </row>
    <row r="27" spans="1:83" ht="14.5" customHeight="1" x14ac:dyDescent="0.35">
      <c r="A27" t="str">
        <v>St Louis Blues</v>
      </c>
      <c r="B27">
        <f>VLOOKUP(A27,'Expected Goals For '!$A$7:$L$37,12,FALSE)</f>
        <v>1.925950563856839</v>
      </c>
      <c r="C27">
        <f>VLOOKUP('Model Outputs'!A27,'Expected Goals Against'!$N$7:$AA$37,14,FALSE)</f>
        <v>3.6728276322615163</v>
      </c>
      <c r="D27">
        <f t="shared" si="0"/>
        <v>0.84161354549498646</v>
      </c>
      <c r="E27">
        <f t="shared" si="2"/>
        <v>1.3384931703809688</v>
      </c>
      <c r="F27">
        <f>VLOOKUP('Model Outputs'!A27,'Expected Goals For '!$M$48:$Y$78,13,FALSE)</f>
        <v>2.9351185717260817</v>
      </c>
      <c r="G27">
        <f>VLOOKUP(A27,'Expected Goals Against'!$N$48:$AA$78,14,FALSE)</f>
        <v>3.3570871043721056</v>
      </c>
      <c r="H27">
        <f t="shared" si="3"/>
        <v>1.0729315928533762</v>
      </c>
      <c r="I27">
        <f t="shared" si="1"/>
        <v>1.169665511223855</v>
      </c>
      <c r="L27" t="s">
        <v>153</v>
      </c>
      <c r="M27" t="s">
        <v>55</v>
      </c>
      <c r="N27">
        <v>1.73600904547709</v>
      </c>
      <c r="O27">
        <v>0.32841983311684253</v>
      </c>
      <c r="P27">
        <v>3.0448831013327631</v>
      </c>
      <c r="Q27">
        <v>1.57</v>
      </c>
      <c r="R27">
        <v>0.6189320388349514</v>
      </c>
      <c r="V27">
        <v>-0.29051220571810887</v>
      </c>
      <c r="W27">
        <v>-0.209226890558182</v>
      </c>
      <c r="X27">
        <v>0</v>
      </c>
      <c r="Y27">
        <v>0</v>
      </c>
      <c r="Z27" t="s">
        <v>193</v>
      </c>
      <c r="AA27">
        <f t="shared" si="4"/>
        <v>0</v>
      </c>
      <c r="AF27" s="26"/>
      <c r="AG27" s="26"/>
      <c r="AH27">
        <v>4</v>
      </c>
      <c r="AI27" s="16">
        <f t="shared" si="5"/>
        <v>3.2734488520804036E-3</v>
      </c>
      <c r="AJ27" s="16">
        <f t="shared" si="5"/>
        <v>9.9305330535331485E-3</v>
      </c>
      <c r="AK27" s="16">
        <f t="shared" si="5"/>
        <v>1.506293380216411E-2</v>
      </c>
      <c r="AL27" s="16">
        <f t="shared" si="5"/>
        <v>1.5231943307591998E-2</v>
      </c>
      <c r="AM27" s="16">
        <f t="shared" si="5"/>
        <v>1.1552136853265095E-2</v>
      </c>
      <c r="AN27" s="16">
        <f t="shared" si="5"/>
        <v>7.0090526563370116E-3</v>
      </c>
      <c r="AO27" s="16">
        <f t="shared" si="5"/>
        <v>3.5438479018580654E-3</v>
      </c>
      <c r="AP27" s="16">
        <f t="shared" si="5"/>
        <v>1.5358331453353654E-3</v>
      </c>
      <c r="AQ27" s="16">
        <f t="shared" si="5"/>
        <v>5.8239957700773396E-4</v>
      </c>
      <c r="AR27" s="16">
        <f t="shared" si="5"/>
        <v>1.9631141042109713E-4</v>
      </c>
      <c r="AS27" s="16">
        <f t="shared" si="5"/>
        <v>5.9554220580946208E-5</v>
      </c>
      <c r="BB27" s="38" t="s">
        <v>66</v>
      </c>
      <c r="BC27" s="38">
        <v>4.5496644010503626</v>
      </c>
      <c r="BD27" s="38">
        <v>0.77128735744103583</v>
      </c>
      <c r="BE27" s="38">
        <v>1.2965336334797228</v>
      </c>
      <c r="BF27" s="38">
        <v>2.2999999999999998</v>
      </c>
      <c r="BG27" s="38">
        <v>0.420654911838791</v>
      </c>
      <c r="BH27" s="38">
        <v>5.5</v>
      </c>
      <c r="BI27" s="38">
        <v>5</v>
      </c>
      <c r="BJ27" s="38">
        <v>0.5</v>
      </c>
      <c r="BK27" s="38">
        <v>0.35063244560224482</v>
      </c>
      <c r="BL27" s="38">
        <v>0.25252548732273672</v>
      </c>
      <c r="BM27" s="38">
        <v>41.368449428835916</v>
      </c>
      <c r="BN27" s="38">
        <v>32.01756326638403</v>
      </c>
      <c r="BO27" s="38" t="s">
        <v>192</v>
      </c>
      <c r="BR27" s="38" t="s">
        <v>59</v>
      </c>
      <c r="BS27" s="38">
        <v>3.5099740370670167</v>
      </c>
      <c r="BT27" s="38">
        <v>0.67799620361745261</v>
      </c>
      <c r="BU27" s="38">
        <v>1.4749345124124504</v>
      </c>
      <c r="BV27" s="38">
        <v>2.6</v>
      </c>
      <c r="BW27" s="38">
        <v>0.375</v>
      </c>
      <c r="BX27" s="38">
        <v>5.5</v>
      </c>
      <c r="BY27" s="38">
        <v>5</v>
      </c>
      <c r="BZ27" s="38">
        <v>0.5</v>
      </c>
      <c r="CA27" s="38">
        <v>0.30299620361745261</v>
      </c>
      <c r="CB27" s="38">
        <v>0.21821786584528935</v>
      </c>
      <c r="CC27" s="38">
        <v>29.150120143992655</v>
      </c>
      <c r="CD27" s="38">
        <v>22.235423916818441</v>
      </c>
      <c r="CE27" s="38" t="s">
        <v>192</v>
      </c>
    </row>
    <row r="28" spans="1:83" ht="14.25" customHeight="1" x14ac:dyDescent="0.35">
      <c r="A28" t="str">
        <v>Tampa Bay Lightning</v>
      </c>
      <c r="B28">
        <f>VLOOKUP(A28,'Expected Goals For '!$A$7:$L$37,12,FALSE)</f>
        <v>3.014134063323842</v>
      </c>
      <c r="C28">
        <f>VLOOKUP('Model Outputs'!A28,'Expected Goals Against'!$N$7:$AA$37,14,FALSE)</f>
        <v>1.7924744405800268</v>
      </c>
      <c r="D28">
        <f t="shared" si="0"/>
        <v>1.3171345636988796</v>
      </c>
      <c r="E28">
        <f t="shared" si="2"/>
        <v>0.65323370357065058</v>
      </c>
      <c r="F28">
        <f>VLOOKUP('Model Outputs'!A28,'Expected Goals For '!$M$48:$Y$78,13,FALSE)</f>
        <v>2.9390074166586633</v>
      </c>
      <c r="G28">
        <f>VLOOKUP(A28,'Expected Goals Against'!$N$48:$AA$78,14,FALSE)</f>
        <v>2.5958193588574017</v>
      </c>
      <c r="H28">
        <f t="shared" si="3"/>
        <v>1.0743531587921658</v>
      </c>
      <c r="I28">
        <f t="shared" si="1"/>
        <v>0.90442704732578183</v>
      </c>
      <c r="L28" t="s">
        <v>213</v>
      </c>
      <c r="M28" t="s">
        <v>62</v>
      </c>
      <c r="N28">
        <v>1.4675065100467741</v>
      </c>
      <c r="O28">
        <v>0.19086668847253074</v>
      </c>
      <c r="P28">
        <v>5.2392589194207062</v>
      </c>
      <c r="Q28">
        <v>2</v>
      </c>
      <c r="R28">
        <v>0.47780678851174935</v>
      </c>
      <c r="S28">
        <v>5.5</v>
      </c>
      <c r="T28">
        <v>5</v>
      </c>
      <c r="U28">
        <v>0.5</v>
      </c>
      <c r="V28">
        <v>-0.2869401000392186</v>
      </c>
      <c r="W28">
        <v>-0.20665426004824522</v>
      </c>
      <c r="X28">
        <v>0</v>
      </c>
      <c r="Y28">
        <v>0</v>
      </c>
      <c r="Z28" t="s">
        <v>193</v>
      </c>
      <c r="AA28">
        <f t="shared" si="4"/>
        <v>0</v>
      </c>
      <c r="AF28" s="26"/>
      <c r="AG28" s="26"/>
      <c r="AH28">
        <v>5</v>
      </c>
      <c r="AI28" s="16">
        <f t="shared" si="5"/>
        <v>1.1463898930230431E-3</v>
      </c>
      <c r="AJ28" s="16">
        <f t="shared" si="5"/>
        <v>3.4777579364548557E-3</v>
      </c>
      <c r="AK28" s="16">
        <f t="shared" si="5"/>
        <v>5.2751687441523988E-3</v>
      </c>
      <c r="AL28" s="16">
        <f t="shared" si="5"/>
        <v>5.3343573240271745E-3</v>
      </c>
      <c r="AM28" s="16">
        <f t="shared" si="5"/>
        <v>4.0456575098112577E-3</v>
      </c>
      <c r="AN28" s="16">
        <f t="shared" si="5"/>
        <v>2.4546304182466272E-3</v>
      </c>
      <c r="AO28" s="16">
        <f t="shared" si="5"/>
        <v>1.2410859618347308E-3</v>
      </c>
      <c r="AP28" s="16">
        <f t="shared" si="5"/>
        <v>5.3786195378103543E-4</v>
      </c>
      <c r="AQ28" s="16">
        <f t="shared" si="5"/>
        <v>2.0396133220723449E-4</v>
      </c>
      <c r="AR28" s="16">
        <f t="shared" si="5"/>
        <v>6.874994141082015E-5</v>
      </c>
      <c r="AS28" s="16">
        <f t="shared" si="5"/>
        <v>2.085639936529691E-5</v>
      </c>
      <c r="BB28" t="s">
        <v>49</v>
      </c>
      <c r="BC28">
        <v>2.4967844273523427</v>
      </c>
      <c r="BD28">
        <v>0.22144984204078591</v>
      </c>
      <c r="BE28">
        <v>4.515695250827152</v>
      </c>
      <c r="BF28">
        <v>1.67</v>
      </c>
      <c r="BG28">
        <v>0.57934508816120911</v>
      </c>
      <c r="BK28">
        <v>-0.35789524612042323</v>
      </c>
      <c r="BL28">
        <v>-0.25775615625592879</v>
      </c>
      <c r="BM28">
        <v>0</v>
      </c>
      <c r="BN28">
        <v>0</v>
      </c>
      <c r="BO28" t="s">
        <v>193</v>
      </c>
      <c r="BR28" s="38" t="s">
        <v>66</v>
      </c>
      <c r="BS28" s="38">
        <v>3.2455657237843605</v>
      </c>
      <c r="BT28" s="38">
        <v>0.70441239603442751</v>
      </c>
      <c r="BU28" s="38">
        <v>1.4196229447829392</v>
      </c>
      <c r="BV28" s="38">
        <v>1.91</v>
      </c>
      <c r="BW28" s="38">
        <v>0.5</v>
      </c>
      <c r="BX28" s="38">
        <v>5.5</v>
      </c>
      <c r="BY28" s="38">
        <v>5</v>
      </c>
      <c r="BZ28" s="38">
        <v>0.5</v>
      </c>
      <c r="CA28" s="38">
        <v>0.20441239603442751</v>
      </c>
      <c r="CB28" s="38">
        <v>0.1472178076239947</v>
      </c>
      <c r="CC28" s="38">
        <v>23.209779047155756</v>
      </c>
      <c r="CD28" s="38">
        <v>8.0173000466142224</v>
      </c>
      <c r="CE28" s="38" t="s">
        <v>192</v>
      </c>
    </row>
    <row r="29" spans="1:83" ht="14.25" customHeight="1" x14ac:dyDescent="0.35">
      <c r="A29" t="str">
        <v>Toronto Maple Leafs</v>
      </c>
      <c r="B29">
        <f>VLOOKUP(A29,'Expected Goals For '!$A$7:$L$37,12,FALSE)</f>
        <v>2.4742042326007412</v>
      </c>
      <c r="C29">
        <f>VLOOKUP('Model Outputs'!A29,'Expected Goals Against'!$N$7:$AA$37,14,FALSE)</f>
        <v>2.9444707128751824</v>
      </c>
      <c r="D29">
        <f t="shared" si="0"/>
        <v>1.0811927551804994</v>
      </c>
      <c r="E29">
        <f t="shared" si="2"/>
        <v>1.0730571467475805</v>
      </c>
      <c r="F29">
        <f>VLOOKUP('Model Outputs'!A29,'Expected Goals For '!$M$48:$Y$78,13,FALSE)</f>
        <v>3.4545046419482834</v>
      </c>
      <c r="G29">
        <f>VLOOKUP(A29,'Expected Goals Against'!$N$48:$AA$78,14,FALSE)</f>
        <v>2.2536532774287492</v>
      </c>
      <c r="H29">
        <f t="shared" si="3"/>
        <v>1.2627929936831377</v>
      </c>
      <c r="I29">
        <f t="shared" si="1"/>
        <v>0.78521063973347327</v>
      </c>
      <c r="L29" t="s">
        <v>153</v>
      </c>
      <c r="M29" t="s">
        <v>52</v>
      </c>
      <c r="N29">
        <v>3.4157067829119265</v>
      </c>
      <c r="O29">
        <v>0.80829241656417961</v>
      </c>
      <c r="P29">
        <v>1.2371760262835505</v>
      </c>
      <c r="Q29">
        <v>1.83</v>
      </c>
      <c r="R29">
        <v>0.5221932114882506</v>
      </c>
      <c r="V29">
        <v>0.28609920507592901</v>
      </c>
      <c r="W29">
        <v>0.20604864749568405</v>
      </c>
      <c r="X29">
        <v>46.287123750096463</v>
      </c>
      <c r="Y29">
        <v>22.179638184443924</v>
      </c>
      <c r="Z29" t="s">
        <v>192</v>
      </c>
      <c r="AA29">
        <f t="shared" si="4"/>
        <v>0</v>
      </c>
      <c r="AF29" s="26"/>
      <c r="AG29" s="26"/>
      <c r="AH29">
        <v>6</v>
      </c>
      <c r="AI29" s="16">
        <f t="shared" si="5"/>
        <v>3.3456298596462266E-4</v>
      </c>
      <c r="AJ29" s="16">
        <f t="shared" si="5"/>
        <v>1.0149505737653195E-3</v>
      </c>
      <c r="AK29" s="16">
        <f t="shared" si="5"/>
        <v>1.5395078212499559E-3</v>
      </c>
      <c r="AL29" s="16">
        <f t="shared" si="5"/>
        <v>1.5567814452922017E-3</v>
      </c>
      <c r="AM29" s="16">
        <f t="shared" si="5"/>
        <v>1.180686662461222E-3</v>
      </c>
      <c r="AN29" s="16">
        <f t="shared" si="5"/>
        <v>7.1636053943444436E-4</v>
      </c>
      <c r="AO29" s="16">
        <f t="shared" si="5"/>
        <v>3.6219913291040946E-4</v>
      </c>
      <c r="AP29" s="16">
        <f t="shared" si="5"/>
        <v>1.5696989513683019E-4</v>
      </c>
      <c r="AQ29" s="16">
        <f t="shared" si="5"/>
        <v>5.9524174750555932E-5</v>
      </c>
      <c r="AR29" s="16">
        <f t="shared" si="5"/>
        <v>2.0064016460091485E-5</v>
      </c>
      <c r="AS29" s="16">
        <f t="shared" si="5"/>
        <v>6.0867417713566124E-6</v>
      </c>
      <c r="BB29" t="s">
        <v>50</v>
      </c>
      <c r="BC29">
        <v>2.0849581053416433</v>
      </c>
      <c r="BD29">
        <v>0.57490248539715494</v>
      </c>
      <c r="BE29">
        <v>1.7394254250078229</v>
      </c>
      <c r="BF29">
        <v>2.15</v>
      </c>
      <c r="BG29">
        <v>0.44730077120822626</v>
      </c>
      <c r="BH29">
        <v>5.5</v>
      </c>
      <c r="BI29">
        <v>5</v>
      </c>
      <c r="BJ29">
        <v>0.5</v>
      </c>
      <c r="BK29">
        <v>0.12760171418892868</v>
      </c>
      <c r="BL29">
        <v>9.1898754558866425E-2</v>
      </c>
      <c r="BM29">
        <v>14.262050166481099</v>
      </c>
      <c r="BN29">
        <v>3.3664192217920164</v>
      </c>
      <c r="BO29" t="s">
        <v>193</v>
      </c>
      <c r="BR29" s="38" t="s">
        <v>47</v>
      </c>
      <c r="BS29" s="38">
        <v>3.9181943237876471</v>
      </c>
      <c r="BT29" s="38">
        <v>0.68730104218823107</v>
      </c>
      <c r="BU29" s="38">
        <v>1.4549665119322344</v>
      </c>
      <c r="BV29" s="38">
        <v>2.0499999999999998</v>
      </c>
      <c r="BW29" s="38">
        <v>0.46753246753246758</v>
      </c>
      <c r="BX29" s="38">
        <v>5.5</v>
      </c>
      <c r="BY29" s="38">
        <v>5</v>
      </c>
      <c r="BZ29" s="38">
        <v>0.5</v>
      </c>
      <c r="CA29" s="38">
        <v>0.21976857465576349</v>
      </c>
      <c r="CB29" s="38">
        <v>0.15827732746708087</v>
      </c>
      <c r="CC29" s="38">
        <v>17.566573396187977</v>
      </c>
      <c r="CD29" s="38">
        <v>7.1841512197079256</v>
      </c>
      <c r="CE29" s="38" t="s">
        <v>192</v>
      </c>
    </row>
    <row r="30" spans="1:83" x14ac:dyDescent="0.35">
      <c r="A30" t="str">
        <v>Vancouver Canucks</v>
      </c>
      <c r="B30">
        <f>VLOOKUP(A30,'Expected Goals For '!$A$7:$L$37,12,FALSE)</f>
        <v>1.1967060679379296</v>
      </c>
      <c r="C30">
        <f>VLOOKUP('Model Outputs'!A30,'Expected Goals Against'!$N$7:$AA$37,14,FALSE)</f>
        <v>2.9284354814876852</v>
      </c>
      <c r="D30">
        <f t="shared" si="0"/>
        <v>0.52294386764304834</v>
      </c>
      <c r="E30">
        <f t="shared" si="2"/>
        <v>1.0672134073057631</v>
      </c>
      <c r="F30">
        <f>VLOOKUP('Model Outputs'!A30,'Expected Goals For '!$M$48:$Y$78,13,FALSE)</f>
        <v>2.7977399350581664</v>
      </c>
      <c r="G30">
        <f>VLOOKUP(A30,'Expected Goals Against'!$N$48:$AA$78,14,FALSE)</f>
        <v>3.1914838979562106</v>
      </c>
      <c r="H30">
        <f t="shared" si="3"/>
        <v>1.0227128790732887</v>
      </c>
      <c r="I30">
        <f t="shared" si="1"/>
        <v>1.1119665737013547</v>
      </c>
      <c r="L30" t="s">
        <v>213</v>
      </c>
      <c r="M30" t="s">
        <v>63</v>
      </c>
      <c r="N30">
        <v>2.4736406194031209</v>
      </c>
      <c r="O30">
        <v>0.6019954368637731</v>
      </c>
      <c r="P30">
        <v>1.6611421594982825</v>
      </c>
      <c r="Q30">
        <v>1.57</v>
      </c>
      <c r="R30">
        <v>0.6189320388349514</v>
      </c>
      <c r="S30">
        <v>5.5</v>
      </c>
      <c r="T30">
        <v>5</v>
      </c>
      <c r="U30">
        <v>0.5</v>
      </c>
      <c r="V30">
        <v>-1.69366019711783E-2</v>
      </c>
      <c r="W30">
        <v>-1.2197740739642611E-2</v>
      </c>
      <c r="X30">
        <v>0</v>
      </c>
      <c r="Y30">
        <v>0</v>
      </c>
      <c r="Z30" t="s">
        <v>193</v>
      </c>
      <c r="AA30">
        <f t="shared" si="4"/>
        <v>0</v>
      </c>
      <c r="AC30" s="17"/>
      <c r="AF30" s="26"/>
      <c r="AG30" s="26"/>
      <c r="AH30">
        <v>7</v>
      </c>
      <c r="AI30" s="16">
        <f t="shared" si="5"/>
        <v>8.3690592971494545E-5</v>
      </c>
      <c r="AJ30" s="16">
        <f t="shared" si="5"/>
        <v>2.5388886074851128E-4</v>
      </c>
      <c r="AK30" s="16">
        <f t="shared" si="5"/>
        <v>3.8510632631156178E-4</v>
      </c>
      <c r="AL30" s="16">
        <f t="shared" si="5"/>
        <v>3.8942730591632626E-4</v>
      </c>
      <c r="AM30" s="16">
        <f t="shared" si="5"/>
        <v>2.9534757591314395E-4</v>
      </c>
      <c r="AN30" s="16">
        <f t="shared" si="5"/>
        <v>1.7919686528918016E-4</v>
      </c>
      <c r="AO30" s="16">
        <f t="shared" si="5"/>
        <v>9.0603747212606039E-5</v>
      </c>
      <c r="AP30" s="16">
        <f t="shared" si="5"/>
        <v>3.9265860701230588E-5</v>
      </c>
      <c r="AQ30" s="16">
        <f t="shared" si="5"/>
        <v>1.4889912183948691E-5</v>
      </c>
      <c r="AR30" s="16">
        <f t="shared" si="5"/>
        <v>5.0189934493005806E-6</v>
      </c>
      <c r="AS30" s="16">
        <f t="shared" si="5"/>
        <v>1.5225923054233659E-6</v>
      </c>
      <c r="BB30" t="s">
        <v>42</v>
      </c>
      <c r="BC30">
        <v>1.7043152818909795</v>
      </c>
      <c r="BD30">
        <v>0.42508348675925162</v>
      </c>
      <c r="BE30">
        <v>2.3524790568172684</v>
      </c>
      <c r="BF30">
        <v>1.74</v>
      </c>
      <c r="BG30">
        <v>0.5526992287917738</v>
      </c>
      <c r="BK30">
        <v>-0.12761574203252218</v>
      </c>
      <c r="BL30">
        <v>-9.1908857411822475E-2</v>
      </c>
      <c r="BM30">
        <v>0</v>
      </c>
      <c r="BN30">
        <v>0</v>
      </c>
      <c r="BO30" t="s">
        <v>193</v>
      </c>
      <c r="BR30" s="38" t="s">
        <v>51</v>
      </c>
      <c r="BS30" s="38">
        <v>3.4416367867293927</v>
      </c>
      <c r="BT30" s="38">
        <v>0.57573841761861921</v>
      </c>
      <c r="BU30" s="38">
        <v>1.7368999000209506</v>
      </c>
      <c r="BV30" s="38">
        <v>2.65</v>
      </c>
      <c r="BW30" s="38">
        <v>0.36602870813397131</v>
      </c>
      <c r="BX30" s="38">
        <v>5.5</v>
      </c>
      <c r="BY30" s="38">
        <v>5</v>
      </c>
      <c r="BZ30" s="38">
        <v>0.5</v>
      </c>
      <c r="CA30" s="38">
        <v>0.2097097094846479</v>
      </c>
      <c r="CB30" s="38">
        <v>0.1510329327708434</v>
      </c>
      <c r="CC30" s="38">
        <v>14.369696612156263</v>
      </c>
      <c r="CD30" s="38">
        <v>7.5542473190713091</v>
      </c>
      <c r="CE30" s="38" t="s">
        <v>192</v>
      </c>
    </row>
    <row r="31" spans="1:83" x14ac:dyDescent="0.35">
      <c r="A31" t="str">
        <v>Vegas Golden Knights</v>
      </c>
      <c r="B31">
        <f>VLOOKUP(A31,'Expected Goals For '!$A$7:$L$37,12,FALSE)</f>
        <v>2.5284265707846081</v>
      </c>
      <c r="C31">
        <f>VLOOKUP('Model Outputs'!A31,'Expected Goals Against'!$N$7:$AA$37,14,FALSE)</f>
        <v>2.2408763181304403</v>
      </c>
      <c r="D31">
        <f t="shared" si="0"/>
        <v>1.1048871610185012</v>
      </c>
      <c r="E31">
        <f t="shared" si="2"/>
        <v>0.81664536095836027</v>
      </c>
      <c r="F31">
        <f>VLOOKUP('Model Outputs'!A31,'Expected Goals For '!$M$48:$Y$78,13,FALSE)</f>
        <v>3.3778508133712117</v>
      </c>
      <c r="G31">
        <f>VLOOKUP(A31,'Expected Goals Against'!$N$48:$AA$78,14,FALSE)</f>
        <v>2.3048943345875852</v>
      </c>
      <c r="H31">
        <f t="shared" si="3"/>
        <v>1.2347722127900709</v>
      </c>
      <c r="I31">
        <f t="shared" si="1"/>
        <v>0.80306388436310605</v>
      </c>
      <c r="L31" t="s">
        <v>153</v>
      </c>
      <c r="M31" t="s">
        <v>47</v>
      </c>
      <c r="N31">
        <v>1.916000190420676</v>
      </c>
      <c r="O31">
        <v>0.39794281181478053</v>
      </c>
      <c r="P31">
        <v>2.5129238933594369</v>
      </c>
      <c r="Q31">
        <v>2.5499999999999998</v>
      </c>
      <c r="R31">
        <v>0.3810679611650486</v>
      </c>
      <c r="V31">
        <v>1.6874850649731932E-2</v>
      </c>
      <c r="W31">
        <v>1.2153267437936936E-2</v>
      </c>
      <c r="X31">
        <v>0.76318023362496612</v>
      </c>
      <c r="Y31">
        <v>1.1260091004993145E-2</v>
      </c>
      <c r="Z31" t="s">
        <v>193</v>
      </c>
      <c r="AA31">
        <f t="shared" si="4"/>
        <v>0</v>
      </c>
      <c r="AF31" s="26"/>
      <c r="AG31" s="26"/>
      <c r="AH31">
        <v>8</v>
      </c>
      <c r="AI31" s="16">
        <f t="shared" si="5"/>
        <v>1.8318227628379548E-5</v>
      </c>
      <c r="AJ31" s="16">
        <f t="shared" si="5"/>
        <v>5.5571286788292584E-5</v>
      </c>
      <c r="AK31" s="16">
        <f t="shared" si="5"/>
        <v>8.4292213688902753E-5</v>
      </c>
      <c r="AL31" s="16">
        <f t="shared" si="5"/>
        <v>8.5237991286686305E-5</v>
      </c>
      <c r="AM31" s="16">
        <f t="shared" si="5"/>
        <v>6.464578554139097E-5</v>
      </c>
      <c r="AN31" s="16">
        <f t="shared" si="5"/>
        <v>3.9222675477724574E-5</v>
      </c>
      <c r="AO31" s="16">
        <f t="shared" si="5"/>
        <v>1.9831381359551113E-5</v>
      </c>
      <c r="AP31" s="16">
        <f t="shared" si="5"/>
        <v>8.5945259653540247E-6</v>
      </c>
      <c r="AQ31" s="16">
        <f t="shared" si="5"/>
        <v>3.2591094299577559E-6</v>
      </c>
      <c r="AR31" s="16">
        <f t="shared" si="5"/>
        <v>1.0985591236155871E-6</v>
      </c>
      <c r="AS31" s="16">
        <f t="shared" si="5"/>
        <v>3.3326556122579152E-7</v>
      </c>
      <c r="BB31" s="38" t="s">
        <v>54</v>
      </c>
      <c r="BC31" s="38">
        <v>2.7210412986837005</v>
      </c>
      <c r="BD31" s="38">
        <v>0.54091241457249561</v>
      </c>
      <c r="BE31" s="38">
        <v>1.8487281361259555</v>
      </c>
      <c r="BF31" s="38">
        <v>2.8</v>
      </c>
      <c r="BG31" s="38">
        <v>0.34117647058823525</v>
      </c>
      <c r="BH31" s="38">
        <v>5.5</v>
      </c>
      <c r="BI31" s="38">
        <v>5</v>
      </c>
      <c r="BJ31" s="38">
        <v>0.5</v>
      </c>
      <c r="BK31" s="38">
        <v>0.19973594398426037</v>
      </c>
      <c r="BL31" s="38">
        <v>0.14384982685746431</v>
      </c>
      <c r="BM31" s="38">
        <v>17.726926064423729</v>
      </c>
      <c r="BN31" s="38">
        <v>9.1214742008518002</v>
      </c>
      <c r="BO31" s="38" t="s">
        <v>192</v>
      </c>
      <c r="BR31" s="38" t="s">
        <v>38</v>
      </c>
      <c r="BS31" s="38">
        <v>1.7103744136488348</v>
      </c>
      <c r="BT31" s="38">
        <v>0.57558451110647846</v>
      </c>
      <c r="BU31" s="38">
        <v>1.7373643326114592</v>
      </c>
      <c r="BV31" s="38">
        <v>2.4</v>
      </c>
      <c r="BW31" s="38">
        <v>0.40446650124069478</v>
      </c>
      <c r="BX31" s="38">
        <v>5.5</v>
      </c>
      <c r="BY31" s="38">
        <v>5</v>
      </c>
      <c r="BZ31" s="38">
        <v>0.5</v>
      </c>
      <c r="CA31" s="38">
        <v>0.17111800986578368</v>
      </c>
      <c r="CB31" s="38">
        <v>0.1232391907053374</v>
      </c>
      <c r="CC31" s="38">
        <v>12.286942183537175</v>
      </c>
      <c r="CD31" s="38">
        <v>4.6862744797543732</v>
      </c>
      <c r="CE31" s="38" t="s">
        <v>192</v>
      </c>
    </row>
    <row r="32" spans="1:83" ht="14.5" customHeight="1" x14ac:dyDescent="0.35">
      <c r="A32" t="str">
        <v>Winnipeg Jets</v>
      </c>
      <c r="B32">
        <f>VLOOKUP(A32,'Expected Goals For '!$A$7:$L$37,12,FALSE)</f>
        <v>2.5443544172071819</v>
      </c>
      <c r="C32">
        <f>VLOOKUP('Model Outputs'!A32,'Expected Goals Against'!$N$7:$AA$37,14,FALSE)</f>
        <v>2.3176420058510145</v>
      </c>
      <c r="D32">
        <f t="shared" si="0"/>
        <v>1.1118474078448566</v>
      </c>
      <c r="E32">
        <f t="shared" si="2"/>
        <v>0.84462117660270053</v>
      </c>
      <c r="F32">
        <f>VLOOKUP('Model Outputs'!A32,'Expected Goals For '!$M$48:$Y$78,13,FALSE)</f>
        <v>3.2640232658101556</v>
      </c>
      <c r="G32">
        <f>VLOOKUP(A32,'Expected Goals Against'!$N$48:$AA$78,14,FALSE)</f>
        <v>2.7616471777954805</v>
      </c>
      <c r="H32">
        <f t="shared" si="3"/>
        <v>1.1931625916007451</v>
      </c>
      <c r="I32">
        <f t="shared" si="1"/>
        <v>0.96220424362215939</v>
      </c>
      <c r="L32" t="s">
        <v>213</v>
      </c>
      <c r="M32" t="s">
        <v>68</v>
      </c>
      <c r="N32">
        <v>2.6689074504945296</v>
      </c>
      <c r="O32">
        <v>0.53731911748331251</v>
      </c>
      <c r="P32">
        <v>1.8610914212094025</v>
      </c>
      <c r="Q32">
        <v>2.6</v>
      </c>
      <c r="R32">
        <v>0.375</v>
      </c>
      <c r="S32">
        <v>5.5</v>
      </c>
      <c r="T32">
        <v>5</v>
      </c>
      <c r="U32">
        <v>0.5</v>
      </c>
      <c r="V32">
        <v>0.16231911748331251</v>
      </c>
      <c r="W32">
        <v>0.11690222841148167</v>
      </c>
      <c r="X32">
        <v>19.895142023970934</v>
      </c>
      <c r="Y32">
        <v>7.8989623777946552</v>
      </c>
      <c r="Z32" t="s">
        <v>192</v>
      </c>
      <c r="AA32">
        <f t="shared" si="4"/>
        <v>0</v>
      </c>
      <c r="AF32" s="26"/>
      <c r="AG32" s="26"/>
      <c r="AH32">
        <v>9</v>
      </c>
      <c r="AI32" s="16">
        <f t="shared" si="5"/>
        <v>3.5640003284683118E-6</v>
      </c>
      <c r="AJ32" s="16">
        <f t="shared" si="5"/>
        <v>1.0811967641456903E-5</v>
      </c>
      <c r="AK32" s="16">
        <f t="shared" si="5"/>
        <v>1.6399920525561555E-5</v>
      </c>
      <c r="AL32" s="16">
        <f t="shared" si="5"/>
        <v>1.6583931322759882E-5</v>
      </c>
      <c r="AM32" s="16">
        <f t="shared" si="5"/>
        <v>1.257750507186981E-5</v>
      </c>
      <c r="AN32" s="16">
        <f t="shared" si="5"/>
        <v>7.6311765047316613E-6</v>
      </c>
      <c r="AO32" s="16">
        <f t="shared" si="5"/>
        <v>3.8584000108133211E-6</v>
      </c>
      <c r="AP32" s="16">
        <f t="shared" si="5"/>
        <v>1.6721537686373221E-6</v>
      </c>
      <c r="AQ32" s="16">
        <f t="shared" si="5"/>
        <v>6.340933912671949E-7</v>
      </c>
      <c r="AR32" s="16">
        <f t="shared" si="5"/>
        <v>2.1373602058214856E-7</v>
      </c>
      <c r="AS32" s="16">
        <f t="shared" si="5"/>
        <v>6.484025604288048E-8</v>
      </c>
      <c r="BB32" t="s">
        <v>40</v>
      </c>
      <c r="BC32">
        <v>2.4800368059466216</v>
      </c>
      <c r="BD32">
        <v>0.4589018377250827</v>
      </c>
      <c r="BE32">
        <v>2.1791152656030035</v>
      </c>
      <c r="BF32">
        <v>1.45</v>
      </c>
      <c r="BG32">
        <v>0.6588235294117647</v>
      </c>
      <c r="BK32">
        <v>-0.199921691686682</v>
      </c>
      <c r="BL32">
        <v>-0.14398360235274837</v>
      </c>
      <c r="BM32">
        <v>0</v>
      </c>
      <c r="BN32">
        <v>0</v>
      </c>
      <c r="BO32" t="s">
        <v>193</v>
      </c>
      <c r="BR32" s="38" t="s">
        <v>53</v>
      </c>
      <c r="BS32" s="38">
        <v>3.6579827811483194</v>
      </c>
      <c r="BT32" s="38">
        <v>0.84015751618584023</v>
      </c>
      <c r="BU32" s="38">
        <v>1.1902529951047931</v>
      </c>
      <c r="BV32" s="38">
        <v>1.48</v>
      </c>
      <c r="BW32" s="38">
        <v>0.65011820330969272</v>
      </c>
      <c r="BX32" s="38">
        <v>5.5</v>
      </c>
      <c r="BY32" s="38">
        <v>5</v>
      </c>
      <c r="BZ32" s="38">
        <v>0.5</v>
      </c>
      <c r="CA32" s="38">
        <v>0.1900393128761475</v>
      </c>
      <c r="CB32" s="38">
        <v>0.13686631313340142</v>
      </c>
      <c r="CC32" s="38">
        <v>22.312471558909408</v>
      </c>
      <c r="CD32" s="38">
        <v>5.4315946547433764</v>
      </c>
      <c r="CE32" s="38" t="s">
        <v>192</v>
      </c>
    </row>
    <row r="33" spans="1:83" ht="14.5" customHeight="1" x14ac:dyDescent="0.35">
      <c r="A33" t="str">
        <v>Washington Capitals</v>
      </c>
      <c r="B33">
        <f>VLOOKUP(A33,'Expected Goals For '!$A$7:$L$37,12,FALSE)</f>
        <v>2.0145619206807712</v>
      </c>
      <c r="C33">
        <f>VLOOKUP('Model Outputs'!A33,'Expected Goals Against'!$N$7:$AA$37,14,FALSE)</f>
        <v>2.8005973448725641</v>
      </c>
      <c r="D33">
        <f t="shared" si="0"/>
        <v>0.88033547303936055</v>
      </c>
      <c r="E33">
        <f t="shared" si="2"/>
        <v>1.0206251951962257</v>
      </c>
      <c r="F33">
        <f>VLOOKUP('Model Outputs'!A33,'Expected Goals For '!$M$48:$Y$78,13,FALSE)</f>
        <v>3.6611685651623906</v>
      </c>
      <c r="G33">
        <f>VLOOKUP(A33,'Expected Goals Against'!$N$48:$AA$78,14,FALSE)</f>
        <v>2.5302685731476635</v>
      </c>
      <c r="H33">
        <f t="shared" si="3"/>
        <v>1.3383389203299925</v>
      </c>
      <c r="I33">
        <f t="shared" si="1"/>
        <v>0.88158805301477583</v>
      </c>
      <c r="L33" t="s">
        <v>153</v>
      </c>
      <c r="M33" t="s">
        <v>46</v>
      </c>
      <c r="N33">
        <v>2.4508083849701561</v>
      </c>
      <c r="O33">
        <v>0.46252043701386025</v>
      </c>
      <c r="P33">
        <v>2.1620666244636304</v>
      </c>
      <c r="Q33">
        <v>1.56</v>
      </c>
      <c r="R33">
        <v>0.625</v>
      </c>
      <c r="V33">
        <v>-0.16247956298613975</v>
      </c>
      <c r="W33">
        <v>-0.11701778126261783</v>
      </c>
      <c r="X33">
        <v>0</v>
      </c>
      <c r="Y33">
        <v>0</v>
      </c>
      <c r="Z33" t="s">
        <v>193</v>
      </c>
      <c r="AA33">
        <f t="shared" si="4"/>
        <v>0</v>
      </c>
      <c r="AF33" s="26"/>
      <c r="AG33" s="26"/>
      <c r="AH33">
        <v>10</v>
      </c>
      <c r="AI33" s="16">
        <f t="shared" si="5"/>
        <v>6.2407175732870016E-7</v>
      </c>
      <c r="AJ33" s="16">
        <f t="shared" si="5"/>
        <v>1.8932219484628604E-6</v>
      </c>
      <c r="AK33" s="16">
        <f t="shared" si="5"/>
        <v>2.8716964868622119E-6</v>
      </c>
      <c r="AL33" s="16">
        <f t="shared" si="5"/>
        <v>2.9039175673872992E-6</v>
      </c>
      <c r="AM33" s="16">
        <f t="shared" si="5"/>
        <v>2.202375131762624E-6</v>
      </c>
      <c r="AN33" s="16">
        <f t="shared" si="5"/>
        <v>1.3362517656781747E-6</v>
      </c>
      <c r="AO33" s="16">
        <f t="shared" si="5"/>
        <v>6.7562240552884237E-7</v>
      </c>
      <c r="AP33" s="16">
        <f t="shared" si="5"/>
        <v>2.928013032383144E-7</v>
      </c>
      <c r="AQ33" s="16">
        <f t="shared" si="5"/>
        <v>1.1103247489561837E-7</v>
      </c>
      <c r="AR33" s="16">
        <f t="shared" si="5"/>
        <v>3.742609474631272E-8</v>
      </c>
      <c r="AS33" s="16">
        <f t="shared" si="5"/>
        <v>1.1353807184331487E-8</v>
      </c>
      <c r="BB33" t="s">
        <v>55</v>
      </c>
      <c r="BC33">
        <v>2.8200341939485436</v>
      </c>
      <c r="BD33">
        <v>0.38467340514115939</v>
      </c>
      <c r="BE33">
        <v>2.5996078404043579</v>
      </c>
      <c r="BF33">
        <v>2.0499999999999998</v>
      </c>
      <c r="BG33">
        <v>0.46753246753246758</v>
      </c>
      <c r="BH33">
        <v>5.5</v>
      </c>
      <c r="BI33">
        <v>5</v>
      </c>
      <c r="BJ33">
        <v>0.5</v>
      </c>
      <c r="BK33">
        <v>-8.2859062391308191E-2</v>
      </c>
      <c r="BL33">
        <v>-5.9675096734220154E-2</v>
      </c>
      <c r="BM33">
        <v>0</v>
      </c>
      <c r="BN33">
        <v>0</v>
      </c>
      <c r="BO33" t="s">
        <v>193</v>
      </c>
      <c r="BR33" s="38" t="s">
        <v>41</v>
      </c>
      <c r="BS33" s="38">
        <v>1.7612099447481657</v>
      </c>
      <c r="BT33" s="38">
        <v>0.59104845303920295</v>
      </c>
      <c r="BU33" s="38">
        <v>1.6919086664687915</v>
      </c>
      <c r="BV33" s="38">
        <v>2.25</v>
      </c>
      <c r="BW33" s="38">
        <v>0.42893401015228422</v>
      </c>
      <c r="BX33" s="38">
        <v>5.5</v>
      </c>
      <c r="BY33" s="38">
        <v>5</v>
      </c>
      <c r="BZ33" s="38">
        <v>0.5</v>
      </c>
      <c r="CA33" s="38">
        <v>0.16211444288691873</v>
      </c>
      <c r="CB33" s="38">
        <v>0.11675482176715886</v>
      </c>
      <c r="CC33" s="38">
        <v>11.609876376956805</v>
      </c>
      <c r="CD33" s="38">
        <v>3.8296224363407827</v>
      </c>
      <c r="CE33" s="38" t="s">
        <v>192</v>
      </c>
    </row>
    <row r="34" spans="1:83" x14ac:dyDescent="0.35">
      <c r="B34">
        <f t="shared" ref="B34:I34" si="6">AVERAGE(B3:B33)</f>
        <v>2.2884025265112751</v>
      </c>
      <c r="C34">
        <f t="shared" si="6"/>
        <v>2.7440017726920019</v>
      </c>
      <c r="D34">
        <f t="shared" si="6"/>
        <v>0.99999999999999956</v>
      </c>
      <c r="E34">
        <f t="shared" si="6"/>
        <v>0.99999999999999978</v>
      </c>
      <c r="F34">
        <f t="shared" si="6"/>
        <v>2.7356064368655297</v>
      </c>
      <c r="G34">
        <f t="shared" si="6"/>
        <v>2.8701257514718783</v>
      </c>
      <c r="H34">
        <f t="shared" si="6"/>
        <v>1.0000000000000002</v>
      </c>
      <c r="I34">
        <f t="shared" si="6"/>
        <v>1.0000000000000004</v>
      </c>
      <c r="L34" t="s">
        <v>213</v>
      </c>
      <c r="AA34">
        <f t="shared" si="4"/>
        <v>0</v>
      </c>
      <c r="BB34" t="s">
        <v>43</v>
      </c>
      <c r="BC34">
        <v>3.5744010465329494</v>
      </c>
      <c r="BD34">
        <v>0.6139504617131113</v>
      </c>
      <c r="BE34">
        <v>1.6287959084022696</v>
      </c>
      <c r="BF34">
        <v>1.8</v>
      </c>
      <c r="BG34">
        <v>0.53246753246753253</v>
      </c>
      <c r="BK34">
        <v>8.1482929245578761E-2</v>
      </c>
      <c r="BL34">
        <v>5.8684005642665821E-2</v>
      </c>
      <c r="BM34">
        <v>8.1476397937375147</v>
      </c>
      <c r="BN34">
        <v>0.85640519008956462</v>
      </c>
      <c r="BO34" t="s">
        <v>193</v>
      </c>
      <c r="BR34" s="38" t="s">
        <v>47</v>
      </c>
      <c r="BS34" s="38">
        <v>2.6842380528013043</v>
      </c>
      <c r="BT34" s="38">
        <v>0.57504806271329034</v>
      </c>
      <c r="BU34" s="38">
        <v>1.7389850776674711</v>
      </c>
      <c r="BV34" s="38">
        <v>2.2000000000000002</v>
      </c>
      <c r="BW34" s="38">
        <v>0.4373401534526854</v>
      </c>
      <c r="BX34" s="38">
        <v>5.5</v>
      </c>
      <c r="BY34" s="38">
        <v>5</v>
      </c>
      <c r="BZ34" s="38">
        <v>0.5</v>
      </c>
      <c r="CA34" s="55">
        <v>0.13770790926060494</v>
      </c>
      <c r="CB34" s="55">
        <v>9.9177236249487669E-2</v>
      </c>
      <c r="CC34" s="38">
        <v>9.4038307372448351</v>
      </c>
      <c r="CD34" s="38">
        <v>2.4930094873351041</v>
      </c>
      <c r="CE34" s="38" t="s">
        <v>192</v>
      </c>
    </row>
    <row r="35" spans="1:83" x14ac:dyDescent="0.35">
      <c r="L35" t="s">
        <v>153</v>
      </c>
      <c r="AA35">
        <f t="shared" si="4"/>
        <v>0</v>
      </c>
      <c r="AI35" t="s">
        <v>69</v>
      </c>
      <c r="AJ35" t="s">
        <v>212</v>
      </c>
      <c r="BB35" t="s">
        <v>57</v>
      </c>
      <c r="BC35">
        <v>2.6198501313072349</v>
      </c>
      <c r="BD35">
        <v>0.5386504376739718</v>
      </c>
      <c r="BE35">
        <v>1.8564915760920047</v>
      </c>
      <c r="BF35">
        <v>1.95</v>
      </c>
      <c r="BG35">
        <v>0.48952879581151842</v>
      </c>
      <c r="BH35">
        <v>5.5</v>
      </c>
      <c r="BI35">
        <v>5</v>
      </c>
      <c r="BJ35">
        <v>0.5</v>
      </c>
      <c r="BK35">
        <v>4.912164186245338E-2</v>
      </c>
      <c r="BL35">
        <v>3.5377406469338922E-2</v>
      </c>
      <c r="BM35">
        <v>3.287823433004279</v>
      </c>
      <c r="BN35">
        <v>0.1656022528015868</v>
      </c>
      <c r="BO35" t="s">
        <v>193</v>
      </c>
      <c r="BR35" s="38" t="s">
        <v>63</v>
      </c>
      <c r="BS35" s="38">
        <v>3.6773253412247042</v>
      </c>
      <c r="BT35" s="38">
        <v>0.68767262135497664</v>
      </c>
      <c r="BU35" s="38">
        <v>1.4541803307940624</v>
      </c>
      <c r="BV35" s="38">
        <v>1.65</v>
      </c>
      <c r="BW35" s="38">
        <v>0.58750000000000002</v>
      </c>
      <c r="BX35" s="38"/>
      <c r="BY35" s="38"/>
      <c r="BZ35" s="38"/>
      <c r="CA35" s="55">
        <v>0.10017262135497662</v>
      </c>
      <c r="CB35" s="55">
        <v>7.2144321899854161E-2</v>
      </c>
      <c r="CC35" s="38">
        <v>8.8184368998667484</v>
      </c>
      <c r="CD35" s="38">
        <v>1.1874891717882052</v>
      </c>
      <c r="CE35" s="38" t="s">
        <v>192</v>
      </c>
    </row>
    <row r="36" spans="1:83" x14ac:dyDescent="0.35">
      <c r="L36" t="s">
        <v>213</v>
      </c>
      <c r="AA36">
        <f t="shared" si="4"/>
        <v>0</v>
      </c>
      <c r="AI36">
        <v>0</v>
      </c>
      <c r="AJ36" s="17">
        <f>AI23</f>
        <v>8.3566002473994348E-3</v>
      </c>
      <c r="AK36" s="17"/>
      <c r="BB36" t="s">
        <v>59</v>
      </c>
      <c r="BC36">
        <v>2.3962373791168354</v>
      </c>
      <c r="BD36">
        <v>0.46121450858971808</v>
      </c>
      <c r="BE36">
        <v>2.1681885139688193</v>
      </c>
      <c r="BF36">
        <v>1.87</v>
      </c>
      <c r="BG36">
        <v>0.51047120418848169</v>
      </c>
      <c r="BK36">
        <v>-4.9256695598763611E-2</v>
      </c>
      <c r="BL36">
        <v>-3.5474672170229551E-2</v>
      </c>
      <c r="BM36">
        <v>0</v>
      </c>
      <c r="BN36">
        <v>0</v>
      </c>
      <c r="BO36" t="s">
        <v>193</v>
      </c>
      <c r="BR36" s="38" t="s">
        <v>59</v>
      </c>
      <c r="BS36" s="38">
        <v>2.8934637889757253</v>
      </c>
      <c r="BT36" s="38">
        <v>0.59659580902998521</v>
      </c>
      <c r="BU36" s="38">
        <v>1.6761767093636077</v>
      </c>
      <c r="BV36" s="38">
        <v>1.8</v>
      </c>
      <c r="BW36" s="38">
        <v>0.53246753246753253</v>
      </c>
      <c r="BX36" s="38"/>
      <c r="BY36" s="38"/>
      <c r="BZ36" s="38"/>
      <c r="CA36" s="55">
        <v>6.412827656245268E-2</v>
      </c>
      <c r="CB36" s="55">
        <v>4.6185184780278415E-2</v>
      </c>
      <c r="CC36" s="38">
        <v>3.9306056523614177</v>
      </c>
      <c r="CD36" s="38">
        <v>0.2903634941056894</v>
      </c>
      <c r="CE36" s="38" t="s">
        <v>192</v>
      </c>
    </row>
    <row r="37" spans="1:83" x14ac:dyDescent="0.35">
      <c r="L37" t="s">
        <v>153</v>
      </c>
      <c r="AA37">
        <f t="shared" si="4"/>
        <v>0</v>
      </c>
      <c r="AI37">
        <v>1</v>
      </c>
      <c r="AJ37" s="17">
        <f>SUM(AJ23+AI24)</f>
        <v>3.9983855317318823E-2</v>
      </c>
      <c r="BB37" t="s">
        <v>56</v>
      </c>
      <c r="BC37">
        <v>2.6143728719057497</v>
      </c>
      <c r="BD37">
        <v>0.58605468020399631</v>
      </c>
      <c r="BE37">
        <v>1.7063254228290028</v>
      </c>
      <c r="BF37">
        <v>1.95</v>
      </c>
      <c r="BG37">
        <v>0.48952879581151842</v>
      </c>
      <c r="BH37">
        <v>5.5</v>
      </c>
      <c r="BI37">
        <v>5</v>
      </c>
      <c r="BJ37">
        <v>0.5</v>
      </c>
      <c r="BK37">
        <v>9.652588439247789E-2</v>
      </c>
      <c r="BL37">
        <v>6.9517941939462577E-2</v>
      </c>
      <c r="BM37">
        <v>9.3217852156364671</v>
      </c>
      <c r="BN37">
        <v>1.3312126986498645</v>
      </c>
      <c r="BO37" t="s">
        <v>193</v>
      </c>
      <c r="BR37" s="38" t="s">
        <v>38</v>
      </c>
      <c r="BS37" s="38">
        <v>1.6608499578387312</v>
      </c>
      <c r="BT37" s="38">
        <v>0.54416690784523358</v>
      </c>
      <c r="BU37" s="38">
        <v>1.8376714673072509</v>
      </c>
      <c r="BV37" s="38">
        <v>2.35</v>
      </c>
      <c r="BW37" s="38">
        <v>0.41249999999999998</v>
      </c>
      <c r="BX37" s="38">
        <v>5.5</v>
      </c>
      <c r="BY37" s="38">
        <v>5</v>
      </c>
      <c r="BZ37" s="38">
        <v>0.5</v>
      </c>
      <c r="CA37" s="55">
        <v>0.13166690784523361</v>
      </c>
      <c r="CB37" s="55">
        <v>9.482650703013723E-2</v>
      </c>
      <c r="CC37" s="38">
        <v>8.7905049817354595</v>
      </c>
      <c r="CD37" s="38">
        <v>2.4507245168909417</v>
      </c>
      <c r="CE37" s="38" t="s">
        <v>192</v>
      </c>
    </row>
    <row r="38" spans="1:83" x14ac:dyDescent="0.35">
      <c r="AA38">
        <f t="shared" si="4"/>
        <v>0</v>
      </c>
      <c r="AI38">
        <v>2</v>
      </c>
      <c r="AJ38" s="17">
        <f>SUM(AI25+AK23+AJ24)</f>
        <v>9.5655448310681207E-2</v>
      </c>
      <c r="BB38" t="s">
        <v>60</v>
      </c>
      <c r="BC38">
        <v>2.1275744039584734</v>
      </c>
      <c r="BD38">
        <v>0.41383975028497727</v>
      </c>
      <c r="BE38">
        <v>2.416394266890463</v>
      </c>
      <c r="BF38">
        <v>1.87</v>
      </c>
      <c r="BG38">
        <v>0.51047120418848169</v>
      </c>
      <c r="BK38">
        <v>-9.6631453903504416E-2</v>
      </c>
      <c r="BL38">
        <v>-6.9593973101303871E-2</v>
      </c>
      <c r="BM38">
        <v>0</v>
      </c>
      <c r="BN38">
        <v>0</v>
      </c>
      <c r="BO38" t="s">
        <v>193</v>
      </c>
      <c r="BR38" s="38" t="s">
        <v>52</v>
      </c>
      <c r="BS38" s="38">
        <v>3.4210783161925704</v>
      </c>
      <c r="BT38" s="38">
        <v>0.69650983992539484</v>
      </c>
      <c r="BU38" s="38">
        <v>1.4357298959439149</v>
      </c>
      <c r="BV38" s="38">
        <v>2.5499999999999998</v>
      </c>
      <c r="BW38" s="38">
        <v>0.3810679611650486</v>
      </c>
      <c r="BX38" s="38">
        <v>5.5</v>
      </c>
      <c r="BY38" s="38">
        <v>5</v>
      </c>
      <c r="BZ38" s="38">
        <v>0.5</v>
      </c>
      <c r="CA38" s="55">
        <v>0.31544187876034624</v>
      </c>
      <c r="CB38" s="55">
        <v>0.22718124108320134</v>
      </c>
      <c r="CC38" s="38">
        <v>21.313410934200533</v>
      </c>
      <c r="CD38" s="38">
        <v>16.541340182812107</v>
      </c>
      <c r="CE38" s="38" t="s">
        <v>192</v>
      </c>
    </row>
    <row r="39" spans="1:83" x14ac:dyDescent="0.35">
      <c r="AA39">
        <f t="shared" si="4"/>
        <v>0</v>
      </c>
      <c r="AI39">
        <v>3</v>
      </c>
      <c r="AJ39" s="17">
        <f>SUM(AI26+AJ25+AK24+AL23)</f>
        <v>0.1525609894110459</v>
      </c>
      <c r="BB39" t="s">
        <v>58</v>
      </c>
      <c r="BC39">
        <v>1.8343829509178866</v>
      </c>
      <c r="BD39">
        <v>0.18852709909972731</v>
      </c>
      <c r="BE39">
        <v>5.3042772353433323</v>
      </c>
      <c r="BF39">
        <v>3.55</v>
      </c>
      <c r="BG39">
        <v>0.27104722792607805</v>
      </c>
      <c r="BH39">
        <v>5.5</v>
      </c>
      <c r="BI39">
        <v>5</v>
      </c>
      <c r="BJ39">
        <v>0.5</v>
      </c>
      <c r="BK39">
        <v>-8.2520128826350736E-2</v>
      </c>
      <c r="BL39">
        <v>-5.9430996780737794E-2</v>
      </c>
      <c r="BM39">
        <v>0</v>
      </c>
      <c r="BN39">
        <v>0</v>
      </c>
      <c r="BO39" t="s">
        <v>193</v>
      </c>
      <c r="BR39" s="38" t="s">
        <v>51</v>
      </c>
      <c r="BS39" s="38">
        <v>3.320707343163563</v>
      </c>
      <c r="BT39" s="38">
        <v>0.68575316475941184</v>
      </c>
      <c r="BU39" s="38">
        <v>1.4582506525519832</v>
      </c>
      <c r="BV39" s="38">
        <v>2.35</v>
      </c>
      <c r="BW39" s="38">
        <v>0.40806045340050379</v>
      </c>
      <c r="BX39" s="38">
        <v>5.5</v>
      </c>
      <c r="BY39" s="38">
        <v>5</v>
      </c>
      <c r="BZ39" s="38">
        <v>0.5</v>
      </c>
      <c r="CA39" s="55">
        <v>0.27769271135890805</v>
      </c>
      <c r="CB39" s="55">
        <v>0.19999429072068556</v>
      </c>
      <c r="CC39" s="38">
        <v>19.281631299389122</v>
      </c>
      <c r="CD39" s="38">
        <v>11.7911019610194</v>
      </c>
      <c r="CE39" s="38" t="s">
        <v>192</v>
      </c>
    </row>
    <row r="40" spans="1:83" x14ac:dyDescent="0.35">
      <c r="AA40">
        <f t="shared" si="4"/>
        <v>0</v>
      </c>
      <c r="AI40">
        <v>4</v>
      </c>
      <c r="AJ40" s="17">
        <f>SUM(AI27+AJ26+AK25+AL24+AM23)</f>
        <v>0.18248977894977611</v>
      </c>
      <c r="BB40" t="s">
        <v>64</v>
      </c>
      <c r="BC40">
        <v>3.9764448351554784</v>
      </c>
      <c r="BD40">
        <v>0.80875189739591602</v>
      </c>
      <c r="BE40">
        <v>1.2364731424060702</v>
      </c>
      <c r="BF40">
        <v>1.32</v>
      </c>
      <c r="BG40">
        <v>0.72895277207392195</v>
      </c>
      <c r="BK40">
        <v>7.9799125321994069E-2</v>
      </c>
      <c r="BL40">
        <v>5.7471330056900125E-2</v>
      </c>
      <c r="BM40">
        <v>13.090788757611298</v>
      </c>
      <c r="BN40">
        <v>0.88431556727669003</v>
      </c>
      <c r="BO40" t="s">
        <v>193</v>
      </c>
      <c r="BR40" s="38" t="s">
        <v>45</v>
      </c>
      <c r="BS40" s="38">
        <v>3.0362090874246008</v>
      </c>
      <c r="BT40" s="38">
        <v>0.54736215086220197</v>
      </c>
      <c r="BU40" s="38">
        <v>1.8269440048509114</v>
      </c>
      <c r="BV40" s="38">
        <v>1.95</v>
      </c>
      <c r="BW40" s="38">
        <v>0.48952879581151842</v>
      </c>
      <c r="BX40" s="38">
        <v>5.5</v>
      </c>
      <c r="BY40" s="38">
        <v>5</v>
      </c>
      <c r="BZ40" s="38">
        <v>0.5</v>
      </c>
      <c r="CA40" s="38">
        <v>5.7833355050683544E-2</v>
      </c>
      <c r="CB40" s="38">
        <v>4.1651582307502287E-2</v>
      </c>
      <c r="CC40" s="38">
        <v>3.9020371841427504</v>
      </c>
      <c r="CD40" s="38">
        <v>0.26282637427774813</v>
      </c>
      <c r="CE40" s="38" t="s">
        <v>192</v>
      </c>
    </row>
    <row r="41" spans="1:83" ht="14.5" customHeight="1" x14ac:dyDescent="0.35">
      <c r="AA41">
        <f t="shared" si="4"/>
        <v>0</v>
      </c>
      <c r="AI41">
        <v>5</v>
      </c>
      <c r="AJ41" s="17">
        <f>SUM(AI28+AJ27+AK26+AL25+AM24+AN23)</f>
        <v>0.17463190059110587</v>
      </c>
      <c r="BB41" s="38" t="s">
        <v>41</v>
      </c>
      <c r="BC41" s="38">
        <v>3.88894590937428</v>
      </c>
      <c r="BD41" s="38">
        <v>0.74799295891306439</v>
      </c>
      <c r="BE41" s="38">
        <v>1.3369109803562003</v>
      </c>
      <c r="BF41" s="38">
        <v>2.35</v>
      </c>
      <c r="BG41" s="38">
        <v>0.41249999999999998</v>
      </c>
      <c r="BH41" s="38">
        <v>5.5</v>
      </c>
      <c r="BI41" s="38">
        <v>5</v>
      </c>
      <c r="BJ41" s="38">
        <v>0.5</v>
      </c>
      <c r="BK41" s="38">
        <v>0.33549295891306441</v>
      </c>
      <c r="BL41" s="38">
        <v>0.24162202900918897</v>
      </c>
      <c r="BM41" s="38">
        <v>34.8085303395438</v>
      </c>
      <c r="BN41" s="38">
        <v>26.377328330068973</v>
      </c>
      <c r="BO41" s="38" t="s">
        <v>192</v>
      </c>
      <c r="BR41" s="38" t="s">
        <v>47</v>
      </c>
      <c r="BS41" s="38">
        <v>3.1649125137018634</v>
      </c>
      <c r="BT41" s="38">
        <v>0.66371873230089962</v>
      </c>
      <c r="BU41" s="38">
        <v>1.5066623124125504</v>
      </c>
      <c r="BV41" s="38">
        <v>2.0499999999999998</v>
      </c>
      <c r="BW41" s="38">
        <v>0.46753246753246758</v>
      </c>
      <c r="BX41" s="38">
        <v>5.5</v>
      </c>
      <c r="BY41" s="38">
        <v>5</v>
      </c>
      <c r="BZ41" s="38">
        <v>0.5</v>
      </c>
      <c r="CA41" s="38">
        <v>0.19618626476843204</v>
      </c>
      <c r="CB41" s="38">
        <v>0.14129334788622475</v>
      </c>
      <c r="CC41" s="38">
        <v>18.901752607807143</v>
      </c>
      <c r="CD41" s="38">
        <v>6.8164143143867646</v>
      </c>
      <c r="CE41" s="38" t="s">
        <v>192</v>
      </c>
    </row>
    <row r="42" spans="1:83" x14ac:dyDescent="0.35">
      <c r="AA42">
        <f t="shared" si="4"/>
        <v>0</v>
      </c>
      <c r="AG42" t="s">
        <v>393</v>
      </c>
      <c r="AH42" s="17">
        <f>SUM(AJ36:AJ41)</f>
        <v>0.65367857282732733</v>
      </c>
      <c r="AI42">
        <v>6</v>
      </c>
      <c r="AJ42" s="17">
        <f>SUM(AI29+AJ28+AK27+AL26+AM25+AN24+AO23)</f>
        <v>0.13926031400939859</v>
      </c>
      <c r="BB42" t="s">
        <v>67</v>
      </c>
      <c r="BC42">
        <v>2.2015328675230412</v>
      </c>
      <c r="BD42">
        <v>0.24968813741441653</v>
      </c>
      <c r="BE42">
        <v>4.0049960336732511</v>
      </c>
      <c r="BF42">
        <v>1.65</v>
      </c>
      <c r="BG42">
        <v>0.58750000000000002</v>
      </c>
      <c r="BK42">
        <v>-0.33781186258558349</v>
      </c>
      <c r="BL42">
        <v>-0.24329210343413721</v>
      </c>
      <c r="BM42">
        <v>0</v>
      </c>
      <c r="BN42">
        <v>0</v>
      </c>
      <c r="BO42" t="s">
        <v>193</v>
      </c>
      <c r="BR42" s="38" t="s">
        <v>56</v>
      </c>
      <c r="BS42" s="38">
        <v>1.4472739686629938</v>
      </c>
      <c r="BT42" s="38">
        <v>0.47943186151369399</v>
      </c>
      <c r="BU42" s="38">
        <v>2.0858021343069146</v>
      </c>
      <c r="BV42" s="38">
        <v>2.15</v>
      </c>
      <c r="BW42" s="38">
        <v>0.44730077120822626</v>
      </c>
      <c r="BX42" s="38"/>
      <c r="BY42" s="38"/>
      <c r="BZ42" s="38"/>
      <c r="CA42" s="38">
        <v>3.2131090305467735E-2</v>
      </c>
      <c r="CB42" s="38">
        <v>2.3140811237997862E-2</v>
      </c>
      <c r="CC42" s="38">
        <v>1.4729469674957627</v>
      </c>
      <c r="CD42" s="38">
        <v>4.5335101559741853E-2</v>
      </c>
      <c r="CE42" s="38" t="s">
        <v>192</v>
      </c>
    </row>
    <row r="43" spans="1:83" x14ac:dyDescent="0.35">
      <c r="AG43" t="s">
        <v>394</v>
      </c>
      <c r="AH43" s="17">
        <f>SUM(AJ42:AJ49)</f>
        <v>0.34632142717267245</v>
      </c>
      <c r="AI43">
        <v>7</v>
      </c>
      <c r="AJ43" s="17">
        <f>SUM(AI30+AJ29+AK28+AL27+AM26+AN25+AO24+AP23)</f>
        <v>9.518847518213415E-2</v>
      </c>
      <c r="BB43" t="s">
        <v>61</v>
      </c>
      <c r="BC43">
        <v>2.7445155338364127</v>
      </c>
      <c r="BD43">
        <v>0.41546839789188661</v>
      </c>
      <c r="BE43">
        <v>2.4069219345540223</v>
      </c>
      <c r="BF43">
        <v>2.5499999999999998</v>
      </c>
      <c r="BG43">
        <v>0.3810679611650486</v>
      </c>
      <c r="BH43">
        <v>5.5</v>
      </c>
      <c r="BI43">
        <v>5</v>
      </c>
      <c r="BJ43">
        <v>0.5</v>
      </c>
      <c r="BK43">
        <v>3.4400436726838013E-2</v>
      </c>
      <c r="BL43">
        <v>2.4775194530668735E-2</v>
      </c>
      <c r="BM43">
        <v>2.3782291295482785</v>
      </c>
      <c r="BN43">
        <v>0.14137243844848157</v>
      </c>
      <c r="BO43" t="s">
        <v>193</v>
      </c>
      <c r="BR43" s="38" t="s">
        <v>63</v>
      </c>
      <c r="BS43" s="38">
        <v>3.7829942177447298</v>
      </c>
      <c r="BT43" s="38">
        <v>0.74319239069824616</v>
      </c>
      <c r="BU43" s="38">
        <v>1.3455466074679225</v>
      </c>
      <c r="BV43" s="38">
        <v>1.71</v>
      </c>
      <c r="BW43" s="38">
        <v>0.56265984654731449</v>
      </c>
      <c r="BX43" s="38"/>
      <c r="BY43" s="38"/>
      <c r="BZ43" s="38"/>
      <c r="CA43" s="38">
        <v>0.18053254415093167</v>
      </c>
      <c r="CB43" s="38">
        <v>0.13001953829750099</v>
      </c>
      <c r="CC43" s="38">
        <v>20.995313872410225</v>
      </c>
      <c r="CD43" s="38">
        <v>5.6867694701969755</v>
      </c>
      <c r="CE43" s="38" t="s">
        <v>192</v>
      </c>
    </row>
    <row r="44" spans="1:83" x14ac:dyDescent="0.35">
      <c r="AI44">
        <v>8</v>
      </c>
      <c r="AJ44" s="17">
        <f>SUM(AI31+AJ30+AK29+AL28+AM27+AN26+AO25+AP24+AQ23)</f>
        <v>5.6931080027776096E-2</v>
      </c>
      <c r="BB44" t="s">
        <v>62</v>
      </c>
      <c r="BC44">
        <v>3.2786152630839895</v>
      </c>
      <c r="BD44">
        <v>0.58378833365126226</v>
      </c>
      <c r="BE44">
        <v>1.7129496126542505</v>
      </c>
      <c r="BF44">
        <v>1.57</v>
      </c>
      <c r="BG44">
        <v>0.6189320388349514</v>
      </c>
      <c r="BK44">
        <v>-3.5143705183689145E-2</v>
      </c>
      <c r="BL44">
        <v>-2.5310496473292921E-2</v>
      </c>
      <c r="BM44">
        <v>0</v>
      </c>
      <c r="BN44">
        <v>0</v>
      </c>
      <c r="BO44" t="s">
        <v>193</v>
      </c>
      <c r="BR44" s="38" t="s">
        <v>60</v>
      </c>
      <c r="BS44" s="38">
        <v>3.2326922191532268</v>
      </c>
      <c r="BT44" s="38">
        <v>0.60034150296191291</v>
      </c>
      <c r="BU44" s="38">
        <v>1.6657185869480731</v>
      </c>
      <c r="BV44" s="38">
        <v>1.91</v>
      </c>
      <c r="BW44" s="38">
        <v>0.5</v>
      </c>
      <c r="BX44" s="38">
        <v>5.5</v>
      </c>
      <c r="BY44" s="38">
        <v>5</v>
      </c>
      <c r="BZ44" s="38">
        <v>0.5</v>
      </c>
      <c r="CA44" s="38">
        <v>0.10034150296191291</v>
      </c>
      <c r="CB44" s="38">
        <v>7.2265950433169676E-2</v>
      </c>
      <c r="CC44" s="38">
        <v>8.8692085704381149</v>
      </c>
      <c r="CD44" s="38">
        <v>1.3006895757875241</v>
      </c>
      <c r="CE44" s="38" t="s">
        <v>192</v>
      </c>
    </row>
    <row r="45" spans="1:83" x14ac:dyDescent="0.35">
      <c r="AI45">
        <v>9</v>
      </c>
      <c r="AJ45" s="17">
        <f>AI32+AJ31+AK30+AL29+AM28+AN27+AO26+AP25+AQ24+AR23</f>
        <v>3.0266482640442578E-2</v>
      </c>
      <c r="BB45" t="s">
        <v>51</v>
      </c>
      <c r="BC45">
        <v>2.5066668327365487</v>
      </c>
      <c r="BD45">
        <v>0.53449636804359246</v>
      </c>
      <c r="BE45">
        <v>1.8709201030874769</v>
      </c>
      <c r="BF45">
        <v>2.35</v>
      </c>
      <c r="BG45">
        <v>0.41249999999999998</v>
      </c>
      <c r="BH45">
        <v>5.5</v>
      </c>
      <c r="BI45">
        <v>5</v>
      </c>
      <c r="BJ45">
        <v>0.5</v>
      </c>
      <c r="BK45">
        <v>0.12199636804359248</v>
      </c>
      <c r="BL45">
        <v>8.7861784264995302E-2</v>
      </c>
      <c r="BM45">
        <v>11.762327709805382</v>
      </c>
      <c r="BN45">
        <v>3.0119376756739049</v>
      </c>
      <c r="BO45" t="s">
        <v>193</v>
      </c>
      <c r="BR45" s="38" t="s">
        <v>44</v>
      </c>
      <c r="BS45" s="38">
        <v>2.5189025686460638</v>
      </c>
      <c r="BT45" s="38">
        <v>0.67272746820123452</v>
      </c>
      <c r="BU45" s="38">
        <v>1.4864860545591216</v>
      </c>
      <c r="BV45" s="38">
        <v>1.63</v>
      </c>
      <c r="BW45" s="38">
        <v>0.58750000000000002</v>
      </c>
      <c r="BX45" s="38">
        <v>5.5</v>
      </c>
      <c r="BY45" s="38">
        <v>5</v>
      </c>
      <c r="BZ45" s="38">
        <v>0.5</v>
      </c>
      <c r="CA45" s="38">
        <v>8.5227468201234502E-2</v>
      </c>
      <c r="CB45" s="38">
        <v>6.1380822598529082E-2</v>
      </c>
      <c r="CC45" s="38">
        <v>9.3136104785253959</v>
      </c>
      <c r="CD45" s="38">
        <v>1.0245001565755514</v>
      </c>
      <c r="CE45" s="38" t="s">
        <v>192</v>
      </c>
    </row>
    <row r="46" spans="1:83" x14ac:dyDescent="0.35">
      <c r="AI46">
        <v>10</v>
      </c>
      <c r="AJ46" s="17">
        <f>SUM(AI33+AJ32+AK31+AL30+AM29+AN28+AO27+AP26+AQ25+AR24+AS23)</f>
        <v>1.4481614855708836E-2</v>
      </c>
      <c r="BB46" t="s">
        <v>39</v>
      </c>
      <c r="BC46">
        <v>2.311013912139086</v>
      </c>
      <c r="BD46">
        <v>0.46540978296247476</v>
      </c>
      <c r="BE46">
        <v>2.1486441338527436</v>
      </c>
      <c r="BF46">
        <v>1.65</v>
      </c>
      <c r="BG46">
        <v>0.58750000000000002</v>
      </c>
      <c r="BK46">
        <v>-0.12209021703752526</v>
      </c>
      <c r="BL46">
        <v>-8.792937431042569E-2</v>
      </c>
      <c r="BM46">
        <v>0</v>
      </c>
      <c r="BN46">
        <v>0</v>
      </c>
      <c r="BO46" t="s">
        <v>193</v>
      </c>
      <c r="BR46" s="38" t="s">
        <v>54</v>
      </c>
      <c r="BS46" s="38">
        <v>4.1055824799758298</v>
      </c>
      <c r="BT46" s="38">
        <v>0.9154619775471412</v>
      </c>
      <c r="BU46" s="38">
        <v>1.0923446571526294</v>
      </c>
      <c r="BV46" s="38">
        <v>1.83</v>
      </c>
      <c r="BW46" s="38">
        <v>0.5221932114882506</v>
      </c>
      <c r="BX46" s="38">
        <v>5.5</v>
      </c>
      <c r="BY46" s="38">
        <v>5</v>
      </c>
      <c r="BZ46" s="38">
        <v>0.5</v>
      </c>
      <c r="CA46" s="38">
        <v>0.39326876605889061</v>
      </c>
      <c r="CB46" s="38">
        <v>0.28323216531561302</v>
      </c>
      <c r="CC46" s="38">
        <v>44.776813049976369</v>
      </c>
      <c r="CD46" s="38">
        <v>30.237576726095348</v>
      </c>
      <c r="CE46" s="38" t="s">
        <v>192</v>
      </c>
    </row>
    <row r="47" spans="1:83" x14ac:dyDescent="0.35">
      <c r="AI47">
        <v>11</v>
      </c>
      <c r="AJ47" s="17">
        <f>SUM(AJ33+AK32+AL31+AM30+AN29+AO28+AP27+AQ26+AR25+AS24)</f>
        <v>6.2570842550526687E-3</v>
      </c>
      <c r="BB47" t="s">
        <v>52</v>
      </c>
      <c r="BC47">
        <v>1.7813481442017329</v>
      </c>
      <c r="BD47">
        <v>0.5726071251869348</v>
      </c>
      <c r="BE47">
        <v>1.7463981079060751</v>
      </c>
      <c r="BF47">
        <v>1.83</v>
      </c>
      <c r="BG47">
        <v>0.5221932114882506</v>
      </c>
      <c r="BH47">
        <v>5.5</v>
      </c>
      <c r="BI47">
        <v>5</v>
      </c>
      <c r="BJ47">
        <v>0.5</v>
      </c>
      <c r="BK47">
        <v>5.0413913698684198E-2</v>
      </c>
      <c r="BL47">
        <v>3.630810064579236E-2</v>
      </c>
      <c r="BM47">
        <v>3.5765895204468765</v>
      </c>
      <c r="BN47">
        <v>0.17121505674967441</v>
      </c>
      <c r="BO47" t="s">
        <v>193</v>
      </c>
      <c r="BR47" s="38" t="s">
        <v>48</v>
      </c>
      <c r="BS47" s="38">
        <v>1.8156976839354071</v>
      </c>
      <c r="BT47" s="38">
        <v>0.42813917036491361</v>
      </c>
      <c r="BU47" s="38">
        <v>2.335689115171768</v>
      </c>
      <c r="BV47" s="38">
        <v>2.4</v>
      </c>
      <c r="BW47" s="38">
        <v>0.40446650124069478</v>
      </c>
      <c r="BX47" s="38"/>
      <c r="BY47" s="38"/>
      <c r="BZ47" s="38"/>
      <c r="CA47" s="38">
        <v>2.3672669124218837E-2</v>
      </c>
      <c r="CB47" s="38">
        <v>1.7049056303262405E-2</v>
      </c>
      <c r="CC47" s="38">
        <v>1.0823778122453087</v>
      </c>
      <c r="CD47" s="38">
        <v>2.9802200289323344E-2</v>
      </c>
      <c r="CE47" s="38" t="s">
        <v>192</v>
      </c>
    </row>
    <row r="48" spans="1:83" x14ac:dyDescent="0.35">
      <c r="AI48">
        <v>12</v>
      </c>
      <c r="AJ48" s="17">
        <f>SUM(AK33+AL32+AM31+AN30+AO29+AP28+AQ27+AR26+AS25)</f>
        <v>2.4272809040990721E-3</v>
      </c>
      <c r="BB48" t="s">
        <v>38</v>
      </c>
      <c r="BC48">
        <v>1.4389879173009228</v>
      </c>
      <c r="BD48">
        <v>0.42738967230075597</v>
      </c>
      <c r="BE48">
        <v>2.339785130082169</v>
      </c>
      <c r="BF48">
        <v>2</v>
      </c>
      <c r="BG48">
        <v>0.47780678851174935</v>
      </c>
      <c r="BK48">
        <v>-5.0417116210993373E-2</v>
      </c>
      <c r="BL48">
        <v>-3.6310407095157426E-2</v>
      </c>
      <c r="BM48">
        <v>0</v>
      </c>
      <c r="BN48">
        <v>0</v>
      </c>
      <c r="BO48" t="s">
        <v>193</v>
      </c>
      <c r="BR48" s="38" t="s">
        <v>53</v>
      </c>
      <c r="BS48" s="38">
        <v>3.436212010173016</v>
      </c>
      <c r="BT48" s="38">
        <v>0.68664338556105331</v>
      </c>
      <c r="BU48" s="38">
        <v>1.4563600568043109</v>
      </c>
      <c r="BV48" s="38">
        <v>1.8</v>
      </c>
      <c r="BW48" s="38">
        <v>0.53246753246753253</v>
      </c>
      <c r="BX48" s="38">
        <v>5.5</v>
      </c>
      <c r="BY48" s="38">
        <v>5</v>
      </c>
      <c r="BZ48" s="38">
        <v>0.5</v>
      </c>
      <c r="CA48" s="38">
        <v>0.15417585309352078</v>
      </c>
      <c r="CB48" s="38">
        <v>0.11103744939795365</v>
      </c>
      <c r="CC48" s="38">
        <v>16.232385983973046</v>
      </c>
      <c r="CD48" s="38">
        <v>3.8301628580112297</v>
      </c>
      <c r="CE48" s="38" t="s">
        <v>192</v>
      </c>
    </row>
    <row r="49" spans="12:83" ht="14.5" customHeight="1" x14ac:dyDescent="0.35">
      <c r="AI49">
        <v>13</v>
      </c>
      <c r="AJ49" s="17">
        <f>1-SUM(AJ36:AJ48)</f>
        <v>1.5090952980605365E-3</v>
      </c>
      <c r="BB49" t="s">
        <v>45</v>
      </c>
      <c r="BC49">
        <v>1.6601665852321257</v>
      </c>
      <c r="BD49">
        <v>0.43641477988496857</v>
      </c>
      <c r="BE49">
        <v>2.2913981058652109</v>
      </c>
      <c r="BF49">
        <v>2.65</v>
      </c>
      <c r="BG49">
        <v>0.36602870813397131</v>
      </c>
      <c r="BH49">
        <v>5.5</v>
      </c>
      <c r="BI49">
        <v>5</v>
      </c>
      <c r="BJ49">
        <v>0.5</v>
      </c>
      <c r="BK49">
        <v>7.0386071750997259E-2</v>
      </c>
      <c r="BL49">
        <v>5.0692048875068223E-2</v>
      </c>
      <c r="BM49">
        <v>5.8816939547074787</v>
      </c>
      <c r="BN49">
        <v>0.92048020266772079</v>
      </c>
      <c r="BO49" t="s">
        <v>193</v>
      </c>
      <c r="BR49" s="38" t="s">
        <v>49</v>
      </c>
      <c r="BS49" s="38">
        <v>3.0307599580962141</v>
      </c>
      <c r="BT49" s="38">
        <v>0.63201362878325074</v>
      </c>
      <c r="BU49" s="38">
        <v>1.5822443606559478</v>
      </c>
      <c r="BV49" s="38">
        <v>1.74</v>
      </c>
      <c r="BW49" s="38">
        <v>0.5526992287917738</v>
      </c>
      <c r="BX49" s="38">
        <v>5.5</v>
      </c>
      <c r="BY49" s="38">
        <v>5</v>
      </c>
      <c r="BZ49" s="38">
        <v>0.5</v>
      </c>
      <c r="CA49" s="38">
        <v>7.9314399991476936E-2</v>
      </c>
      <c r="CB49" s="38">
        <v>5.7122230873861687E-2</v>
      </c>
      <c r="CC49" s="38">
        <v>7.4151012501202453</v>
      </c>
      <c r="CD49" s="38">
        <v>0.73931313493741957</v>
      </c>
      <c r="CE49" s="38" t="s">
        <v>192</v>
      </c>
    </row>
    <row r="50" spans="12:83" ht="14.5" customHeight="1" x14ac:dyDescent="0.35">
      <c r="BB50" t="s">
        <v>42</v>
      </c>
      <c r="BC50">
        <v>1.9767581448197693</v>
      </c>
      <c r="BD50">
        <v>0.56357630264749303</v>
      </c>
      <c r="BE50">
        <v>1.7743826262785258</v>
      </c>
      <c r="BF50">
        <v>1.53</v>
      </c>
      <c r="BG50">
        <v>0.63397129186602874</v>
      </c>
      <c r="BK50">
        <v>-7.0394989218535708E-2</v>
      </c>
      <c r="BL50">
        <v>-5.0698471235189412E-2</v>
      </c>
      <c r="BM50">
        <v>0</v>
      </c>
      <c r="BN50">
        <v>0</v>
      </c>
      <c r="BO50" t="s">
        <v>193</v>
      </c>
      <c r="BR50" s="38" t="s">
        <v>51</v>
      </c>
      <c r="BS50" s="38">
        <v>3.3677214012312606</v>
      </c>
      <c r="BT50" s="38">
        <v>0.61565329887964571</v>
      </c>
      <c r="BU50" s="38">
        <v>1.6242908172826835</v>
      </c>
      <c r="BV50" s="38">
        <v>2.65</v>
      </c>
      <c r="BW50" s="38">
        <v>0.375</v>
      </c>
      <c r="BX50" s="38">
        <v>5.5</v>
      </c>
      <c r="BY50" s="38">
        <v>5</v>
      </c>
      <c r="BZ50" s="38">
        <v>0.5</v>
      </c>
      <c r="CA50" s="38">
        <v>0.24065329887964571</v>
      </c>
      <c r="CB50" s="38">
        <v>0.17331850585312084</v>
      </c>
      <c r="CC50" s="38">
        <v>21.542661573616694</v>
      </c>
      <c r="CD50" s="38">
        <v>12.940646153940039</v>
      </c>
      <c r="CE50" s="38" t="s">
        <v>192</v>
      </c>
    </row>
    <row r="51" spans="12:83" x14ac:dyDescent="0.35">
      <c r="L51" s="17"/>
      <c r="BB51" s="38" t="s">
        <v>50</v>
      </c>
      <c r="BC51" s="38">
        <v>3.1217209613478412</v>
      </c>
      <c r="BD51" s="38">
        <v>0.7726685963671025</v>
      </c>
      <c r="BE51" s="38">
        <v>1.294215922197115</v>
      </c>
      <c r="BF51" s="38">
        <v>1.56</v>
      </c>
      <c r="BG51" s="38">
        <v>0.625</v>
      </c>
      <c r="BH51" s="38">
        <v>5.5</v>
      </c>
      <c r="BI51" s="38">
        <v>5</v>
      </c>
      <c r="BJ51" s="38">
        <v>0.5</v>
      </c>
      <c r="BK51" s="38">
        <v>0.1476685963671025</v>
      </c>
      <c r="BL51" s="38">
        <v>0.10635092310358721</v>
      </c>
      <c r="BM51" s="38">
        <v>22.554799393041456</v>
      </c>
      <c r="BN51" s="38">
        <v>4.6319215008046992</v>
      </c>
      <c r="BO51" s="38" t="s">
        <v>192</v>
      </c>
      <c r="BR51" s="38" t="s">
        <v>46</v>
      </c>
      <c r="BS51" s="38">
        <v>2.1816467949398253</v>
      </c>
      <c r="BT51" s="38">
        <v>0.6969885245763171</v>
      </c>
      <c r="BU51" s="38">
        <v>1.4347438512102857</v>
      </c>
      <c r="BV51" s="38">
        <v>1.59</v>
      </c>
      <c r="BW51" s="38">
        <v>0.6112469437652811</v>
      </c>
      <c r="BX51" s="38">
        <v>5.5</v>
      </c>
      <c r="BY51" s="38">
        <v>5</v>
      </c>
      <c r="BZ51" s="38">
        <v>0.5</v>
      </c>
      <c r="CA51" s="38">
        <v>8.5741580811036E-2</v>
      </c>
      <c r="CB51" s="38">
        <v>6.1751086500108125E-2</v>
      </c>
      <c r="CC51" s="38">
        <v>10.524104785514519</v>
      </c>
      <c r="CD51" s="38">
        <v>1.1388318389237746</v>
      </c>
      <c r="CE51" s="38" t="s">
        <v>192</v>
      </c>
    </row>
    <row r="52" spans="12:83" x14ac:dyDescent="0.35">
      <c r="L52" s="17"/>
      <c r="BB52" t="s">
        <v>48</v>
      </c>
      <c r="BC52">
        <v>1.4904643620771356</v>
      </c>
      <c r="BD52">
        <v>0.22692483419431442</v>
      </c>
      <c r="BE52">
        <v>4.4067455355886951</v>
      </c>
      <c r="BF52">
        <v>2.6</v>
      </c>
      <c r="BG52">
        <v>0.375</v>
      </c>
      <c r="BK52">
        <v>-0.14807516580568558</v>
      </c>
      <c r="BL52">
        <v>-0.10664373441325475</v>
      </c>
      <c r="BM52">
        <v>0</v>
      </c>
      <c r="BN52">
        <v>0</v>
      </c>
      <c r="BO52" t="s">
        <v>193</v>
      </c>
      <c r="BR52" s="38" t="s">
        <v>59</v>
      </c>
      <c r="BS52" s="38">
        <v>4.9906024489714751</v>
      </c>
      <c r="BT52" s="38">
        <v>0.93337843422099276</v>
      </c>
      <c r="BU52" s="38">
        <v>1.071376799952112</v>
      </c>
      <c r="BV52" s="38">
        <v>1.59</v>
      </c>
      <c r="BW52" s="38">
        <v>0.6112469437652811</v>
      </c>
      <c r="BX52" s="38">
        <v>5.5</v>
      </c>
      <c r="BY52" s="38">
        <v>5</v>
      </c>
      <c r="BZ52" s="38">
        <v>0.5</v>
      </c>
      <c r="CA52" s="38">
        <v>0.32213149045571166</v>
      </c>
      <c r="CB52" s="38">
        <v>0.23199909942620353</v>
      </c>
      <c r="CC52" s="38">
        <v>44.788345525111637</v>
      </c>
      <c r="CD52" s="38">
        <v>21.680771024836602</v>
      </c>
      <c r="CE52" s="38" t="s">
        <v>192</v>
      </c>
    </row>
    <row r="53" spans="12:83" ht="14.5" customHeight="1" x14ac:dyDescent="0.35">
      <c r="BB53" s="38" t="s">
        <v>49</v>
      </c>
      <c r="BC53" s="38">
        <v>3.1017807176263492</v>
      </c>
      <c r="BD53" s="38">
        <v>0.6939540367272381</v>
      </c>
      <c r="BE53" s="38">
        <v>1.4410176280782336</v>
      </c>
      <c r="BF53" s="38">
        <v>1.95</v>
      </c>
      <c r="BG53" s="38">
        <v>0.48952879581151842</v>
      </c>
      <c r="BH53" s="38">
        <v>5.5</v>
      </c>
      <c r="BI53" s="38">
        <v>5</v>
      </c>
      <c r="BJ53" s="38">
        <v>0.5</v>
      </c>
      <c r="BK53" s="38">
        <v>0.20442524091571967</v>
      </c>
      <c r="BL53" s="38">
        <v>0.14722705850750131</v>
      </c>
      <c r="BM53" s="38">
        <v>22.867285619026131</v>
      </c>
      <c r="BN53" s="38">
        <v>8.0769624513937757</v>
      </c>
      <c r="BO53" s="38" t="s">
        <v>192</v>
      </c>
      <c r="BR53" s="38" t="s">
        <v>43</v>
      </c>
      <c r="BS53" s="38">
        <v>2.3183187373007965</v>
      </c>
      <c r="BT53" s="38">
        <v>0.48635180849358489</v>
      </c>
      <c r="BU53" s="38">
        <v>2.0561247692228748</v>
      </c>
      <c r="BV53" s="38">
        <v>2.1</v>
      </c>
      <c r="BW53" s="38">
        <v>0.4573643410852713</v>
      </c>
      <c r="BX53" s="38">
        <v>5.5</v>
      </c>
      <c r="BY53" s="38">
        <v>5</v>
      </c>
      <c r="BZ53" s="38">
        <v>0.5</v>
      </c>
      <c r="CA53" s="38">
        <v>2.8987467408313594E-2</v>
      </c>
      <c r="CB53" s="38">
        <v>2.0876774027467449E-2</v>
      </c>
      <c r="CC53" s="38">
        <v>1.0589722813262668</v>
      </c>
      <c r="CD53" s="38">
        <v>2.2597195425708483E-2</v>
      </c>
      <c r="CE53" s="38" t="s">
        <v>192</v>
      </c>
    </row>
    <row r="54" spans="12:83" x14ac:dyDescent="0.35">
      <c r="BB54" t="s">
        <v>44</v>
      </c>
      <c r="BC54">
        <v>1.9378914718609974</v>
      </c>
      <c r="BD54">
        <v>0.30565453068230342</v>
      </c>
      <c r="BE54">
        <v>3.2716675187759527</v>
      </c>
      <c r="BF54">
        <v>1.87</v>
      </c>
      <c r="BG54">
        <v>0.51047120418848169</v>
      </c>
      <c r="BK54">
        <v>-0.20481667350617827</v>
      </c>
      <c r="BL54">
        <v>-0.14750896825914958</v>
      </c>
      <c r="BM54">
        <v>0</v>
      </c>
      <c r="BN54">
        <v>0</v>
      </c>
      <c r="BO54" t="s">
        <v>193</v>
      </c>
      <c r="BR54" s="38" t="s">
        <v>67</v>
      </c>
      <c r="BS54" s="38">
        <v>3.5639019078523835</v>
      </c>
      <c r="BT54" s="38">
        <v>0.80079983903989027</v>
      </c>
      <c r="BU54" s="38">
        <v>1.2487514997492237</v>
      </c>
      <c r="BV54" s="38">
        <v>1.71</v>
      </c>
      <c r="BW54" s="38">
        <v>0.56265984654731449</v>
      </c>
      <c r="BX54" s="38">
        <v>5.5</v>
      </c>
      <c r="BY54" s="38">
        <v>5</v>
      </c>
      <c r="BZ54" s="38">
        <v>0.5</v>
      </c>
      <c r="CA54" s="38">
        <v>0.23813999249257578</v>
      </c>
      <c r="CB54" s="38">
        <v>0.17150842259315308</v>
      </c>
      <c r="CC54" s="38">
        <v>28.399318887491354</v>
      </c>
      <c r="CD54" s="38">
        <v>10.489791802155604</v>
      </c>
      <c r="CE54" s="38" t="s">
        <v>192</v>
      </c>
    </row>
    <row r="55" spans="12:83" x14ac:dyDescent="0.35">
      <c r="BB55" t="s">
        <v>66</v>
      </c>
      <c r="BC55">
        <v>3.3694040175863469</v>
      </c>
      <c r="BD55">
        <v>0.62821479699925131</v>
      </c>
      <c r="BE55">
        <v>1.5918122348862658</v>
      </c>
      <c r="BF55">
        <v>1.95</v>
      </c>
      <c r="BG55">
        <v>0.48952879581151842</v>
      </c>
      <c r="BH55">
        <v>5.5</v>
      </c>
      <c r="BI55">
        <v>5</v>
      </c>
      <c r="BJ55">
        <v>0.5</v>
      </c>
      <c r="BK55">
        <v>0.13868600118773289</v>
      </c>
      <c r="BL55">
        <v>9.988165805540522E-2</v>
      </c>
      <c r="BM55">
        <v>14.688235978619407</v>
      </c>
      <c r="BN55">
        <v>3.3051300293722994</v>
      </c>
      <c r="BO55" t="s">
        <v>193</v>
      </c>
      <c r="BR55" s="38" t="s">
        <v>56</v>
      </c>
      <c r="BS55" s="38">
        <v>3.1556893815944398</v>
      </c>
      <c r="BT55" s="38">
        <v>0.68641120930147748</v>
      </c>
      <c r="BU55" s="38">
        <v>1.4568526656457788</v>
      </c>
      <c r="BV55" s="38">
        <v>1.91</v>
      </c>
      <c r="BW55" s="38">
        <v>0.5</v>
      </c>
      <c r="BX55" s="38"/>
      <c r="BY55" s="38"/>
      <c r="BZ55" s="38"/>
      <c r="CA55" s="38">
        <v>0.18641120930147748</v>
      </c>
      <c r="CB55" s="38">
        <v>0.13425335293892407</v>
      </c>
      <c r="CC55" s="38">
        <v>18.65905879279229</v>
      </c>
      <c r="CD55" s="38">
        <v>5.80381458804864</v>
      </c>
      <c r="CE55" s="38" t="s">
        <v>192</v>
      </c>
    </row>
    <row r="56" spans="12:83" x14ac:dyDescent="0.35">
      <c r="BB56" t="s">
        <v>65</v>
      </c>
      <c r="BC56">
        <v>2.5524084227789405</v>
      </c>
      <c r="BD56">
        <v>0.3709576171739129</v>
      </c>
      <c r="BE56">
        <v>2.6957257479125398</v>
      </c>
      <c r="BF56">
        <v>1.87</v>
      </c>
      <c r="BG56">
        <v>0.51047120418848169</v>
      </c>
      <c r="BK56">
        <v>-0.13951358701456879</v>
      </c>
      <c r="BL56">
        <v>-0.10047768536789244</v>
      </c>
      <c r="BM56">
        <v>0</v>
      </c>
      <c r="BN56">
        <v>0</v>
      </c>
      <c r="BO56" t="s">
        <v>193</v>
      </c>
      <c r="BR56" s="38" t="s">
        <v>48</v>
      </c>
      <c r="BS56" s="38">
        <v>2.5592634518475479</v>
      </c>
      <c r="BT56" s="38">
        <v>0.41164582641307235</v>
      </c>
      <c r="BU56" s="38">
        <v>2.4292727773135119</v>
      </c>
      <c r="BV56" s="38">
        <v>2.65</v>
      </c>
      <c r="BW56" s="38">
        <v>0.36602870813397131</v>
      </c>
      <c r="BX56" s="38">
        <v>5.5</v>
      </c>
      <c r="BY56" s="38">
        <v>5</v>
      </c>
      <c r="BZ56" s="38">
        <v>0.5</v>
      </c>
      <c r="CA56" s="38">
        <v>4.5617118279101032E-2</v>
      </c>
      <c r="CB56" s="38">
        <v>3.2853448584608563E-2</v>
      </c>
      <c r="CC56" s="38">
        <v>3.006097067349133</v>
      </c>
      <c r="CD56" s="38">
        <v>0.27313830830301145</v>
      </c>
      <c r="CE56" s="38" t="s">
        <v>192</v>
      </c>
    </row>
    <row r="57" spans="12:83" ht="25.5" customHeight="1" x14ac:dyDescent="0.35">
      <c r="BB57" t="s">
        <v>41</v>
      </c>
      <c r="BC57">
        <v>1.6767110702693793</v>
      </c>
      <c r="BD57">
        <v>0.54790563634706502</v>
      </c>
      <c r="BE57">
        <v>1.8251317994592788</v>
      </c>
      <c r="BF57">
        <v>2.0499999999999998</v>
      </c>
      <c r="BG57">
        <v>0.46753246753246758</v>
      </c>
      <c r="BH57">
        <v>5.5</v>
      </c>
      <c r="BI57">
        <v>5</v>
      </c>
      <c r="BJ57">
        <v>0.5</v>
      </c>
      <c r="BK57">
        <v>8.037316881459744E-2</v>
      </c>
      <c r="BL57">
        <v>5.788475618027307E-2</v>
      </c>
      <c r="BM57">
        <v>7.9373182603569186</v>
      </c>
      <c r="BN57">
        <v>0.9779296349196569</v>
      </c>
      <c r="BO57" t="s">
        <v>193</v>
      </c>
      <c r="BR57" s="38" t="s">
        <v>42</v>
      </c>
      <c r="BS57" s="38">
        <v>3.2424730392885688</v>
      </c>
      <c r="BT57" s="38">
        <v>0.63644986784906088</v>
      </c>
      <c r="BU57" s="38">
        <v>1.5712156613050912</v>
      </c>
      <c r="BV57" s="38">
        <v>1.95</v>
      </c>
      <c r="BW57" s="38">
        <v>0.48952879581151842</v>
      </c>
      <c r="BX57" s="38">
        <v>5.5</v>
      </c>
      <c r="BY57" s="38">
        <v>5</v>
      </c>
      <c r="BZ57" s="38">
        <v>0.5</v>
      </c>
      <c r="CA57" s="38">
        <v>0.14692107203754246</v>
      </c>
      <c r="CB57" s="38">
        <v>0.10581255608143807</v>
      </c>
      <c r="CC57" s="38">
        <v>16.552856130264143</v>
      </c>
      <c r="CD57" s="38">
        <v>3.9905169081665601</v>
      </c>
      <c r="CE57" s="38" t="s">
        <v>192</v>
      </c>
    </row>
    <row r="58" spans="12:83" x14ac:dyDescent="0.35">
      <c r="BB58" t="s">
        <v>54</v>
      </c>
      <c r="BC58">
        <v>1.4542299031771524</v>
      </c>
      <c r="BD58">
        <v>0.4520923542646057</v>
      </c>
      <c r="BE58">
        <v>2.211937429525094</v>
      </c>
      <c r="BF58">
        <v>1.8</v>
      </c>
      <c r="BG58">
        <v>0.53246753246753253</v>
      </c>
      <c r="BK58">
        <v>-8.0375178202926834E-2</v>
      </c>
      <c r="BL58">
        <v>-5.7886203341747905E-2</v>
      </c>
      <c r="BM58">
        <v>0</v>
      </c>
      <c r="BN58">
        <v>0</v>
      </c>
      <c r="BO58" t="s">
        <v>193</v>
      </c>
      <c r="BR58" s="38" t="s">
        <v>44</v>
      </c>
      <c r="BS58" s="38">
        <v>2.5917055495032009</v>
      </c>
      <c r="BT58" s="38">
        <v>0.62549924570564031</v>
      </c>
      <c r="BU58" s="38">
        <v>1.5987229510914545</v>
      </c>
      <c r="BV58" s="38">
        <v>1.65</v>
      </c>
      <c r="BW58" s="38">
        <v>0.58750000000000002</v>
      </c>
      <c r="BX58" s="38">
        <v>5.5</v>
      </c>
      <c r="BY58" s="38">
        <v>5</v>
      </c>
      <c r="BZ58" s="38">
        <v>0.5</v>
      </c>
      <c r="CA58" s="38">
        <v>3.7999245705640283E-2</v>
      </c>
      <c r="CB58" s="38">
        <v>2.7367056757202132E-2</v>
      </c>
      <c r="CC58" s="38">
        <v>3.218672483174692</v>
      </c>
      <c r="CD58" s="38">
        <v>0.10323491398410356</v>
      </c>
      <c r="CE58" s="38" t="s">
        <v>192</v>
      </c>
    </row>
    <row r="59" spans="12:83" x14ac:dyDescent="0.35">
      <c r="BB59" s="38" t="s">
        <v>57</v>
      </c>
      <c r="BC59" s="38">
        <v>3.0828126904829491</v>
      </c>
      <c r="BD59" s="38">
        <v>0.65684866514068418</v>
      </c>
      <c r="BE59" s="38">
        <v>1.5224206930310493</v>
      </c>
      <c r="BF59" s="38">
        <v>2.2000000000000002</v>
      </c>
      <c r="BG59" s="38">
        <v>0.4373401534526854</v>
      </c>
      <c r="BH59" s="38">
        <v>5.5</v>
      </c>
      <c r="BI59" s="38">
        <v>5</v>
      </c>
      <c r="BJ59" s="38">
        <v>0.5</v>
      </c>
      <c r="BK59" s="38">
        <v>0.21950851168799879</v>
      </c>
      <c r="BL59" s="38">
        <v>0.15809003011769671</v>
      </c>
      <c r="BM59" s="38">
        <v>25.088430358756806</v>
      </c>
      <c r="BN59" s="38">
        <v>11.16603402281693</v>
      </c>
      <c r="BO59" s="38" t="s">
        <v>192</v>
      </c>
      <c r="BR59" s="38" t="s">
        <v>66</v>
      </c>
      <c r="BS59" s="38">
        <v>3.5801897442518174</v>
      </c>
      <c r="BT59" s="38">
        <v>0.72738944671676453</v>
      </c>
      <c r="BU59" s="38">
        <v>1.374779362711027</v>
      </c>
      <c r="BV59" s="38">
        <v>1.714</v>
      </c>
      <c r="BW59" s="38">
        <v>0.56208482370975987</v>
      </c>
      <c r="BX59" s="38"/>
      <c r="BY59" s="38"/>
      <c r="BZ59" s="38"/>
      <c r="CA59" s="38">
        <v>0.16530462300700466</v>
      </c>
      <c r="CB59" s="38">
        <v>0.11905238948964475</v>
      </c>
      <c r="CC59" s="38">
        <v>22.541944726072867</v>
      </c>
      <c r="CD59" s="38">
        <v>5.5621236855288361</v>
      </c>
      <c r="CE59" s="38" t="s">
        <v>192</v>
      </c>
    </row>
    <row r="60" spans="12:83" x14ac:dyDescent="0.35">
      <c r="BB60" t="s">
        <v>67</v>
      </c>
      <c r="BC60">
        <v>2.1376846639932343</v>
      </c>
      <c r="BD60">
        <v>0.34276982874782197</v>
      </c>
      <c r="BE60">
        <v>2.9174096321520371</v>
      </c>
      <c r="BF60">
        <v>1.71</v>
      </c>
      <c r="BG60">
        <v>0.56265984654731449</v>
      </c>
      <c r="BK60">
        <v>-0.21989001779949252</v>
      </c>
      <c r="BL60">
        <v>-0.1583647908191945</v>
      </c>
      <c r="BM60">
        <v>0</v>
      </c>
      <c r="BN60">
        <v>0</v>
      </c>
      <c r="BO60" t="s">
        <v>193</v>
      </c>
      <c r="BR60" s="38" t="s">
        <v>52</v>
      </c>
      <c r="BS60" s="38">
        <v>2.4086857750686308</v>
      </c>
      <c r="BT60" s="38">
        <v>0.58715127501415687</v>
      </c>
      <c r="BU60" s="38">
        <v>1.7031385991214767</v>
      </c>
      <c r="BV60" s="38">
        <v>2.2000000000000002</v>
      </c>
      <c r="BW60" s="38">
        <v>0.43791517629024013</v>
      </c>
      <c r="BX60" s="38">
        <v>5.5</v>
      </c>
      <c r="BY60" s="38">
        <v>5</v>
      </c>
      <c r="BZ60" s="38">
        <v>0.5</v>
      </c>
      <c r="CA60" s="38">
        <v>0.14923609872391674</v>
      </c>
      <c r="CB60" s="38">
        <v>0.10747983830096483</v>
      </c>
      <c r="CC60" s="38">
        <v>15.857851715821646</v>
      </c>
      <c r="CD60" s="38">
        <v>4.6262555628246087</v>
      </c>
      <c r="CE60" s="38" t="s">
        <v>192</v>
      </c>
    </row>
    <row r="61" spans="12:83" x14ac:dyDescent="0.35">
      <c r="BB61" t="s">
        <v>68</v>
      </c>
      <c r="BC61">
        <v>1.2042714024681265</v>
      </c>
      <c r="BD61">
        <v>0.42448770839574923</v>
      </c>
      <c r="BE61">
        <v>2.3557808158433211</v>
      </c>
      <c r="BF61">
        <v>1.95</v>
      </c>
      <c r="BG61">
        <v>0.48952879581151842</v>
      </c>
      <c r="BH61">
        <v>5.5</v>
      </c>
      <c r="BI61">
        <v>5</v>
      </c>
      <c r="BJ61">
        <v>0.5</v>
      </c>
      <c r="BK61">
        <v>-6.5041087415769194E-2</v>
      </c>
      <c r="BL61">
        <v>-4.684259115683697E-2</v>
      </c>
      <c r="BM61">
        <v>0</v>
      </c>
      <c r="BN61">
        <v>0</v>
      </c>
      <c r="BO61" t="s">
        <v>193</v>
      </c>
      <c r="BR61" s="38" t="s">
        <v>62</v>
      </c>
      <c r="BS61" s="38">
        <v>4.5279761785092809</v>
      </c>
      <c r="BT61" s="38">
        <v>0.86476074161083405</v>
      </c>
      <c r="BU61" s="38">
        <v>1.1563892206036652</v>
      </c>
      <c r="BV61" s="38">
        <v>1.7410000000000001</v>
      </c>
      <c r="BW61" s="38">
        <v>0.5525571832433821</v>
      </c>
      <c r="BX61" s="38">
        <v>5.5</v>
      </c>
      <c r="BY61" s="38">
        <v>5</v>
      </c>
      <c r="BZ61" s="38">
        <v>0.5</v>
      </c>
      <c r="CA61" s="38">
        <v>0.31220355836745195</v>
      </c>
      <c r="CB61" s="38">
        <v>0.22484900273623887</v>
      </c>
      <c r="CC61" s="38">
        <v>44.502551040242437</v>
      </c>
      <c r="CD61" s="38">
        <v>22.498195750371934</v>
      </c>
      <c r="CE61" s="38" t="s">
        <v>192</v>
      </c>
    </row>
    <row r="62" spans="12:83" x14ac:dyDescent="0.35">
      <c r="BB62" t="s">
        <v>46</v>
      </c>
      <c r="BC62">
        <v>1.5355757927890028</v>
      </c>
      <c r="BD62">
        <v>0.57551153576392167</v>
      </c>
      <c r="BE62">
        <v>1.7375846318573291</v>
      </c>
      <c r="BF62">
        <v>1.87</v>
      </c>
      <c r="BG62">
        <v>0.51047120418848169</v>
      </c>
      <c r="BK62">
        <v>6.504033157543998E-2</v>
      </c>
      <c r="BL62">
        <v>4.6842046800631872E-2</v>
      </c>
      <c r="BM62">
        <v>5.9251923541971587</v>
      </c>
      <c r="BN62">
        <v>0.45153859703426358</v>
      </c>
      <c r="BO62" t="s">
        <v>193</v>
      </c>
      <c r="BR62" s="38" t="s">
        <v>64</v>
      </c>
      <c r="BS62" s="38">
        <v>4.0621768496679378</v>
      </c>
      <c r="BT62" s="38">
        <v>0.768153653361068</v>
      </c>
      <c r="BU62" s="38">
        <v>1.3018228783062931</v>
      </c>
      <c r="BV62" s="38">
        <v>1.952</v>
      </c>
      <c r="BW62" s="38">
        <v>0.48927263212977506</v>
      </c>
      <c r="BX62" s="38">
        <v>5.5</v>
      </c>
      <c r="BY62" s="38">
        <v>5</v>
      </c>
      <c r="BZ62" s="38">
        <v>0.5</v>
      </c>
      <c r="CA62" s="38">
        <v>0.27888102123129294</v>
      </c>
      <c r="CB62" s="38">
        <v>0.20085011149077717</v>
      </c>
      <c r="CC62" s="38">
        <v>34.220249081646699</v>
      </c>
      <c r="CD62" s="38">
        <v>17.090821971490946</v>
      </c>
      <c r="CE62" s="38" t="s">
        <v>192</v>
      </c>
    </row>
    <row r="63" spans="12:83" x14ac:dyDescent="0.35">
      <c r="BB63" s="38" t="s">
        <v>50</v>
      </c>
      <c r="BC63" s="38">
        <v>4.297510809208088</v>
      </c>
      <c r="BD63" s="38">
        <v>0.87597184777515669</v>
      </c>
      <c r="BE63" s="38">
        <v>1.1415891989449856</v>
      </c>
      <c r="BF63" s="38">
        <v>1.57</v>
      </c>
      <c r="BG63" s="38">
        <v>0.6189320388349514</v>
      </c>
      <c r="BH63" s="38">
        <v>5.5</v>
      </c>
      <c r="BI63" s="38">
        <v>5</v>
      </c>
      <c r="BJ63" s="38">
        <v>0.5</v>
      </c>
      <c r="BK63" s="38">
        <v>0.25703980894020528</v>
      </c>
      <c r="BL63" s="38">
        <v>0.18512007039873582</v>
      </c>
      <c r="BM63" s="38">
        <v>44.535361900556559</v>
      </c>
      <c r="BN63" s="38">
        <v>16.713043610367812</v>
      </c>
      <c r="BO63" s="38" t="s">
        <v>192</v>
      </c>
      <c r="BR63" s="38" t="s">
        <v>46</v>
      </c>
      <c r="BS63" s="38">
        <v>4.3580606031428761</v>
      </c>
      <c r="BT63" s="38">
        <v>0.84633366447576175</v>
      </c>
      <c r="BU63" s="38">
        <v>1.1815670839696808</v>
      </c>
      <c r="BV63" s="38">
        <v>1.444</v>
      </c>
      <c r="BW63" s="38">
        <v>0.66371681415929207</v>
      </c>
      <c r="BX63" s="38">
        <v>5.5</v>
      </c>
      <c r="BY63" s="38">
        <v>5</v>
      </c>
      <c r="BZ63" s="38">
        <v>0.5</v>
      </c>
      <c r="CA63" s="38">
        <v>0.18261685031646968</v>
      </c>
      <c r="CB63" s="38">
        <v>0.13152065559792145</v>
      </c>
      <c r="CC63" s="38">
        <v>32.630015708703105</v>
      </c>
      <c r="CD63" s="38">
        <v>7.247316118337138</v>
      </c>
      <c r="CE63" s="38" t="s">
        <v>192</v>
      </c>
    </row>
    <row r="64" spans="12:83" x14ac:dyDescent="0.35">
      <c r="BB64" t="s">
        <v>48</v>
      </c>
      <c r="BC64">
        <v>1.4839053053073985</v>
      </c>
      <c r="BD64">
        <v>0.11922278982872761</v>
      </c>
      <c r="BE64">
        <v>8.3876581099685232</v>
      </c>
      <c r="BF64">
        <v>2.5499999999999998</v>
      </c>
      <c r="BG64">
        <v>0.3810679611650486</v>
      </c>
      <c r="BK64">
        <v>-0.26184517133632101</v>
      </c>
      <c r="BL64">
        <v>-0.18858089239641837</v>
      </c>
      <c r="BM64">
        <v>0</v>
      </c>
      <c r="BN64">
        <v>0</v>
      </c>
      <c r="BO64" t="s">
        <v>193</v>
      </c>
    </row>
    <row r="65" spans="54:67" x14ac:dyDescent="0.35">
      <c r="BB65" t="s">
        <v>55</v>
      </c>
      <c r="BC65">
        <v>2.1650155840374059</v>
      </c>
      <c r="BD65">
        <v>0.28082670956150135</v>
      </c>
      <c r="BE65">
        <v>3.5609148487387698</v>
      </c>
      <c r="BF65">
        <v>2.15</v>
      </c>
      <c r="BG65">
        <v>0.44730077120822626</v>
      </c>
      <c r="BH65">
        <v>5.5</v>
      </c>
      <c r="BI65">
        <v>5</v>
      </c>
      <c r="BJ65">
        <v>0.5</v>
      </c>
      <c r="BK65">
        <v>-0.1664740616467249</v>
      </c>
      <c r="BL65">
        <v>-0.11989461919797127</v>
      </c>
      <c r="BM65">
        <v>0</v>
      </c>
      <c r="BN65">
        <v>0</v>
      </c>
      <c r="BO65" t="s">
        <v>193</v>
      </c>
    </row>
    <row r="66" spans="54:67" x14ac:dyDescent="0.35">
      <c r="BB66" s="38" t="s">
        <v>43</v>
      </c>
      <c r="BC66" s="38">
        <v>3.5776901532885796</v>
      </c>
      <c r="BD66" s="38">
        <v>0.71794510701158398</v>
      </c>
      <c r="BE66" s="38">
        <v>1.3928641482946482</v>
      </c>
      <c r="BF66" s="38">
        <v>1.74</v>
      </c>
      <c r="BG66" s="38">
        <v>0.5526992287917738</v>
      </c>
      <c r="BH66" s="38"/>
      <c r="BI66" s="38"/>
      <c r="BJ66" s="38"/>
      <c r="BK66" s="38">
        <v>0.16524587821981018</v>
      </c>
      <c r="BL66" s="38">
        <v>0.11901008149390728</v>
      </c>
      <c r="BM66" s="38">
        <v>22.781812357463991</v>
      </c>
      <c r="BN66" s="38">
        <v>5.6777854794973281</v>
      </c>
      <c r="BO66" s="38" t="s">
        <v>192</v>
      </c>
    </row>
    <row r="67" spans="54:67" x14ac:dyDescent="0.35">
      <c r="BB67" t="s">
        <v>56</v>
      </c>
      <c r="BC67">
        <v>2.0180169920317605</v>
      </c>
      <c r="BD67">
        <v>0.37305593630325828</v>
      </c>
      <c r="BE67">
        <v>2.6805631614104568</v>
      </c>
      <c r="BF67">
        <v>2.0499999999999998</v>
      </c>
      <c r="BG67">
        <v>0.46753246753246758</v>
      </c>
      <c r="BH67">
        <v>5.5</v>
      </c>
      <c r="BI67">
        <v>5</v>
      </c>
      <c r="BJ67">
        <v>0.5</v>
      </c>
      <c r="BK67">
        <v>-9.4476531229209293E-2</v>
      </c>
      <c r="BL67">
        <v>-6.8041997791276523E-2</v>
      </c>
      <c r="BM67">
        <v>0</v>
      </c>
      <c r="BN67">
        <v>0</v>
      </c>
      <c r="BO67" t="s">
        <v>193</v>
      </c>
    </row>
    <row r="68" spans="54:67" x14ac:dyDescent="0.35">
      <c r="BB68" t="s">
        <v>60</v>
      </c>
      <c r="BC68">
        <v>2.7424145551184744</v>
      </c>
      <c r="BD68">
        <v>0.62679786074612576</v>
      </c>
      <c r="BE68">
        <v>1.5954106780288353</v>
      </c>
      <c r="BF68">
        <v>1.8</v>
      </c>
      <c r="BG68">
        <v>0.53246753246753253</v>
      </c>
      <c r="BK68">
        <v>9.4330328278593223E-2</v>
      </c>
      <c r="BL68">
        <v>6.7936702426242834E-2</v>
      </c>
      <c r="BM68">
        <v>10.843007607699597</v>
      </c>
      <c r="BN68">
        <v>1.3904655429085366</v>
      </c>
      <c r="BO68" t="s">
        <v>193</v>
      </c>
    </row>
    <row r="69" spans="54:67" x14ac:dyDescent="0.35">
      <c r="BB69" t="s">
        <v>51</v>
      </c>
      <c r="BC69">
        <v>2.3827315361726775</v>
      </c>
      <c r="BD69">
        <v>0.52695357729148229</v>
      </c>
      <c r="BE69">
        <v>1.8977003726589259</v>
      </c>
      <c r="BF69">
        <v>2.35</v>
      </c>
      <c r="BG69">
        <v>0.41249999999999998</v>
      </c>
      <c r="BH69">
        <v>5.5</v>
      </c>
      <c r="BI69">
        <v>5</v>
      </c>
      <c r="BJ69">
        <v>0.5</v>
      </c>
      <c r="BK69">
        <v>0.11445357729148231</v>
      </c>
      <c r="BL69">
        <v>8.2429466365325554E-2</v>
      </c>
      <c r="BM69">
        <v>11.94246836179024</v>
      </c>
      <c r="BN69">
        <v>2.846378736808691</v>
      </c>
      <c r="BO69" t="s">
        <v>193</v>
      </c>
    </row>
    <row r="70" spans="54:67" x14ac:dyDescent="0.35">
      <c r="BB70" t="s">
        <v>39</v>
      </c>
      <c r="BC70">
        <v>2.2330164101010688</v>
      </c>
      <c r="BD70">
        <v>0.47298342193013199</v>
      </c>
      <c r="BE70">
        <v>2.114239006346649</v>
      </c>
      <c r="BF70">
        <v>1.65</v>
      </c>
      <c r="BG70">
        <v>0.58750000000000002</v>
      </c>
      <c r="BK70">
        <v>-0.11451657806986804</v>
      </c>
      <c r="BL70">
        <v>-8.2474839525918955E-2</v>
      </c>
      <c r="BM70">
        <v>0</v>
      </c>
      <c r="BN70">
        <v>0</v>
      </c>
      <c r="BO70" t="s">
        <v>193</v>
      </c>
    </row>
    <row r="71" spans="54:67" x14ac:dyDescent="0.35">
      <c r="BB71" s="38" t="s">
        <v>64</v>
      </c>
      <c r="BC71" s="38">
        <v>3.4515256317347185</v>
      </c>
      <c r="BD71" s="38">
        <v>0.71989153290077001</v>
      </c>
      <c r="BE71" s="38">
        <v>1.3890981547880494</v>
      </c>
      <c r="BF71" s="38">
        <v>1.91</v>
      </c>
      <c r="BG71" s="38">
        <v>0.5</v>
      </c>
      <c r="BH71" s="38">
        <v>5.5</v>
      </c>
      <c r="BI71" s="38">
        <v>5</v>
      </c>
      <c r="BJ71" s="38">
        <v>0.5</v>
      </c>
      <c r="BK71" s="38">
        <v>0.21989153290077001</v>
      </c>
      <c r="BL71" s="38">
        <v>0.15836588199513454</v>
      </c>
      <c r="BM71" s="38">
        <v>27.874741589495382</v>
      </c>
      <c r="BN71" s="38">
        <v>10.452828173967248</v>
      </c>
      <c r="BO71" s="38" t="s">
        <v>192</v>
      </c>
    </row>
    <row r="72" spans="54:67" x14ac:dyDescent="0.35">
      <c r="BB72" t="s">
        <v>53</v>
      </c>
      <c r="BC72">
        <v>2.0556074015349117</v>
      </c>
      <c r="BD72">
        <v>0.27918477914304285</v>
      </c>
      <c r="BE72">
        <v>3.5818571595109807</v>
      </c>
      <c r="BF72">
        <v>1.91</v>
      </c>
      <c r="BG72">
        <v>0.5</v>
      </c>
      <c r="BK72">
        <v>-0.22081522085695715</v>
      </c>
      <c r="BL72">
        <v>-0.15903112206118053</v>
      </c>
      <c r="BM72">
        <v>0</v>
      </c>
      <c r="BN72">
        <v>0</v>
      </c>
      <c r="BO72" t="s">
        <v>193</v>
      </c>
    </row>
    <row r="73" spans="54:67" x14ac:dyDescent="0.35">
      <c r="BB73" t="s">
        <v>61</v>
      </c>
      <c r="BC73">
        <v>2.4918609401880998</v>
      </c>
      <c r="BD73">
        <v>0.43642600797872155</v>
      </c>
      <c r="BE73">
        <v>2.2913391542163914</v>
      </c>
      <c r="BF73">
        <v>2.6</v>
      </c>
      <c r="BG73">
        <v>0.375</v>
      </c>
      <c r="BH73">
        <v>5.5</v>
      </c>
      <c r="BI73">
        <v>5</v>
      </c>
      <c r="BJ73">
        <v>0.5</v>
      </c>
      <c r="BK73">
        <v>6.1426007978721553E-2</v>
      </c>
      <c r="BL73">
        <v>4.4239010946275262E-2</v>
      </c>
      <c r="BM73">
        <v>5.6951014360330401</v>
      </c>
      <c r="BN73">
        <v>0.76717356434759854</v>
      </c>
      <c r="BO73" t="s">
        <v>193</v>
      </c>
    </row>
    <row r="74" spans="54:67" x14ac:dyDescent="0.35">
      <c r="BB74" t="s">
        <v>62</v>
      </c>
      <c r="BC74">
        <v>2.8711057946735608</v>
      </c>
      <c r="BD74">
        <v>0.56331169664866221</v>
      </c>
      <c r="BE74">
        <v>1.775216112055455</v>
      </c>
      <c r="BF74">
        <v>1.56</v>
      </c>
      <c r="BG74">
        <v>0.625</v>
      </c>
      <c r="BK74">
        <v>-6.1688303351337792E-2</v>
      </c>
      <c r="BL74">
        <v>-4.4427916073633472E-2</v>
      </c>
      <c r="BM74">
        <v>0</v>
      </c>
      <c r="BN74">
        <v>0</v>
      </c>
      <c r="BO74" t="s">
        <v>193</v>
      </c>
    </row>
    <row r="75" spans="54:67" x14ac:dyDescent="0.35">
      <c r="BB75" t="s">
        <v>63</v>
      </c>
      <c r="BC75">
        <v>2.7723915040229201</v>
      </c>
      <c r="BD75">
        <v>0.6824860361403543</v>
      </c>
      <c r="BE75">
        <v>1.4652314436428242</v>
      </c>
      <c r="BF75">
        <v>1.69</v>
      </c>
      <c r="BG75">
        <v>0.57106598984771573</v>
      </c>
      <c r="BH75">
        <v>5.5</v>
      </c>
      <c r="BI75">
        <v>5</v>
      </c>
      <c r="BJ75">
        <v>0.5</v>
      </c>
      <c r="BK75">
        <v>0.11142004629263857</v>
      </c>
      <c r="BL75">
        <v>8.0244717339958291E-2</v>
      </c>
      <c r="BM75">
        <v>15.038673006472504</v>
      </c>
      <c r="BN75">
        <v>2.3069535095347309</v>
      </c>
      <c r="BO75" t="s">
        <v>193</v>
      </c>
    </row>
    <row r="76" spans="54:67" x14ac:dyDescent="0.35">
      <c r="BB76" t="s">
        <v>42</v>
      </c>
      <c r="BC76">
        <v>1.739301110565409</v>
      </c>
      <c r="BD76">
        <v>0.3173611958629321</v>
      </c>
      <c r="BE76">
        <v>3.1509838412377889</v>
      </c>
      <c r="BF76">
        <v>2.25</v>
      </c>
      <c r="BG76">
        <v>0.42893401015228422</v>
      </c>
      <c r="BK76">
        <v>-0.11157281428935212</v>
      </c>
      <c r="BL76">
        <v>-8.0354740851191389E-2</v>
      </c>
      <c r="BM76">
        <v>0</v>
      </c>
      <c r="BN76">
        <v>0</v>
      </c>
      <c r="BO76" t="s">
        <v>193</v>
      </c>
    </row>
    <row r="77" spans="54:67" x14ac:dyDescent="0.35">
      <c r="BB77" t="s">
        <v>52</v>
      </c>
      <c r="BC77">
        <v>2.0429781646540732</v>
      </c>
      <c r="BD77">
        <v>0.6578193738009569</v>
      </c>
      <c r="BE77">
        <v>1.5201741387181766</v>
      </c>
      <c r="BF77">
        <v>1.74</v>
      </c>
      <c r="BG77">
        <v>0.5526992287917738</v>
      </c>
      <c r="BH77">
        <v>5.5</v>
      </c>
      <c r="BI77">
        <v>5</v>
      </c>
      <c r="BJ77">
        <v>0.5</v>
      </c>
      <c r="BK77">
        <v>0.1051201450091831</v>
      </c>
      <c r="BL77">
        <v>7.5707528435613666E-2</v>
      </c>
      <c r="BM77">
        <v>13.218525236786434</v>
      </c>
      <c r="BN77">
        <v>1.9114742324864604</v>
      </c>
      <c r="BO77" t="s">
        <v>193</v>
      </c>
    </row>
    <row r="78" spans="54:67" x14ac:dyDescent="0.35">
      <c r="BB78" t="s">
        <v>38</v>
      </c>
      <c r="BC78">
        <v>1.2756353657577304</v>
      </c>
      <c r="BD78">
        <v>0.34217041472849696</v>
      </c>
      <c r="BE78">
        <v>2.9225203493805072</v>
      </c>
      <c r="BF78">
        <v>2.15</v>
      </c>
      <c r="BG78">
        <v>0.44730077120822626</v>
      </c>
      <c r="BK78">
        <v>-0.10513035647972929</v>
      </c>
      <c r="BL78">
        <v>-7.5714882736701031E-2</v>
      </c>
      <c r="BM78">
        <v>0</v>
      </c>
      <c r="BN78">
        <v>0</v>
      </c>
      <c r="BO78" t="s">
        <v>193</v>
      </c>
    </row>
    <row r="79" spans="54:67" x14ac:dyDescent="0.35">
      <c r="BB79" s="38" t="s">
        <v>44</v>
      </c>
      <c r="BC79" s="38">
        <v>3.1138657372866456</v>
      </c>
      <c r="BD79" s="38">
        <v>0.66768376667695994</v>
      </c>
      <c r="BE79" s="38">
        <v>1.4977150110702362</v>
      </c>
      <c r="BF79" s="38">
        <v>2.1</v>
      </c>
      <c r="BG79" s="38">
        <v>0.4573643410852713</v>
      </c>
      <c r="BH79" s="38">
        <v>5.5</v>
      </c>
      <c r="BI79" s="38">
        <v>5</v>
      </c>
      <c r="BJ79" s="38">
        <v>0.5</v>
      </c>
      <c r="BK79" s="38">
        <v>0.21031942559168865</v>
      </c>
      <c r="BL79" s="38">
        <v>0.15147205031113414</v>
      </c>
      <c r="BM79" s="38">
        <v>24.729164997729264</v>
      </c>
      <c r="BN79" s="38">
        <v>9.9444852704365481</v>
      </c>
      <c r="BO79" s="38" t="s">
        <v>192</v>
      </c>
    </row>
    <row r="80" spans="54:67" x14ac:dyDescent="0.35">
      <c r="BB80" t="s">
        <v>49</v>
      </c>
      <c r="BC80">
        <v>2.1004588937403468</v>
      </c>
      <c r="BD80">
        <v>0.33190549329938629</v>
      </c>
      <c r="BE80">
        <v>3.0129058427423416</v>
      </c>
      <c r="BF80">
        <v>1.77</v>
      </c>
      <c r="BG80">
        <v>0.54263565891472865</v>
      </c>
      <c r="BK80">
        <v>-0.21073016561534236</v>
      </c>
      <c r="BL80">
        <v>-0.15176786527616956</v>
      </c>
      <c r="BM80">
        <v>0</v>
      </c>
      <c r="BN80">
        <v>0</v>
      </c>
      <c r="BO80" t="s">
        <v>193</v>
      </c>
    </row>
    <row r="81" spans="54:67" x14ac:dyDescent="0.35">
      <c r="BB81" s="38" t="s">
        <v>54</v>
      </c>
      <c r="BC81" s="38">
        <v>4.1959862282161113</v>
      </c>
      <c r="BD81" s="38">
        <v>0.79620826834627823</v>
      </c>
      <c r="BE81" s="38">
        <v>1.2559527949602891</v>
      </c>
      <c r="BF81" s="38">
        <v>2.4500000000000002</v>
      </c>
      <c r="BG81" s="38">
        <v>0.39655172413793105</v>
      </c>
      <c r="BH81" s="38">
        <v>5.5</v>
      </c>
      <c r="BI81" s="38">
        <v>5</v>
      </c>
      <c r="BJ81" s="38">
        <v>0.5</v>
      </c>
      <c r="BK81" s="38">
        <v>0.39965654420834718</v>
      </c>
      <c r="BL81" s="38">
        <v>0.2878326431388516</v>
      </c>
      <c r="BM81" s="38">
        <v>40.089943533431274</v>
      </c>
      <c r="BN81" s="38">
        <v>38.11392053775954</v>
      </c>
      <c r="BO81" s="38" t="s">
        <v>192</v>
      </c>
    </row>
    <row r="82" spans="54:67" x14ac:dyDescent="0.35">
      <c r="BB82" t="s">
        <v>67</v>
      </c>
      <c r="BC82">
        <v>2.0721720837073692</v>
      </c>
      <c r="BD82">
        <v>0.19973973036099518</v>
      </c>
      <c r="BE82">
        <v>5.0065152195443146</v>
      </c>
      <c r="BF82">
        <v>1.61</v>
      </c>
      <c r="BG82">
        <v>0.60344827586206906</v>
      </c>
      <c r="BK82">
        <v>-0.40370854550107388</v>
      </c>
      <c r="BL82">
        <v>-0.2907508944698734</v>
      </c>
      <c r="BM82">
        <v>0</v>
      </c>
      <c r="BN82">
        <v>0</v>
      </c>
      <c r="BO82" t="s">
        <v>193</v>
      </c>
    </row>
    <row r="83" spans="54:67" x14ac:dyDescent="0.35">
      <c r="BB83" s="38" t="s">
        <v>53</v>
      </c>
      <c r="BC83" s="38">
        <v>4.1114165214561753</v>
      </c>
      <c r="BD83" s="38">
        <v>0.89719470187418326</v>
      </c>
      <c r="BE83" s="38">
        <v>1.1145852710800264</v>
      </c>
      <c r="BF83" s="38">
        <v>1.45</v>
      </c>
      <c r="BG83" s="38">
        <v>0.6588235294117647</v>
      </c>
      <c r="BH83" s="38">
        <v>5.5</v>
      </c>
      <c r="BI83" s="38">
        <v>5</v>
      </c>
      <c r="BJ83" s="38">
        <v>0.5</v>
      </c>
      <c r="BK83" s="38">
        <v>0.23837117246241857</v>
      </c>
      <c r="BL83" s="38">
        <v>0.17167491840743385</v>
      </c>
      <c r="BM83" s="38">
        <v>40.889479602191969</v>
      </c>
      <c r="BN83" s="38">
        <v>12.304965866952756</v>
      </c>
      <c r="BO83" s="38" t="s">
        <v>192</v>
      </c>
    </row>
    <row r="84" spans="54:67" x14ac:dyDescent="0.35">
      <c r="BB84" t="s">
        <v>58</v>
      </c>
      <c r="BC84">
        <v>1.1931748446063219</v>
      </c>
      <c r="BD84">
        <v>9.9324518096937958E-2</v>
      </c>
      <c r="BE84">
        <v>10.068007569128378</v>
      </c>
      <c r="BF84">
        <v>2.8</v>
      </c>
      <c r="BG84">
        <v>0.34117647058823525</v>
      </c>
      <c r="BK84">
        <v>-0.24185195249129729</v>
      </c>
      <c r="BL84">
        <v>-0.17418177618423231</v>
      </c>
      <c r="BM84">
        <v>0</v>
      </c>
      <c r="BN84">
        <v>0</v>
      </c>
      <c r="BO84" t="s">
        <v>193</v>
      </c>
    </row>
    <row r="85" spans="54:67" x14ac:dyDescent="0.35">
      <c r="BB85" s="38" t="s">
        <v>59</v>
      </c>
      <c r="BC85" s="38">
        <v>3.5099740370670167</v>
      </c>
      <c r="BD85" s="38">
        <v>0.67799620361745261</v>
      </c>
      <c r="BE85" s="38">
        <v>1.4749345124124504</v>
      </c>
      <c r="BF85" s="38">
        <v>2.6</v>
      </c>
      <c r="BG85" s="38">
        <v>0.375</v>
      </c>
      <c r="BH85" s="38">
        <v>5.5</v>
      </c>
      <c r="BI85" s="38">
        <v>5</v>
      </c>
      <c r="BJ85" s="38">
        <v>0.5</v>
      </c>
      <c r="BK85" s="38">
        <v>0.30299620361745261</v>
      </c>
      <c r="BL85" s="38">
        <v>0.21821786584528935</v>
      </c>
      <c r="BM85" s="38">
        <v>29.150120143992655</v>
      </c>
      <c r="BN85" s="38">
        <v>22.235423916818441</v>
      </c>
      <c r="BO85" s="38" t="s">
        <v>192</v>
      </c>
    </row>
    <row r="86" spans="54:67" x14ac:dyDescent="0.35">
      <c r="BB86" t="s">
        <v>40</v>
      </c>
      <c r="BC86">
        <v>2.3628195126333815</v>
      </c>
      <c r="BD86">
        <v>0.32092385307375143</v>
      </c>
      <c r="BE86">
        <v>3.1160039692350017</v>
      </c>
      <c r="BF86">
        <v>1.56</v>
      </c>
      <c r="BG86">
        <v>0.625</v>
      </c>
      <c r="BK86">
        <v>-0.30407614692624857</v>
      </c>
      <c r="BL86">
        <v>-0.21899564101628421</v>
      </c>
      <c r="BM86">
        <v>0</v>
      </c>
      <c r="BN86">
        <v>0</v>
      </c>
      <c r="BO86" t="s">
        <v>193</v>
      </c>
    </row>
    <row r="87" spans="54:67" x14ac:dyDescent="0.35">
      <c r="BB87" s="38" t="s">
        <v>66</v>
      </c>
      <c r="BC87" s="38">
        <v>3.2455657237843605</v>
      </c>
      <c r="BD87" s="38">
        <v>0.70441239603442751</v>
      </c>
      <c r="BE87" s="38">
        <v>1.4196229447829392</v>
      </c>
      <c r="BF87" s="38">
        <v>1.91</v>
      </c>
      <c r="BG87" s="38">
        <v>0.5</v>
      </c>
      <c r="BH87" s="38">
        <v>5.5</v>
      </c>
      <c r="BI87" s="38">
        <v>5</v>
      </c>
      <c r="BJ87" s="38">
        <v>0.5</v>
      </c>
      <c r="BK87" s="38">
        <v>0.20441239603442751</v>
      </c>
      <c r="BL87" s="38">
        <v>0.1472178076239947</v>
      </c>
      <c r="BM87" s="38">
        <v>23.209779047155756</v>
      </c>
      <c r="BN87" s="38">
        <v>8.0173000466142224</v>
      </c>
      <c r="BO87" s="38" t="s">
        <v>192</v>
      </c>
    </row>
    <row r="88" spans="54:67" x14ac:dyDescent="0.35">
      <c r="BB88" t="s">
        <v>65</v>
      </c>
      <c r="BC88">
        <v>1.9899099098711299</v>
      </c>
      <c r="BD88">
        <v>0.29502202067079353</v>
      </c>
      <c r="BE88">
        <v>3.3895774889152115</v>
      </c>
      <c r="BF88">
        <v>1.91</v>
      </c>
      <c r="BG88">
        <v>0.5</v>
      </c>
      <c r="BK88">
        <v>-0.20497797932920647</v>
      </c>
      <c r="BL88">
        <v>-0.14762514071289448</v>
      </c>
      <c r="BM88">
        <v>0</v>
      </c>
      <c r="BN88">
        <v>0</v>
      </c>
      <c r="BO88" t="s">
        <v>193</v>
      </c>
    </row>
    <row r="89" spans="54:67" x14ac:dyDescent="0.35">
      <c r="BB89" t="s">
        <v>44</v>
      </c>
      <c r="BC89">
        <v>1.7277148994762876</v>
      </c>
      <c r="BD89">
        <v>0.27857152216081404</v>
      </c>
      <c r="BE89">
        <v>3.5897423837269304</v>
      </c>
      <c r="BF89">
        <v>2.25</v>
      </c>
      <c r="BG89">
        <v>0.42893401015228422</v>
      </c>
      <c r="BH89">
        <v>5.5</v>
      </c>
      <c r="BI89">
        <v>5</v>
      </c>
      <c r="BJ89">
        <v>0.5</v>
      </c>
      <c r="BK89">
        <v>-0.15036248799147017</v>
      </c>
      <c r="BL89">
        <v>-0.10829106385145681</v>
      </c>
      <c r="BM89">
        <v>0</v>
      </c>
      <c r="BN89">
        <v>0</v>
      </c>
      <c r="BO89" t="s">
        <v>193</v>
      </c>
    </row>
    <row r="90" spans="54:67" x14ac:dyDescent="0.35">
      <c r="BB90" t="s">
        <v>64</v>
      </c>
      <c r="BC90">
        <v>3.033403368107479</v>
      </c>
      <c r="BD90">
        <v>0.72110587834350248</v>
      </c>
      <c r="BE90">
        <v>1.3867589074397266</v>
      </c>
      <c r="BF90">
        <v>1.69</v>
      </c>
      <c r="BG90">
        <v>0.57106598984771573</v>
      </c>
      <c r="BK90">
        <v>0.15003988849578676</v>
      </c>
      <c r="BL90">
        <v>0.10805872769466561</v>
      </c>
      <c r="BM90">
        <v>14.293083828913163</v>
      </c>
      <c r="BN90">
        <v>3.1254534101657336</v>
      </c>
      <c r="BO90" t="s">
        <v>193</v>
      </c>
    </row>
    <row r="91" spans="54:67" x14ac:dyDescent="0.35">
      <c r="BB91" s="38" t="s">
        <v>47</v>
      </c>
      <c r="BC91" s="38">
        <v>3.9181943237876471</v>
      </c>
      <c r="BD91" s="38">
        <v>0.68730104218823107</v>
      </c>
      <c r="BE91" s="38">
        <v>1.4549665119322344</v>
      </c>
      <c r="BF91" s="38">
        <v>2.0499999999999998</v>
      </c>
      <c r="BG91" s="38">
        <v>0.46753246753246758</v>
      </c>
      <c r="BH91" s="38">
        <v>5.5</v>
      </c>
      <c r="BI91" s="38">
        <v>5</v>
      </c>
      <c r="BJ91" s="38">
        <v>0.5</v>
      </c>
      <c r="BK91" s="38">
        <v>0.21976857465576349</v>
      </c>
      <c r="BL91" s="38">
        <v>0.15827732746708087</v>
      </c>
      <c r="BM91" s="38">
        <v>17.566573396187977</v>
      </c>
      <c r="BN91" s="38">
        <v>7.1841512197079256</v>
      </c>
      <c r="BO91" s="38" t="s">
        <v>192</v>
      </c>
    </row>
    <row r="92" spans="54:67" ht="14.5" customHeight="1" x14ac:dyDescent="0.35">
      <c r="BB92" t="s">
        <v>50</v>
      </c>
      <c r="BC92">
        <v>2.6315761184329767</v>
      </c>
      <c r="BD92">
        <v>0.31017033503273084</v>
      </c>
      <c r="BE92">
        <v>3.224034948069662</v>
      </c>
      <c r="BF92">
        <v>1.8</v>
      </c>
      <c r="BG92">
        <v>0.53246753246753253</v>
      </c>
      <c r="BK92">
        <v>-0.2222971974348017</v>
      </c>
      <c r="BL92">
        <v>-0.16009844159254416</v>
      </c>
      <c r="BM92">
        <v>0</v>
      </c>
      <c r="BN92">
        <v>0</v>
      </c>
      <c r="BO92" t="s">
        <v>193</v>
      </c>
    </row>
    <row r="93" spans="54:67" ht="14.5" customHeight="1" x14ac:dyDescent="0.35">
      <c r="BB93" t="s">
        <v>63</v>
      </c>
      <c r="BC93">
        <v>2.0786345887933511</v>
      </c>
      <c r="BD93">
        <v>0.49338738430247514</v>
      </c>
      <c r="BE93">
        <v>2.0268049646501334</v>
      </c>
      <c r="BF93">
        <v>1.8</v>
      </c>
      <c r="BG93">
        <v>0.53246753246753253</v>
      </c>
      <c r="BH93">
        <v>5.5</v>
      </c>
      <c r="BI93">
        <v>5</v>
      </c>
      <c r="BJ93">
        <v>0.5</v>
      </c>
      <c r="BK93">
        <v>-3.9080148165057393E-2</v>
      </c>
      <c r="BL93">
        <v>-2.8145522708474334E-2</v>
      </c>
      <c r="BM93">
        <v>0</v>
      </c>
      <c r="BN93">
        <v>0</v>
      </c>
      <c r="BO93" t="s">
        <v>193</v>
      </c>
    </row>
    <row r="94" spans="54:67" x14ac:dyDescent="0.35">
      <c r="BB94" t="s">
        <v>42</v>
      </c>
      <c r="BC94">
        <v>2.1136130610423343</v>
      </c>
      <c r="BD94">
        <v>0.50658701911760906</v>
      </c>
      <c r="BE94">
        <v>1.9739945207080807</v>
      </c>
      <c r="BF94">
        <v>2.0499999999999998</v>
      </c>
      <c r="BG94">
        <v>0.46753246753246758</v>
      </c>
      <c r="BK94">
        <v>3.9054551585141484E-2</v>
      </c>
      <c r="BL94">
        <v>2.8127088051618895E-2</v>
      </c>
      <c r="BM94">
        <v>1.6538556570566501</v>
      </c>
      <c r="BN94">
        <v>6.3679048029552043E-2</v>
      </c>
      <c r="BO94" t="s">
        <v>193</v>
      </c>
    </row>
    <row r="95" spans="54:67" x14ac:dyDescent="0.35">
      <c r="BB95" t="s">
        <v>41</v>
      </c>
      <c r="BC95">
        <v>1.697306438023481</v>
      </c>
      <c r="BD95">
        <v>0.52538013188954436</v>
      </c>
      <c r="BE95">
        <v>1.9033837393193229</v>
      </c>
      <c r="BF95">
        <v>2.4500000000000002</v>
      </c>
      <c r="BG95">
        <v>0.39655172413793105</v>
      </c>
      <c r="BH95">
        <v>5.5</v>
      </c>
      <c r="BI95">
        <v>5</v>
      </c>
      <c r="BJ95">
        <v>0.5</v>
      </c>
      <c r="BK95">
        <v>0.12882840775161331</v>
      </c>
      <c r="BL95">
        <v>9.2782219262711893E-2</v>
      </c>
      <c r="BM95">
        <v>8.9325639249542057</v>
      </c>
      <c r="BN95">
        <v>2.5652655269061491</v>
      </c>
      <c r="BO95" t="s">
        <v>193</v>
      </c>
    </row>
    <row r="96" spans="54:67" x14ac:dyDescent="0.35">
      <c r="BB96" t="s">
        <v>56</v>
      </c>
      <c r="BC96">
        <v>1.5771832837612607</v>
      </c>
      <c r="BD96">
        <v>0.47461717813409526</v>
      </c>
      <c r="BE96">
        <v>2.1069612438626621</v>
      </c>
      <c r="BF96">
        <v>1.61</v>
      </c>
      <c r="BG96">
        <v>0.60344827586206906</v>
      </c>
      <c r="BK96">
        <v>-0.1288310977279738</v>
      </c>
      <c r="BL96">
        <v>-9.2784156583686717E-2</v>
      </c>
      <c r="BM96">
        <v>0</v>
      </c>
      <c r="BN96">
        <v>0</v>
      </c>
      <c r="BO96" t="s">
        <v>193</v>
      </c>
    </row>
    <row r="97" spans="54:67" x14ac:dyDescent="0.35">
      <c r="BB97" s="38" t="s">
        <v>51</v>
      </c>
      <c r="BC97" s="38">
        <v>3.4416367867293927</v>
      </c>
      <c r="BD97" s="38">
        <v>0.57573841761861921</v>
      </c>
      <c r="BE97" s="38">
        <v>1.7368999000209506</v>
      </c>
      <c r="BF97" s="38">
        <v>2.65</v>
      </c>
      <c r="BG97" s="38">
        <v>0.36602870813397131</v>
      </c>
      <c r="BH97" s="38">
        <v>5.5</v>
      </c>
      <c r="BI97" s="38">
        <v>5</v>
      </c>
      <c r="BJ97" s="38">
        <v>0.5</v>
      </c>
      <c r="BK97" s="38">
        <v>0.2097097094846479</v>
      </c>
      <c r="BL97" s="38">
        <v>0.1510329327708434</v>
      </c>
      <c r="BM97" s="38">
        <v>14.369696612156263</v>
      </c>
      <c r="BN97" s="38">
        <v>7.5542473190713091</v>
      </c>
      <c r="BO97" s="38" t="s">
        <v>192</v>
      </c>
    </row>
    <row r="98" spans="54:67" x14ac:dyDescent="0.35">
      <c r="BB98" t="s">
        <v>62</v>
      </c>
      <c r="BC98">
        <v>2.9435117896537371</v>
      </c>
      <c r="BD98">
        <v>0.42311983778717505</v>
      </c>
      <c r="BE98">
        <v>2.3633966330432132</v>
      </c>
      <c r="BF98">
        <v>1.53</v>
      </c>
      <c r="BG98">
        <v>0.63397129186602874</v>
      </c>
      <c r="BK98">
        <v>-0.2108514540788537</v>
      </c>
      <c r="BL98">
        <v>-0.15185521722759043</v>
      </c>
      <c r="BM98">
        <v>0</v>
      </c>
      <c r="BN98">
        <v>0</v>
      </c>
      <c r="BO98" t="s">
        <v>193</v>
      </c>
    </row>
    <row r="99" spans="54:67" x14ac:dyDescent="0.35">
      <c r="BB99" s="38" t="s">
        <v>38</v>
      </c>
      <c r="BC99" s="38">
        <v>1.7103744136488348</v>
      </c>
      <c r="BD99" s="38">
        <v>0.57558451110647846</v>
      </c>
      <c r="BE99" s="38">
        <v>1.7373643326114592</v>
      </c>
      <c r="BF99" s="38">
        <v>2.4</v>
      </c>
      <c r="BG99" s="38">
        <v>0.40446650124069478</v>
      </c>
      <c r="BH99" s="38">
        <v>5.5</v>
      </c>
      <c r="BI99" s="38">
        <v>5</v>
      </c>
      <c r="BJ99" s="38">
        <v>0.5</v>
      </c>
      <c r="BK99" s="38">
        <v>0.17111800986578368</v>
      </c>
      <c r="BL99" s="38">
        <v>0.1232391907053374</v>
      </c>
      <c r="BM99" s="38">
        <v>12.286942183537175</v>
      </c>
      <c r="BN99" s="38">
        <v>4.6862744797543732</v>
      </c>
      <c r="BO99" s="38" t="s">
        <v>192</v>
      </c>
    </row>
    <row r="100" spans="54:67" x14ac:dyDescent="0.35">
      <c r="BB100" t="s">
        <v>39</v>
      </c>
      <c r="BC100">
        <v>1.3613764253948626</v>
      </c>
      <c r="BD100">
        <v>0.42441334182701135</v>
      </c>
      <c r="BE100">
        <v>2.356193600548012</v>
      </c>
      <c r="BF100">
        <v>1.63</v>
      </c>
      <c r="BG100">
        <v>0.59553349875930517</v>
      </c>
      <c r="BK100">
        <v>-0.17112015693229382</v>
      </c>
      <c r="BL100">
        <v>-0.12324073702263801</v>
      </c>
      <c r="BM100">
        <v>0</v>
      </c>
      <c r="BN100">
        <v>0</v>
      </c>
      <c r="BO100" t="s">
        <v>193</v>
      </c>
    </row>
    <row r="101" spans="54:67" x14ac:dyDescent="0.35">
      <c r="BB101" t="s">
        <v>68</v>
      </c>
      <c r="BC101">
        <v>1.249339183929504</v>
      </c>
      <c r="BD101">
        <v>0.36717570558931972</v>
      </c>
      <c r="BE101">
        <v>2.7234917364562357</v>
      </c>
      <c r="BF101">
        <v>2.15</v>
      </c>
      <c r="BG101">
        <v>0.44730077120822626</v>
      </c>
      <c r="BH101">
        <v>5.5</v>
      </c>
      <c r="BI101">
        <v>5</v>
      </c>
      <c r="BJ101">
        <v>0.5</v>
      </c>
      <c r="BK101">
        <v>-8.0125065618906532E-2</v>
      </c>
      <c r="BL101">
        <v>-5.7706072258736481E-2</v>
      </c>
      <c r="BM101">
        <v>0</v>
      </c>
      <c r="BN101">
        <v>0</v>
      </c>
      <c r="BO101" t="s">
        <v>193</v>
      </c>
    </row>
    <row r="102" spans="54:67" x14ac:dyDescent="0.35">
      <c r="BB102" t="s">
        <v>46</v>
      </c>
      <c r="BC102">
        <v>1.8734376105100277</v>
      </c>
      <c r="BD102">
        <v>0.63281966345212226</v>
      </c>
      <c r="BE102">
        <v>1.5802290253511659</v>
      </c>
      <c r="BF102">
        <v>1.74</v>
      </c>
      <c r="BG102">
        <v>0.5526992287917738</v>
      </c>
      <c r="BK102">
        <v>8.0120434660348461E-2</v>
      </c>
      <c r="BL102">
        <v>5.7702737042382955E-2</v>
      </c>
      <c r="BM102">
        <v>6.1621756457658909</v>
      </c>
      <c r="BN102">
        <v>0.62303425205250695</v>
      </c>
      <c r="BO102" t="s">
        <v>193</v>
      </c>
    </row>
    <row r="103" spans="54:67" x14ac:dyDescent="0.35">
      <c r="BB103" t="s">
        <v>52</v>
      </c>
      <c r="BC103">
        <v>1.9806680232489806</v>
      </c>
      <c r="BD103">
        <v>0.70204862817572355</v>
      </c>
      <c r="BE103">
        <v>1.4244027548326736</v>
      </c>
      <c r="BF103">
        <v>1.65</v>
      </c>
      <c r="BG103">
        <v>0.58750000000000002</v>
      </c>
      <c r="BH103">
        <v>5.5</v>
      </c>
      <c r="BI103">
        <v>5</v>
      </c>
      <c r="BJ103">
        <v>0.5</v>
      </c>
      <c r="BK103">
        <v>0.11454862817572353</v>
      </c>
      <c r="BL103">
        <v>8.2497922012156083E-2</v>
      </c>
      <c r="BM103">
        <v>10.989440285136173</v>
      </c>
      <c r="BN103">
        <v>1.7405101512519829</v>
      </c>
      <c r="BO103" t="s">
        <v>193</v>
      </c>
    </row>
    <row r="104" spans="54:67" x14ac:dyDescent="0.35">
      <c r="BB104" t="s">
        <v>61</v>
      </c>
      <c r="BC104">
        <v>1.0278226169422333</v>
      </c>
      <c r="BD104">
        <v>0.29794376070445394</v>
      </c>
      <c r="BE104">
        <v>3.3563381143998936</v>
      </c>
      <c r="BF104">
        <v>2.35</v>
      </c>
      <c r="BG104">
        <v>0.41249999999999998</v>
      </c>
      <c r="BK104">
        <v>-0.11455623929554604</v>
      </c>
      <c r="BL104">
        <v>-8.2503403540652248E-2</v>
      </c>
      <c r="BM104">
        <v>0</v>
      </c>
      <c r="BN104">
        <v>0</v>
      </c>
      <c r="BO104" t="s">
        <v>193</v>
      </c>
    </row>
    <row r="105" spans="54:67" x14ac:dyDescent="0.35">
      <c r="BB105" t="s">
        <v>45</v>
      </c>
      <c r="BC105">
        <v>2.5394806569901487</v>
      </c>
      <c r="BD105">
        <v>0.50331811252078962</v>
      </c>
      <c r="BE105">
        <v>1.9868150482239895</v>
      </c>
      <c r="BF105">
        <v>1.95</v>
      </c>
      <c r="BG105">
        <v>0.48952879581151842</v>
      </c>
      <c r="BH105">
        <v>5.5</v>
      </c>
      <c r="BI105">
        <v>5</v>
      </c>
      <c r="BJ105">
        <v>0.5</v>
      </c>
      <c r="BK105">
        <v>1.3789316709271193E-2</v>
      </c>
      <c r="BL105">
        <v>9.9310658940171131E-3</v>
      </c>
      <c r="BM105">
        <v>0</v>
      </c>
      <c r="BN105">
        <v>0</v>
      </c>
      <c r="BO105" t="s">
        <v>193</v>
      </c>
    </row>
    <row r="106" spans="54:67" x14ac:dyDescent="0.35">
      <c r="BB106" t="s">
        <v>43</v>
      </c>
      <c r="BC106">
        <v>2.5198685126787548</v>
      </c>
      <c r="BD106">
        <v>0.49654518430758166</v>
      </c>
      <c r="BE106">
        <v>2.0139154131450736</v>
      </c>
      <c r="BF106">
        <v>1.87</v>
      </c>
      <c r="BG106">
        <v>0.51047120418848169</v>
      </c>
      <c r="BK106">
        <v>-1.3926019880900031E-2</v>
      </c>
      <c r="BL106">
        <v>-1.0029519518224202E-2</v>
      </c>
      <c r="BM106">
        <v>0</v>
      </c>
      <c r="BN106">
        <v>0</v>
      </c>
      <c r="BO106" t="s">
        <v>193</v>
      </c>
    </row>
    <row r="107" spans="54:67" x14ac:dyDescent="0.35">
      <c r="BB107" t="s">
        <v>60</v>
      </c>
      <c r="BC107">
        <v>3.1215265114875197</v>
      </c>
      <c r="BD107">
        <v>0.54922517545460214</v>
      </c>
      <c r="BE107">
        <v>1.8207468351615248</v>
      </c>
      <c r="BF107">
        <v>1.87</v>
      </c>
      <c r="BG107">
        <v>0.51047120418848169</v>
      </c>
      <c r="BH107">
        <v>5.5</v>
      </c>
      <c r="BI107">
        <v>5</v>
      </c>
      <c r="BJ107">
        <v>0.5</v>
      </c>
      <c r="BK107">
        <v>3.8753971266120457E-2</v>
      </c>
      <c r="BL107">
        <v>2.7910610105859952E-2</v>
      </c>
      <c r="BM107">
        <v>1.4023398279935173</v>
      </c>
      <c r="BN107">
        <v>3.7934804209942108E-2</v>
      </c>
      <c r="BO107" t="s">
        <v>193</v>
      </c>
    </row>
    <row r="108" spans="54:67" x14ac:dyDescent="0.35">
      <c r="BB108" t="s">
        <v>67</v>
      </c>
      <c r="BC108">
        <v>2.8110460334505767</v>
      </c>
      <c r="BD108">
        <v>0.45019975708612547</v>
      </c>
      <c r="BE108">
        <v>2.2212362051734624</v>
      </c>
      <c r="BF108">
        <v>1.95</v>
      </c>
      <c r="BG108">
        <v>0.48952879581151842</v>
      </c>
      <c r="BK108">
        <v>-3.9329038725392951E-2</v>
      </c>
      <c r="BL108">
        <v>-2.8324773690028001E-2</v>
      </c>
      <c r="BM108">
        <v>0</v>
      </c>
      <c r="BN108">
        <v>0</v>
      </c>
      <c r="BO108" t="s">
        <v>193</v>
      </c>
    </row>
    <row r="109" spans="54:67" x14ac:dyDescent="0.35">
      <c r="BB109" s="38" t="s">
        <v>53</v>
      </c>
      <c r="BC109" s="38">
        <v>3.6579827811483194</v>
      </c>
      <c r="BD109" s="38">
        <v>0.84015751618584023</v>
      </c>
      <c r="BE109" s="38">
        <v>1.1902529951047931</v>
      </c>
      <c r="BF109" s="38">
        <v>1.48</v>
      </c>
      <c r="BG109" s="38">
        <v>0.65011820330969272</v>
      </c>
      <c r="BH109" s="38">
        <v>5.5</v>
      </c>
      <c r="BI109" s="38">
        <v>5</v>
      </c>
      <c r="BJ109" s="38">
        <v>0.5</v>
      </c>
      <c r="BK109" s="38">
        <v>0.1900393128761475</v>
      </c>
      <c r="BL109" s="38">
        <v>0.13686631313340142</v>
      </c>
      <c r="BM109" s="38">
        <v>22.312471558909408</v>
      </c>
      <c r="BN109" s="38">
        <v>5.4315946547433764</v>
      </c>
      <c r="BO109" s="38" t="s">
        <v>192</v>
      </c>
    </row>
    <row r="110" spans="54:67" x14ac:dyDescent="0.35">
      <c r="BB110" t="s">
        <v>58</v>
      </c>
      <c r="BC110">
        <v>1.4024725665003401</v>
      </c>
      <c r="BD110">
        <v>0.15840283350714066</v>
      </c>
      <c r="BE110">
        <v>6.3130183839477905</v>
      </c>
      <c r="BF110">
        <v>2.75</v>
      </c>
      <c r="BG110">
        <v>0.34988179669030739</v>
      </c>
      <c r="BK110">
        <v>-0.19147896318316673</v>
      </c>
      <c r="BL110">
        <v>-0.13790314928451666</v>
      </c>
      <c r="BM110">
        <v>0</v>
      </c>
      <c r="BN110">
        <v>0</v>
      </c>
      <c r="BO110" t="s">
        <v>193</v>
      </c>
    </row>
    <row r="111" spans="54:67" x14ac:dyDescent="0.35">
      <c r="BB111" s="38" t="s">
        <v>41</v>
      </c>
      <c r="BC111" s="38">
        <v>1.7612099447481657</v>
      </c>
      <c r="BD111" s="38">
        <v>0.59104845303920295</v>
      </c>
      <c r="BE111" s="38">
        <v>1.6919086664687915</v>
      </c>
      <c r="BF111" s="38">
        <v>2.25</v>
      </c>
      <c r="BG111" s="38">
        <v>0.42893401015228422</v>
      </c>
      <c r="BH111" s="38">
        <v>5.5</v>
      </c>
      <c r="BI111" s="38">
        <v>5</v>
      </c>
      <c r="BJ111" s="38">
        <v>0.5</v>
      </c>
      <c r="BK111" s="38">
        <v>0.16211444288691873</v>
      </c>
      <c r="BL111" s="38">
        <v>0.11675482176715886</v>
      </c>
      <c r="BM111" s="38">
        <v>11.609876376956805</v>
      </c>
      <c r="BN111" s="38">
        <v>3.8296224363407827</v>
      </c>
      <c r="BO111" s="38" t="s">
        <v>192</v>
      </c>
    </row>
    <row r="112" spans="54:67" x14ac:dyDescent="0.35">
      <c r="BB112" t="s">
        <v>54</v>
      </c>
      <c r="BC112">
        <v>1.3382035572822648</v>
      </c>
      <c r="BD112">
        <v>0.40894881877645933</v>
      </c>
      <c r="BE112">
        <v>2.4452937729271755</v>
      </c>
      <c r="BF112">
        <v>1.69</v>
      </c>
      <c r="BG112">
        <v>0.57106598984771573</v>
      </c>
      <c r="BK112">
        <v>-0.16211717107125639</v>
      </c>
      <c r="BL112">
        <v>-0.11675678660551884</v>
      </c>
      <c r="BM112">
        <v>0</v>
      </c>
      <c r="BN112">
        <v>0</v>
      </c>
      <c r="BO112" t="s">
        <v>193</v>
      </c>
    </row>
    <row r="113" spans="54:67" x14ac:dyDescent="0.35">
      <c r="BB113" t="s">
        <v>55</v>
      </c>
      <c r="BC113">
        <v>2.301644122192311</v>
      </c>
      <c r="BD113">
        <v>0.54029750491250206</v>
      </c>
      <c r="BE113">
        <v>1.8508321635909535</v>
      </c>
      <c r="BF113">
        <v>1.63</v>
      </c>
      <c r="BG113">
        <v>0.59553349875930517</v>
      </c>
      <c r="BH113">
        <v>5.5</v>
      </c>
      <c r="BI113">
        <v>5</v>
      </c>
      <c r="BJ113">
        <v>0.5</v>
      </c>
      <c r="BK113">
        <v>-5.5235993846803111E-2</v>
      </c>
      <c r="BL113">
        <v>-3.9780962768467598E-2</v>
      </c>
      <c r="BM113">
        <v>0</v>
      </c>
      <c r="BN113">
        <v>0</v>
      </c>
      <c r="BO113" t="s">
        <v>193</v>
      </c>
    </row>
    <row r="114" spans="54:67" x14ac:dyDescent="0.35">
      <c r="BB114" t="s">
        <v>48</v>
      </c>
      <c r="BC114">
        <v>2.0831201303360456</v>
      </c>
      <c r="BD114">
        <v>0.45966075699167774</v>
      </c>
      <c r="BE114">
        <v>2.175517454534639</v>
      </c>
      <c r="BF114">
        <v>2.4</v>
      </c>
      <c r="BG114">
        <v>0.40446650124069478</v>
      </c>
      <c r="BK114">
        <v>5.5194255750982968E-2</v>
      </c>
      <c r="BL114">
        <v>3.9750902991857934E-2</v>
      </c>
      <c r="BM114">
        <v>3.2426585148052407</v>
      </c>
      <c r="BN114">
        <v>0.33459636738888654</v>
      </c>
      <c r="BO114" t="s">
        <v>193</v>
      </c>
    </row>
    <row r="115" spans="54:67" x14ac:dyDescent="0.35">
      <c r="BB115" t="s">
        <v>49</v>
      </c>
      <c r="BC115">
        <v>2.9841838804722993</v>
      </c>
      <c r="BD115">
        <v>0.64565050372371313</v>
      </c>
      <c r="BE115">
        <v>1.5488255553625652</v>
      </c>
      <c r="BF115">
        <v>1.71</v>
      </c>
      <c r="BG115">
        <v>0.56265984654731449</v>
      </c>
      <c r="BH115">
        <v>5.5</v>
      </c>
      <c r="BI115">
        <v>5</v>
      </c>
      <c r="BJ115">
        <v>0.5</v>
      </c>
      <c r="BK115">
        <v>8.2990657176398641E-2</v>
      </c>
      <c r="BL115">
        <v>5.9769871298442294E-2</v>
      </c>
      <c r="BM115">
        <v>6.4482901771579755</v>
      </c>
      <c r="BN115">
        <v>0.67102430261823276</v>
      </c>
      <c r="BO115" t="s">
        <v>193</v>
      </c>
    </row>
    <row r="116" spans="54:67" x14ac:dyDescent="0.35">
      <c r="BB116" t="s">
        <v>65</v>
      </c>
      <c r="BC116">
        <v>2.1192034480659565</v>
      </c>
      <c r="BD116">
        <v>0.35405563885993213</v>
      </c>
      <c r="BE116">
        <v>2.8244148383571144</v>
      </c>
      <c r="BF116">
        <v>2.2000000000000002</v>
      </c>
      <c r="BG116">
        <v>0.4373401534526854</v>
      </c>
      <c r="BK116">
        <v>-8.3284514592753267E-2</v>
      </c>
      <c r="BL116">
        <v>-5.9981507409700902E-2</v>
      </c>
      <c r="BM116">
        <v>0</v>
      </c>
      <c r="BN116">
        <v>0</v>
      </c>
      <c r="BO116" t="s">
        <v>193</v>
      </c>
    </row>
    <row r="117" spans="54:67" x14ac:dyDescent="0.35">
      <c r="BB117" s="38" t="s">
        <v>47</v>
      </c>
      <c r="BC117" s="38">
        <v>2.6842380528013043</v>
      </c>
      <c r="BD117" s="38">
        <v>0.57504806271329034</v>
      </c>
      <c r="BE117" s="38">
        <v>1.7389850776674711</v>
      </c>
      <c r="BF117" s="38">
        <v>2.2000000000000002</v>
      </c>
      <c r="BG117" s="38">
        <v>0.4373401534526854</v>
      </c>
      <c r="BH117" s="38">
        <v>5.5</v>
      </c>
      <c r="BI117" s="38">
        <v>5</v>
      </c>
      <c r="BJ117" s="38">
        <v>0.5</v>
      </c>
      <c r="BK117" s="55">
        <v>0.13770790926060494</v>
      </c>
      <c r="BL117" s="55">
        <v>9.9177236249487669E-2</v>
      </c>
      <c r="BM117" s="38">
        <v>9.4038307372448351</v>
      </c>
      <c r="BN117" s="38">
        <v>2.4930094873351041</v>
      </c>
      <c r="BO117" s="38" t="s">
        <v>192</v>
      </c>
    </row>
    <row r="118" spans="54:67" x14ac:dyDescent="0.35">
      <c r="BB118" t="s">
        <v>50</v>
      </c>
      <c r="BC118">
        <v>2.2520769800353571</v>
      </c>
      <c r="BD118">
        <v>0.42481334772052459</v>
      </c>
      <c r="BE118">
        <v>2.3539749995282118</v>
      </c>
      <c r="BF118">
        <v>1.71</v>
      </c>
      <c r="BG118">
        <v>0.56265984654731449</v>
      </c>
      <c r="BK118" s="16">
        <v>-0.1378464988267899</v>
      </c>
      <c r="BL118" s="16">
        <v>-9.9277048455054084E-2</v>
      </c>
      <c r="BM118">
        <v>0</v>
      </c>
      <c r="BN118">
        <v>0</v>
      </c>
      <c r="BO118" t="s">
        <v>193</v>
      </c>
    </row>
    <row r="119" spans="54:67" x14ac:dyDescent="0.35">
      <c r="BB119" t="s">
        <v>42</v>
      </c>
      <c r="BC119">
        <v>2.436741162463778</v>
      </c>
      <c r="BD119">
        <v>0.31077892698360765</v>
      </c>
      <c r="BE119">
        <v>3.217721387051272</v>
      </c>
      <c r="BF119">
        <v>2.35</v>
      </c>
      <c r="BG119">
        <v>0.41249999999999998</v>
      </c>
      <c r="BH119">
        <v>5.5</v>
      </c>
      <c r="BI119">
        <v>5</v>
      </c>
      <c r="BJ119">
        <v>0.5</v>
      </c>
      <c r="BK119" s="16">
        <v>-0.10172107301639233</v>
      </c>
      <c r="BL119" s="16">
        <v>-7.3259516786405743E-2</v>
      </c>
      <c r="BM119">
        <v>0</v>
      </c>
      <c r="BN119">
        <v>0</v>
      </c>
      <c r="BO119" t="s">
        <v>193</v>
      </c>
    </row>
    <row r="120" spans="54:67" x14ac:dyDescent="0.35">
      <c r="BB120" s="38" t="s">
        <v>63</v>
      </c>
      <c r="BC120" s="38">
        <v>3.6773253412247042</v>
      </c>
      <c r="BD120" s="38">
        <v>0.68767262135497664</v>
      </c>
      <c r="BE120" s="38">
        <v>1.4541803307940624</v>
      </c>
      <c r="BF120" s="38">
        <v>1.65</v>
      </c>
      <c r="BG120" s="38">
        <v>0.58750000000000002</v>
      </c>
      <c r="BH120" s="38"/>
      <c r="BI120" s="38"/>
      <c r="BJ120" s="38"/>
      <c r="BK120" s="55">
        <v>0.10017262135497662</v>
      </c>
      <c r="BL120" s="55">
        <v>7.2144321899854161E-2</v>
      </c>
      <c r="BM120" s="38">
        <v>8.8184368998667484</v>
      </c>
      <c r="BN120" s="38">
        <v>1.1874891717882052</v>
      </c>
      <c r="BO120" s="38" t="s">
        <v>192</v>
      </c>
    </row>
    <row r="121" spans="54:67" x14ac:dyDescent="0.35">
      <c r="BB121" t="s">
        <v>57</v>
      </c>
      <c r="BC121">
        <v>2.3202684271383971</v>
      </c>
      <c r="BD121">
        <v>0.403156239479458</v>
      </c>
      <c r="BE121">
        <v>2.4804279385361041</v>
      </c>
      <c r="BF121">
        <v>2.0499999999999998</v>
      </c>
      <c r="BG121">
        <v>0.46753246753246758</v>
      </c>
      <c r="BH121">
        <v>5.5</v>
      </c>
      <c r="BI121">
        <v>5</v>
      </c>
      <c r="BJ121">
        <v>0.5</v>
      </c>
      <c r="BK121" s="16">
        <v>-6.4376228053009577E-2</v>
      </c>
      <c r="BL121" s="16">
        <v>-4.6363759443777491E-2</v>
      </c>
      <c r="BM121">
        <v>0</v>
      </c>
      <c r="BN121">
        <v>0</v>
      </c>
      <c r="BO121" t="s">
        <v>193</v>
      </c>
    </row>
    <row r="122" spans="54:67" x14ac:dyDescent="0.35">
      <c r="BB122" s="38" t="s">
        <v>59</v>
      </c>
      <c r="BC122" s="38">
        <v>2.8934637889757253</v>
      </c>
      <c r="BD122" s="38">
        <v>0.59659580902998521</v>
      </c>
      <c r="BE122" s="38">
        <v>1.6761767093636077</v>
      </c>
      <c r="BF122" s="38">
        <v>1.8</v>
      </c>
      <c r="BG122" s="38">
        <v>0.53246753246753253</v>
      </c>
      <c r="BH122" s="38"/>
      <c r="BI122" s="38"/>
      <c r="BJ122" s="38"/>
      <c r="BK122" s="55">
        <v>6.412827656245268E-2</v>
      </c>
      <c r="BL122" s="55">
        <v>4.6185184780278415E-2</v>
      </c>
      <c r="BM122" s="38">
        <v>3.9306056523614177</v>
      </c>
      <c r="BN122" s="38">
        <v>0.2903634941056894</v>
      </c>
      <c r="BO122" s="38" t="s">
        <v>192</v>
      </c>
    </row>
    <row r="123" spans="54:67" x14ac:dyDescent="0.35">
      <c r="BB123" t="s">
        <v>44</v>
      </c>
      <c r="BC123">
        <v>2.5699659623872817</v>
      </c>
      <c r="BD123">
        <v>0.42225149299328868</v>
      </c>
      <c r="BE123">
        <v>2.3682568720151194</v>
      </c>
      <c r="BF123">
        <v>2.2999999999999998</v>
      </c>
      <c r="BG123">
        <v>0.420654911838791</v>
      </c>
      <c r="BH123">
        <v>5.5</v>
      </c>
      <c r="BI123">
        <v>5</v>
      </c>
      <c r="BJ123">
        <v>0.5</v>
      </c>
      <c r="BK123" s="16">
        <v>1.5965811544976782E-3</v>
      </c>
      <c r="BL123" s="16">
        <v>1.1498577474692278E-3</v>
      </c>
      <c r="BM123">
        <v>0</v>
      </c>
      <c r="BN123">
        <v>0</v>
      </c>
      <c r="BO123" t="s">
        <v>193</v>
      </c>
    </row>
    <row r="124" spans="54:67" x14ac:dyDescent="0.35">
      <c r="BB124" t="s">
        <v>64</v>
      </c>
      <c r="BC124">
        <v>3.0448399767635963</v>
      </c>
      <c r="BD124">
        <v>0.57733951636075664</v>
      </c>
      <c r="BE124">
        <v>1.7320830666562923</v>
      </c>
      <c r="BF124">
        <v>1.67</v>
      </c>
      <c r="BG124">
        <v>0.57934508816120911</v>
      </c>
      <c r="BK124" s="16">
        <v>-2.0055718004524659E-3</v>
      </c>
      <c r="BL124" s="16">
        <v>-1.4444128106858658E-3</v>
      </c>
      <c r="BM124">
        <v>0</v>
      </c>
      <c r="BN124">
        <v>0</v>
      </c>
      <c r="BO124" t="s">
        <v>193</v>
      </c>
    </row>
    <row r="125" spans="54:67" x14ac:dyDescent="0.35">
      <c r="BB125" s="38" t="s">
        <v>38</v>
      </c>
      <c r="BC125" s="38">
        <v>1.6608499578387312</v>
      </c>
      <c r="BD125" s="38">
        <v>0.54416690784523358</v>
      </c>
      <c r="BE125" s="38">
        <v>1.8376714673072509</v>
      </c>
      <c r="BF125" s="38">
        <v>2.35</v>
      </c>
      <c r="BG125" s="38">
        <v>0.41249999999999998</v>
      </c>
      <c r="BH125" s="38">
        <v>5.5</v>
      </c>
      <c r="BI125" s="38">
        <v>5</v>
      </c>
      <c r="BJ125" s="38">
        <v>0.5</v>
      </c>
      <c r="BK125" s="55">
        <v>0.13166690784523361</v>
      </c>
      <c r="BL125" s="55">
        <v>9.482650703013723E-2</v>
      </c>
      <c r="BM125" s="38">
        <v>8.7905049817354595</v>
      </c>
      <c r="BN125" s="38">
        <v>2.4507245168909417</v>
      </c>
      <c r="BO125" s="38" t="s">
        <v>192</v>
      </c>
    </row>
    <row r="126" spans="54:67" x14ac:dyDescent="0.35">
      <c r="BB126" t="s">
        <v>39</v>
      </c>
      <c r="BC126">
        <v>1.4562003839880908</v>
      </c>
      <c r="BD126">
        <v>0.45583121538243332</v>
      </c>
      <c r="BE126">
        <v>2.193794470966671</v>
      </c>
      <c r="BF126">
        <v>1.65</v>
      </c>
      <c r="BG126">
        <v>0.58750000000000002</v>
      </c>
      <c r="BK126" s="16">
        <v>-0.1316687846175667</v>
      </c>
      <c r="BL126" s="16">
        <v>-9.4827858681571536E-2</v>
      </c>
      <c r="BM126">
        <v>0</v>
      </c>
      <c r="BN126">
        <v>0</v>
      </c>
      <c r="BO126" t="s">
        <v>193</v>
      </c>
    </row>
    <row r="127" spans="54:67" x14ac:dyDescent="0.35">
      <c r="BB127" s="38" t="s">
        <v>52</v>
      </c>
      <c r="BC127" s="38">
        <v>3.4210783161925704</v>
      </c>
      <c r="BD127" s="38">
        <v>0.69650983992539484</v>
      </c>
      <c r="BE127" s="38">
        <v>1.4357298959439149</v>
      </c>
      <c r="BF127" s="38">
        <v>2.5499999999999998</v>
      </c>
      <c r="BG127" s="38">
        <v>0.3810679611650486</v>
      </c>
      <c r="BH127" s="38">
        <v>5.5</v>
      </c>
      <c r="BI127" s="38">
        <v>5</v>
      </c>
      <c r="BJ127" s="38">
        <v>0.5</v>
      </c>
      <c r="BK127" s="55">
        <v>0.31544187876034624</v>
      </c>
      <c r="BL127" s="55">
        <v>0.22718124108320134</v>
      </c>
      <c r="BM127" s="38">
        <v>21.313410934200533</v>
      </c>
      <c r="BN127" s="38">
        <v>16.541340182812107</v>
      </c>
      <c r="BO127" s="38" t="s">
        <v>192</v>
      </c>
    </row>
    <row r="128" spans="54:67" x14ac:dyDescent="0.35">
      <c r="BB128" t="s">
        <v>46</v>
      </c>
      <c r="BC128">
        <v>2.1765439848325787</v>
      </c>
      <c r="BD128">
        <v>0.30262119503961959</v>
      </c>
      <c r="BE128">
        <v>3.3044612089020355</v>
      </c>
      <c r="BF128">
        <v>1.57</v>
      </c>
      <c r="BG128">
        <v>0.6189320388349514</v>
      </c>
      <c r="BK128" s="16">
        <v>-0.31631084379533181</v>
      </c>
      <c r="BL128" s="16">
        <v>-0.22780706970139794</v>
      </c>
      <c r="BM128">
        <v>0</v>
      </c>
      <c r="BN128">
        <v>0</v>
      </c>
      <c r="BO128" t="s">
        <v>193</v>
      </c>
    </row>
    <row r="129" spans="54:67" x14ac:dyDescent="0.35">
      <c r="BB129" s="38" t="s">
        <v>51</v>
      </c>
      <c r="BC129" s="38">
        <v>3.320707343163563</v>
      </c>
      <c r="BD129" s="38">
        <v>0.68575316475941184</v>
      </c>
      <c r="BE129" s="38">
        <v>1.4582506525519832</v>
      </c>
      <c r="BF129" s="38">
        <v>2.35</v>
      </c>
      <c r="BG129" s="38">
        <v>0.40806045340050379</v>
      </c>
      <c r="BH129" s="38">
        <v>5.5</v>
      </c>
      <c r="BI129" s="38">
        <v>5</v>
      </c>
      <c r="BJ129" s="38">
        <v>0.5</v>
      </c>
      <c r="BK129" s="55">
        <v>0.27769271135890805</v>
      </c>
      <c r="BL129" s="55">
        <v>0.19999429072068556</v>
      </c>
      <c r="BM129" s="38">
        <v>19.281631299389122</v>
      </c>
      <c r="BN129" s="38">
        <v>11.7911019610194</v>
      </c>
      <c r="BO129" s="38" t="s">
        <v>192</v>
      </c>
    </row>
    <row r="130" spans="54:67" x14ac:dyDescent="0.35">
      <c r="BB130" t="s">
        <v>62</v>
      </c>
      <c r="BC130">
        <v>2.1618411559853148</v>
      </c>
      <c r="BD130">
        <v>0.31355918571394986</v>
      </c>
      <c r="BE130">
        <v>3.1891905756901293</v>
      </c>
      <c r="BF130">
        <v>1.62</v>
      </c>
      <c r="BG130">
        <v>0.59193954659949621</v>
      </c>
      <c r="BK130" s="16">
        <v>-0.27838036088554635</v>
      </c>
      <c r="BL130" s="16">
        <v>-0.20048953590977048</v>
      </c>
      <c r="BM130">
        <v>0</v>
      </c>
      <c r="BN130">
        <v>0</v>
      </c>
      <c r="BO130" t="s">
        <v>193</v>
      </c>
    </row>
    <row r="131" spans="54:67" x14ac:dyDescent="0.35">
      <c r="BB131" s="38" t="s">
        <v>45</v>
      </c>
      <c r="BC131" s="38">
        <v>3.0362090874246008</v>
      </c>
      <c r="BD131" s="38">
        <v>0.54736215086220197</v>
      </c>
      <c r="BE131" s="38">
        <v>1.8269440048509114</v>
      </c>
      <c r="BF131" s="38">
        <v>1.95</v>
      </c>
      <c r="BG131" s="38">
        <v>0.48952879581151842</v>
      </c>
      <c r="BH131" s="38">
        <v>5.5</v>
      </c>
      <c r="BI131" s="38">
        <v>5</v>
      </c>
      <c r="BJ131" s="38">
        <v>0.5</v>
      </c>
      <c r="BK131" s="38">
        <v>5.7833355050683544E-2</v>
      </c>
      <c r="BL131" s="38">
        <v>4.1651582307502287E-2</v>
      </c>
      <c r="BM131" s="38">
        <v>3.9020371841427504</v>
      </c>
      <c r="BN131" s="38">
        <v>0.26282637427774813</v>
      </c>
      <c r="BO131" s="38" t="s">
        <v>192</v>
      </c>
    </row>
    <row r="132" spans="54:67" x14ac:dyDescent="0.35">
      <c r="BB132" t="s">
        <v>43</v>
      </c>
      <c r="BC132">
        <v>2.7416869531778856</v>
      </c>
      <c r="BD132">
        <v>0.45217808210833849</v>
      </c>
      <c r="BE132">
        <v>2.2115180712372684</v>
      </c>
      <c r="BF132">
        <v>1.87</v>
      </c>
      <c r="BG132">
        <v>0.51047120418848169</v>
      </c>
      <c r="BK132">
        <v>-5.82931220801432E-2</v>
      </c>
      <c r="BL132">
        <v>-4.1982706522119127E-2</v>
      </c>
      <c r="BM132">
        <v>0</v>
      </c>
      <c r="BN132">
        <v>0</v>
      </c>
      <c r="BO132" t="s">
        <v>193</v>
      </c>
    </row>
    <row r="133" spans="54:67" x14ac:dyDescent="0.35">
      <c r="BB133" s="38" t="s">
        <v>47</v>
      </c>
      <c r="BC133" s="38">
        <v>3.1649125137018634</v>
      </c>
      <c r="BD133" s="38">
        <v>0.66371873230089962</v>
      </c>
      <c r="BE133" s="38">
        <v>1.5066623124125504</v>
      </c>
      <c r="BF133" s="38">
        <v>2.0499999999999998</v>
      </c>
      <c r="BG133" s="38">
        <v>0.46753246753246758</v>
      </c>
      <c r="BH133" s="38">
        <v>5.5</v>
      </c>
      <c r="BI133" s="38">
        <v>5</v>
      </c>
      <c r="BJ133" s="38">
        <v>0.5</v>
      </c>
      <c r="BK133" s="38">
        <v>0.19618626476843204</v>
      </c>
      <c r="BL133" s="38">
        <v>0.14129334788622475</v>
      </c>
      <c r="BM133" s="38">
        <v>18.901752607807143</v>
      </c>
      <c r="BN133" s="38">
        <v>6.8164143143867646</v>
      </c>
      <c r="BO133" s="38" t="s">
        <v>192</v>
      </c>
    </row>
    <row r="134" spans="54:67" x14ac:dyDescent="0.35">
      <c r="BB134" t="s">
        <v>50</v>
      </c>
      <c r="BC134">
        <v>2.1658602268577778</v>
      </c>
      <c r="BD134">
        <v>0.33580967859958488</v>
      </c>
      <c r="BE134">
        <v>2.9778772433548202</v>
      </c>
      <c r="BF134">
        <v>1.8</v>
      </c>
      <c r="BG134">
        <v>0.53246753246753253</v>
      </c>
      <c r="BK134">
        <v>-0.19665785386794765</v>
      </c>
      <c r="BL134">
        <v>-0.14163298635569588</v>
      </c>
      <c r="BM134">
        <v>0</v>
      </c>
      <c r="BN134">
        <v>0</v>
      </c>
      <c r="BO134" t="s">
        <v>193</v>
      </c>
    </row>
    <row r="135" spans="54:67" x14ac:dyDescent="0.35">
      <c r="BB135" t="s">
        <v>40</v>
      </c>
      <c r="BC135">
        <v>1.5406638976900946</v>
      </c>
      <c r="BD135">
        <v>0.52056703433489937</v>
      </c>
      <c r="BE135">
        <v>1.9209821868141275</v>
      </c>
      <c r="BF135">
        <v>1.74</v>
      </c>
      <c r="BG135">
        <v>0.5526992287917738</v>
      </c>
      <c r="BH135">
        <v>5.5</v>
      </c>
      <c r="BI135">
        <v>5</v>
      </c>
      <c r="BJ135">
        <v>0.5</v>
      </c>
      <c r="BK135">
        <v>-3.213219445687443E-2</v>
      </c>
      <c r="BL135">
        <v>-2.3141606447840964E-2</v>
      </c>
      <c r="BM135">
        <v>0</v>
      </c>
      <c r="BN135">
        <v>0</v>
      </c>
      <c r="BO135" t="s">
        <v>193</v>
      </c>
    </row>
    <row r="136" spans="54:67" x14ac:dyDescent="0.35">
      <c r="BB136" s="38" t="s">
        <v>56</v>
      </c>
      <c r="BC136" s="38">
        <v>1.4472739686629938</v>
      </c>
      <c r="BD136" s="38">
        <v>0.47943186151369399</v>
      </c>
      <c r="BE136" s="38">
        <v>2.0858021343069146</v>
      </c>
      <c r="BF136" s="38">
        <v>2.15</v>
      </c>
      <c r="BG136" s="38">
        <v>0.44730077120822626</v>
      </c>
      <c r="BH136" s="38"/>
      <c r="BI136" s="38"/>
      <c r="BJ136" s="38"/>
      <c r="BK136" s="38">
        <v>3.2131090305467735E-2</v>
      </c>
      <c r="BL136" s="38">
        <v>2.3140811237997862E-2</v>
      </c>
      <c r="BM136" s="38">
        <v>1.4729469674957627</v>
      </c>
      <c r="BN136" s="38">
        <v>4.5335101559741853E-2</v>
      </c>
      <c r="BO136" s="38" t="s">
        <v>192</v>
      </c>
    </row>
    <row r="137" spans="54:67" x14ac:dyDescent="0.35">
      <c r="BB137" t="s">
        <v>42</v>
      </c>
      <c r="BC137">
        <v>2.1558589653499194</v>
      </c>
      <c r="BD137">
        <v>0.25492718023964162</v>
      </c>
      <c r="BE137">
        <v>3.9226888206269748</v>
      </c>
      <c r="BF137">
        <v>2.2000000000000002</v>
      </c>
      <c r="BG137">
        <v>0.4373401534526854</v>
      </c>
      <c r="BH137">
        <v>5.5</v>
      </c>
      <c r="BI137">
        <v>5</v>
      </c>
      <c r="BJ137">
        <v>0.5</v>
      </c>
      <c r="BK137">
        <v>-0.18241297321304378</v>
      </c>
      <c r="BL137">
        <v>-0.13137382330803413</v>
      </c>
      <c r="BM137">
        <v>0</v>
      </c>
      <c r="BN137">
        <v>0</v>
      </c>
      <c r="BO137" t="s">
        <v>193</v>
      </c>
    </row>
    <row r="138" spans="54:67" x14ac:dyDescent="0.35">
      <c r="BB138" s="38" t="s">
        <v>63</v>
      </c>
      <c r="BC138" s="38">
        <v>3.7829942177447298</v>
      </c>
      <c r="BD138" s="38">
        <v>0.74319239069824616</v>
      </c>
      <c r="BE138" s="38">
        <v>1.3455466074679225</v>
      </c>
      <c r="BF138" s="38">
        <v>1.71</v>
      </c>
      <c r="BG138" s="38">
        <v>0.56265984654731449</v>
      </c>
      <c r="BH138" s="38"/>
      <c r="BI138" s="38"/>
      <c r="BJ138" s="38"/>
      <c r="BK138" s="38">
        <v>0.18053254415093167</v>
      </c>
      <c r="BL138" s="38">
        <v>0.13001953829750099</v>
      </c>
      <c r="BM138" s="38">
        <v>20.995313872410225</v>
      </c>
      <c r="BN138" s="38">
        <v>5.6867694701969755</v>
      </c>
      <c r="BO138" s="38" t="s">
        <v>192</v>
      </c>
    </row>
    <row r="139" spans="54:67" x14ac:dyDescent="0.35">
      <c r="BB139" s="38" t="s">
        <v>60</v>
      </c>
      <c r="BC139" s="38">
        <v>3.2326922191532268</v>
      </c>
      <c r="BD139" s="38">
        <v>0.60034150296191291</v>
      </c>
      <c r="BE139" s="38">
        <v>1.6657185869480731</v>
      </c>
      <c r="BF139" s="38">
        <v>1.91</v>
      </c>
      <c r="BG139" s="38">
        <v>0.5</v>
      </c>
      <c r="BH139" s="38">
        <v>5.5</v>
      </c>
      <c r="BI139" s="38">
        <v>5</v>
      </c>
      <c r="BJ139" s="38">
        <v>0.5</v>
      </c>
      <c r="BK139" s="38">
        <v>0.10034150296191291</v>
      </c>
      <c r="BL139" s="38">
        <v>7.2265950433169676E-2</v>
      </c>
      <c r="BM139" s="38">
        <v>8.8692085704381149</v>
      </c>
      <c r="BN139" s="38">
        <v>1.3006895757875241</v>
      </c>
      <c r="BO139" s="38" t="s">
        <v>192</v>
      </c>
    </row>
    <row r="140" spans="54:67" x14ac:dyDescent="0.35">
      <c r="BB140" t="s">
        <v>67</v>
      </c>
      <c r="BC140">
        <v>2.6020504878168214</v>
      </c>
      <c r="BD140">
        <v>0.3990312590473668</v>
      </c>
      <c r="BE140">
        <v>2.5060693299752126</v>
      </c>
      <c r="BF140">
        <v>1.91</v>
      </c>
      <c r="BG140">
        <v>0.5</v>
      </c>
      <c r="BK140">
        <v>-0.1009687409526332</v>
      </c>
      <c r="BL140">
        <v>-7.271768723408642E-2</v>
      </c>
      <c r="BM140">
        <v>0</v>
      </c>
      <c r="BN140">
        <v>0</v>
      </c>
      <c r="BO140" t="s">
        <v>193</v>
      </c>
    </row>
    <row r="141" spans="54:67" x14ac:dyDescent="0.35">
      <c r="BB141" s="38" t="s">
        <v>44</v>
      </c>
      <c r="BC141" s="38">
        <v>2.5189025686460638</v>
      </c>
      <c r="BD141" s="38">
        <v>0.67272746820123452</v>
      </c>
      <c r="BE141" s="38">
        <v>1.4864860545591216</v>
      </c>
      <c r="BF141" s="38">
        <v>1.63</v>
      </c>
      <c r="BG141" s="38">
        <v>0.58750000000000002</v>
      </c>
      <c r="BH141" s="38">
        <v>5.5</v>
      </c>
      <c r="BI141" s="38">
        <v>5</v>
      </c>
      <c r="BJ141" s="38">
        <v>0.5</v>
      </c>
      <c r="BK141" s="38">
        <v>8.5227468201234502E-2</v>
      </c>
      <c r="BL141" s="38">
        <v>6.1380822598529082E-2</v>
      </c>
      <c r="BM141" s="38">
        <v>9.3136104785253959</v>
      </c>
      <c r="BN141" s="38">
        <v>1.0245001565755514</v>
      </c>
      <c r="BO141" s="38" t="s">
        <v>192</v>
      </c>
    </row>
    <row r="142" spans="54:67" x14ac:dyDescent="0.35">
      <c r="BB142" t="s">
        <v>58</v>
      </c>
      <c r="BC142">
        <v>1.5871645220995605</v>
      </c>
      <c r="BD142">
        <v>0.32720576077266667</v>
      </c>
      <c r="BE142">
        <v>3.0561809108696343</v>
      </c>
      <c r="BF142">
        <v>2.4</v>
      </c>
      <c r="BG142">
        <v>0.41249999999999998</v>
      </c>
      <c r="BK142">
        <v>-8.5294239227333313E-2</v>
      </c>
      <c r="BL142">
        <v>-6.142891109152545E-2</v>
      </c>
      <c r="BM142">
        <v>0</v>
      </c>
      <c r="BN142">
        <v>0</v>
      </c>
      <c r="BO142" t="s">
        <v>193</v>
      </c>
    </row>
    <row r="143" spans="54:67" x14ac:dyDescent="0.35">
      <c r="BB143" s="38" t="s">
        <v>54</v>
      </c>
      <c r="BC143" s="38">
        <v>4.1055824799758298</v>
      </c>
      <c r="BD143" s="38">
        <v>0.9154619775471412</v>
      </c>
      <c r="BE143" s="38">
        <v>1.0923446571526294</v>
      </c>
      <c r="BF143" s="38">
        <v>1.83</v>
      </c>
      <c r="BG143" s="38">
        <v>0.5221932114882506</v>
      </c>
      <c r="BH143" s="38">
        <v>5.5</v>
      </c>
      <c r="BI143" s="38">
        <v>5</v>
      </c>
      <c r="BJ143" s="38">
        <v>0.5</v>
      </c>
      <c r="BK143" s="38">
        <v>0.39326876605889061</v>
      </c>
      <c r="BL143" s="38">
        <v>0.28323216531561302</v>
      </c>
      <c r="BM143" s="38">
        <v>44.776813049976369</v>
      </c>
      <c r="BN143" s="38">
        <v>30.237576726095348</v>
      </c>
      <c r="BO143" s="38" t="s">
        <v>192</v>
      </c>
    </row>
    <row r="144" spans="54:67" x14ac:dyDescent="0.35">
      <c r="BB144" t="s">
        <v>41</v>
      </c>
      <c r="BC144">
        <v>1.0137820253369292</v>
      </c>
      <c r="BD144">
        <v>8.1093492251215774E-2</v>
      </c>
      <c r="BE144">
        <v>12.331445745389116</v>
      </c>
      <c r="BF144">
        <v>2</v>
      </c>
      <c r="BG144">
        <v>0.47780678851174935</v>
      </c>
      <c r="BK144">
        <v>-0.39671329626053359</v>
      </c>
      <c r="BL144">
        <v>-0.28571291596683629</v>
      </c>
      <c r="BM144">
        <v>0</v>
      </c>
      <c r="BN144">
        <v>0</v>
      </c>
      <c r="BO144" t="s">
        <v>193</v>
      </c>
    </row>
    <row r="145" spans="54:67" x14ac:dyDescent="0.35">
      <c r="BB145" t="s">
        <v>55</v>
      </c>
      <c r="BC145">
        <v>2.1901824835118702</v>
      </c>
      <c r="BD145">
        <v>0.57183843439245019</v>
      </c>
      <c r="BE145">
        <v>1.7487456943366357</v>
      </c>
      <c r="BF145">
        <v>1.63</v>
      </c>
      <c r="BG145">
        <v>0.59553349875930517</v>
      </c>
      <c r="BH145">
        <v>5.5</v>
      </c>
      <c r="BI145">
        <v>5</v>
      </c>
      <c r="BJ145">
        <v>0.5</v>
      </c>
      <c r="BK145">
        <v>-2.3695064366854979E-2</v>
      </c>
      <c r="BL145">
        <v>-1.7065185357008954E-2</v>
      </c>
      <c r="BM145">
        <v>0</v>
      </c>
      <c r="BN145">
        <v>0</v>
      </c>
      <c r="BO145" t="s">
        <v>193</v>
      </c>
    </row>
    <row r="146" spans="54:67" x14ac:dyDescent="0.35">
      <c r="BB146" s="38" t="s">
        <v>48</v>
      </c>
      <c r="BC146" s="38">
        <v>1.8156976839354071</v>
      </c>
      <c r="BD146" s="38">
        <v>0.42813917036491361</v>
      </c>
      <c r="BE146" s="38">
        <v>2.335689115171768</v>
      </c>
      <c r="BF146" s="38">
        <v>2.4</v>
      </c>
      <c r="BG146" s="38">
        <v>0.40446650124069478</v>
      </c>
      <c r="BH146" s="38"/>
      <c r="BI146" s="38"/>
      <c r="BJ146" s="38"/>
      <c r="BK146" s="38">
        <v>2.3672669124218837E-2</v>
      </c>
      <c r="BL146" s="38">
        <v>1.7049056303262405E-2</v>
      </c>
      <c r="BM146" s="38">
        <v>1.0823778122453087</v>
      </c>
      <c r="BN146" s="38">
        <v>2.9802200289323344E-2</v>
      </c>
      <c r="BO146" s="38" t="s">
        <v>192</v>
      </c>
    </row>
    <row r="147" spans="54:67" x14ac:dyDescent="0.35">
      <c r="BB147" s="38" t="s">
        <v>53</v>
      </c>
      <c r="BC147" s="38">
        <v>3.436212010173016</v>
      </c>
      <c r="BD147" s="38">
        <v>0.68664338556105331</v>
      </c>
      <c r="BE147" s="38">
        <v>1.4563600568043109</v>
      </c>
      <c r="BF147" s="38">
        <v>1.8</v>
      </c>
      <c r="BG147" s="38">
        <v>0.53246753246753253</v>
      </c>
      <c r="BH147" s="38">
        <v>5.5</v>
      </c>
      <c r="BI147" s="38">
        <v>5</v>
      </c>
      <c r="BJ147" s="38">
        <v>0.5</v>
      </c>
      <c r="BK147" s="38">
        <v>0.15417585309352078</v>
      </c>
      <c r="BL147" s="38">
        <v>0.11103744939795365</v>
      </c>
      <c r="BM147" s="38">
        <v>16.232385983973046</v>
      </c>
      <c r="BN147" s="38">
        <v>3.8301628580112297</v>
      </c>
      <c r="BO147" s="38" t="s">
        <v>192</v>
      </c>
    </row>
    <row r="148" spans="54:67" x14ac:dyDescent="0.35">
      <c r="BB148" t="s">
        <v>66</v>
      </c>
      <c r="BC148">
        <v>2.2494604953137376</v>
      </c>
      <c r="BD148">
        <v>0.31245108457973148</v>
      </c>
      <c r="BE148">
        <v>3.2005009723204187</v>
      </c>
      <c r="BF148">
        <v>2.0499999999999998</v>
      </c>
      <c r="BG148">
        <v>0.46753246753246758</v>
      </c>
      <c r="BK148">
        <v>-0.1550813829527361</v>
      </c>
      <c r="BL148">
        <v>-0.11168961200256053</v>
      </c>
      <c r="BM148">
        <v>0</v>
      </c>
      <c r="BN148">
        <v>0</v>
      </c>
      <c r="BO148" t="s">
        <v>193</v>
      </c>
    </row>
    <row r="149" spans="54:67" x14ac:dyDescent="0.35">
      <c r="BB149" s="38" t="s">
        <v>49</v>
      </c>
      <c r="BC149" s="38">
        <v>3.0307599580962141</v>
      </c>
      <c r="BD149" s="38">
        <v>0.63201362878325074</v>
      </c>
      <c r="BE149" s="38">
        <v>1.5822443606559478</v>
      </c>
      <c r="BF149" s="38">
        <v>1.74</v>
      </c>
      <c r="BG149" s="38">
        <v>0.5526992287917738</v>
      </c>
      <c r="BH149" s="38">
        <v>5.5</v>
      </c>
      <c r="BI149" s="38">
        <v>5</v>
      </c>
      <c r="BJ149" s="38">
        <v>0.5</v>
      </c>
      <c r="BK149" s="38">
        <v>7.9314399991476936E-2</v>
      </c>
      <c r="BL149" s="38">
        <v>5.7122230873861687E-2</v>
      </c>
      <c r="BM149" s="38">
        <v>7.4151012501202453</v>
      </c>
      <c r="BN149" s="38">
        <v>0.73931313493741957</v>
      </c>
      <c r="BO149" s="38" t="s">
        <v>192</v>
      </c>
    </row>
    <row r="150" spans="54:67" x14ac:dyDescent="0.35">
      <c r="BB150" t="s">
        <v>65</v>
      </c>
      <c r="BC150">
        <v>2.237325667746783</v>
      </c>
      <c r="BD150">
        <v>0.36764518576727884</v>
      </c>
      <c r="BE150">
        <v>2.7200138576899651</v>
      </c>
      <c r="BF150">
        <v>2.15</v>
      </c>
      <c r="BG150">
        <v>0.44730077120822626</v>
      </c>
      <c r="BK150">
        <v>-7.9655585440947418E-2</v>
      </c>
      <c r="BL150">
        <v>-5.7367952634570327E-2</v>
      </c>
      <c r="BM150">
        <v>0</v>
      </c>
      <c r="BN150">
        <v>0</v>
      </c>
      <c r="BO150" t="s">
        <v>193</v>
      </c>
    </row>
    <row r="151" spans="54:67" x14ac:dyDescent="0.35">
      <c r="BB151" t="s">
        <v>40</v>
      </c>
      <c r="BC151">
        <v>2.1345321678473099</v>
      </c>
      <c r="BD151">
        <v>0.62404875716600605</v>
      </c>
      <c r="BE151">
        <v>1.6024388936231555</v>
      </c>
      <c r="BF151">
        <v>1.57</v>
      </c>
      <c r="BG151">
        <v>0.6189320388349514</v>
      </c>
      <c r="BH151">
        <v>5.5</v>
      </c>
      <c r="BI151">
        <v>5</v>
      </c>
      <c r="BJ151">
        <v>0.5</v>
      </c>
      <c r="BK151">
        <v>5.1167183310546482E-3</v>
      </c>
      <c r="BL151">
        <v>3.6850605420255572E-3</v>
      </c>
      <c r="BM151">
        <v>0</v>
      </c>
      <c r="BN151">
        <v>0</v>
      </c>
      <c r="BO151" t="s">
        <v>193</v>
      </c>
    </row>
    <row r="152" spans="54:67" x14ac:dyDescent="0.35">
      <c r="BB152" t="s">
        <v>57</v>
      </c>
      <c r="BC152">
        <v>1.5100686779492254</v>
      </c>
      <c r="BD152">
        <v>0.37593559671148358</v>
      </c>
      <c r="BE152">
        <v>2.6600300922486526</v>
      </c>
      <c r="BF152">
        <v>2.5499999999999998</v>
      </c>
      <c r="BG152">
        <v>0.3810679611650486</v>
      </c>
      <c r="BK152">
        <v>-5.1323644535650192E-3</v>
      </c>
      <c r="BL152">
        <v>-3.6963288794575268E-3</v>
      </c>
      <c r="BM152">
        <v>0</v>
      </c>
      <c r="BN152">
        <v>0</v>
      </c>
      <c r="BO152" t="s">
        <v>193</v>
      </c>
    </row>
    <row r="153" spans="54:67" x14ac:dyDescent="0.35">
      <c r="BB153" s="38" t="s">
        <v>51</v>
      </c>
      <c r="BC153" s="38">
        <v>3.3677214012312606</v>
      </c>
      <c r="BD153" s="38">
        <v>0.61565329887964571</v>
      </c>
      <c r="BE153" s="38">
        <v>1.6242908172826835</v>
      </c>
      <c r="BF153" s="38">
        <v>2.65</v>
      </c>
      <c r="BG153" s="38">
        <v>0.375</v>
      </c>
      <c r="BH153" s="38">
        <v>5.5</v>
      </c>
      <c r="BI153" s="38">
        <v>5</v>
      </c>
      <c r="BJ153" s="38">
        <v>0.5</v>
      </c>
      <c r="BK153" s="38">
        <v>0.24065329887964571</v>
      </c>
      <c r="BL153" s="38">
        <v>0.17331850585312084</v>
      </c>
      <c r="BM153" s="38">
        <v>21.542661573616694</v>
      </c>
      <c r="BN153" s="38">
        <v>12.940646153940039</v>
      </c>
      <c r="BO153" s="38" t="s">
        <v>192</v>
      </c>
    </row>
    <row r="154" spans="54:67" x14ac:dyDescent="0.35">
      <c r="BB154" t="s">
        <v>52</v>
      </c>
      <c r="BC154">
        <v>2.6281255661989582</v>
      </c>
      <c r="BD154">
        <v>0.38350082284641979</v>
      </c>
      <c r="BE154">
        <v>2.6075563347629869</v>
      </c>
      <c r="BF154">
        <v>1.56</v>
      </c>
      <c r="BG154">
        <v>0.625</v>
      </c>
      <c r="BK154">
        <v>-0.24149917715358021</v>
      </c>
      <c r="BL154">
        <v>-0.17392770738600846</v>
      </c>
      <c r="BM154">
        <v>0</v>
      </c>
      <c r="BN154">
        <v>0</v>
      </c>
      <c r="BO154" t="s">
        <v>193</v>
      </c>
    </row>
    <row r="155" spans="54:67" x14ac:dyDescent="0.35">
      <c r="BB155" s="38" t="s">
        <v>46</v>
      </c>
      <c r="BC155" s="38">
        <v>2.1816467949398253</v>
      </c>
      <c r="BD155" s="38">
        <v>0.6969885245763171</v>
      </c>
      <c r="BE155" s="38">
        <v>1.4347438512102857</v>
      </c>
      <c r="BF155" s="38">
        <v>1.59</v>
      </c>
      <c r="BG155" s="38">
        <v>0.6112469437652811</v>
      </c>
      <c r="BH155" s="38">
        <v>5.5</v>
      </c>
      <c r="BI155" s="38">
        <v>5</v>
      </c>
      <c r="BJ155" s="38">
        <v>0.5</v>
      </c>
      <c r="BK155" s="38">
        <v>8.5741580811036E-2</v>
      </c>
      <c r="BL155" s="38">
        <v>6.1751086500108125E-2</v>
      </c>
      <c r="BM155" s="38">
        <v>10.524104785514519</v>
      </c>
      <c r="BN155" s="38">
        <v>1.1388318389237746</v>
      </c>
      <c r="BO155" s="38" t="s">
        <v>192</v>
      </c>
    </row>
    <row r="156" spans="54:67" x14ac:dyDescent="0.35">
      <c r="BB156" t="s">
        <v>39</v>
      </c>
      <c r="BC156">
        <v>1.2027189718148636</v>
      </c>
      <c r="BD156">
        <v>0.30299306346189275</v>
      </c>
      <c r="BE156">
        <v>3.3004055887430219</v>
      </c>
      <c r="BF156">
        <v>2.5</v>
      </c>
      <c r="BG156">
        <v>0.38875305623471884</v>
      </c>
      <c r="BK156">
        <v>-8.5759992772826088E-2</v>
      </c>
      <c r="BL156">
        <v>-6.1764346794989343E-2</v>
      </c>
      <c r="BM156">
        <v>0</v>
      </c>
      <c r="BN156">
        <v>0</v>
      </c>
      <c r="BO156" t="s">
        <v>193</v>
      </c>
    </row>
    <row r="157" spans="54:67" x14ac:dyDescent="0.35">
      <c r="BB157" s="38" t="s">
        <v>59</v>
      </c>
      <c r="BC157" s="38">
        <v>4.9906024489714751</v>
      </c>
      <c r="BD157" s="38">
        <v>0.93337843422099276</v>
      </c>
      <c r="BE157" s="38">
        <v>1.071376799952112</v>
      </c>
      <c r="BF157" s="38">
        <v>1.59</v>
      </c>
      <c r="BG157" s="38">
        <v>0.6112469437652811</v>
      </c>
      <c r="BH157" s="38">
        <v>5.5</v>
      </c>
      <c r="BI157" s="38">
        <v>5</v>
      </c>
      <c r="BJ157" s="38">
        <v>0.5</v>
      </c>
      <c r="BK157" s="38">
        <v>0.32213149045571166</v>
      </c>
      <c r="BL157" s="38">
        <v>0.23199909942620353</v>
      </c>
      <c r="BM157" s="38">
        <v>44.788345525111637</v>
      </c>
      <c r="BN157" s="38">
        <v>21.680771024836602</v>
      </c>
      <c r="BO157" s="38" t="s">
        <v>192</v>
      </c>
    </row>
    <row r="158" spans="54:67" x14ac:dyDescent="0.35">
      <c r="BB158" t="s">
        <v>41</v>
      </c>
      <c r="BC158">
        <v>1.1266622721514346</v>
      </c>
      <c r="BD158">
        <v>5.3095869007111524E-2</v>
      </c>
      <c r="BE158">
        <v>18.833856921450192</v>
      </c>
      <c r="BF158">
        <v>2.5</v>
      </c>
      <c r="BG158">
        <v>0.38875305623471884</v>
      </c>
      <c r="BK158">
        <v>-0.33565718722760729</v>
      </c>
      <c r="BL158">
        <v>-0.24174030624132276</v>
      </c>
      <c r="BM158">
        <v>0</v>
      </c>
      <c r="BN158">
        <v>0</v>
      </c>
      <c r="BO158" t="s">
        <v>193</v>
      </c>
    </row>
    <row r="159" spans="54:67" x14ac:dyDescent="0.35">
      <c r="BB159" s="38" t="s">
        <v>43</v>
      </c>
      <c r="BC159" s="38">
        <v>2.3183187373007965</v>
      </c>
      <c r="BD159" s="38">
        <v>0.48635180849358489</v>
      </c>
      <c r="BE159" s="38">
        <v>2.0561247692228748</v>
      </c>
      <c r="BF159" s="38">
        <v>2.1</v>
      </c>
      <c r="BG159" s="38">
        <v>0.4573643410852713</v>
      </c>
      <c r="BH159" s="38">
        <v>5.5</v>
      </c>
      <c r="BI159" s="38">
        <v>5</v>
      </c>
      <c r="BJ159" s="38">
        <v>0.5</v>
      </c>
      <c r="BK159" s="38">
        <v>2.8987467408313594E-2</v>
      </c>
      <c r="BL159" s="38">
        <v>2.0876774027467449E-2</v>
      </c>
      <c r="BM159" s="38">
        <v>1.0589722813262668</v>
      </c>
      <c r="BN159" s="38">
        <v>2.2597195425708483E-2</v>
      </c>
      <c r="BO159" s="38" t="s">
        <v>192</v>
      </c>
    </row>
    <row r="160" spans="54:67" x14ac:dyDescent="0.35">
      <c r="BB160" t="s">
        <v>55</v>
      </c>
      <c r="BC160">
        <v>2.3945447095220156</v>
      </c>
      <c r="BD160">
        <v>0.51357436434685377</v>
      </c>
      <c r="BE160">
        <v>1.9471376872008899</v>
      </c>
      <c r="BF160">
        <v>1.77</v>
      </c>
      <c r="BG160">
        <v>0.54263565891472865</v>
      </c>
      <c r="BK160">
        <v>-2.9061294567874874E-2</v>
      </c>
      <c r="BL160">
        <v>-2.0929944347783482E-2</v>
      </c>
      <c r="BM160">
        <v>0</v>
      </c>
      <c r="BN160">
        <v>0</v>
      </c>
      <c r="BO160" t="s">
        <v>193</v>
      </c>
    </row>
    <row r="161" spans="54:67" x14ac:dyDescent="0.35">
      <c r="BB161" s="38" t="s">
        <v>67</v>
      </c>
      <c r="BC161" s="38">
        <v>3.5639019078523835</v>
      </c>
      <c r="BD161" s="38">
        <v>0.80079983903989027</v>
      </c>
      <c r="BE161" s="38">
        <v>1.2487514997492237</v>
      </c>
      <c r="BF161" s="38">
        <v>1.71</v>
      </c>
      <c r="BG161" s="38">
        <v>0.56265984654731449</v>
      </c>
      <c r="BH161" s="38">
        <v>5.5</v>
      </c>
      <c r="BI161" s="38">
        <v>5</v>
      </c>
      <c r="BJ161" s="38">
        <v>0.5</v>
      </c>
      <c r="BK161" s="38">
        <v>0.23813999249257578</v>
      </c>
      <c r="BL161" s="38">
        <v>0.17150842259315308</v>
      </c>
      <c r="BM161" s="38">
        <v>28.399318887491354</v>
      </c>
      <c r="BN161" s="38">
        <v>10.489791802155604</v>
      </c>
      <c r="BO161" s="38" t="s">
        <v>192</v>
      </c>
    </row>
    <row r="162" spans="54:67" x14ac:dyDescent="0.35">
      <c r="BB162" t="s">
        <v>54</v>
      </c>
      <c r="BC162">
        <v>1.6160661980126807</v>
      </c>
      <c r="BD162">
        <v>0.19802397964403379</v>
      </c>
      <c r="BE162">
        <v>5.0498934613756949</v>
      </c>
      <c r="BF162">
        <v>2.2000000000000002</v>
      </c>
      <c r="BG162">
        <v>0.4373401534526854</v>
      </c>
      <c r="BK162">
        <v>-0.23931617380865161</v>
      </c>
      <c r="BL162">
        <v>-0.17235550837699087</v>
      </c>
      <c r="BM162">
        <v>0</v>
      </c>
      <c r="BN162">
        <v>0</v>
      </c>
      <c r="BO162" t="s">
        <v>193</v>
      </c>
    </row>
    <row r="163" spans="54:67" x14ac:dyDescent="0.35">
      <c r="BB163" t="s">
        <v>60</v>
      </c>
      <c r="BC163">
        <v>2.0250397694322846</v>
      </c>
      <c r="BD163">
        <v>0.31313577950920973</v>
      </c>
      <c r="BE163">
        <v>3.19350283626911</v>
      </c>
      <c r="BF163">
        <v>1.91</v>
      </c>
      <c r="BG163">
        <v>0.5</v>
      </c>
      <c r="BH163">
        <v>5.5</v>
      </c>
      <c r="BI163">
        <v>5</v>
      </c>
      <c r="BJ163">
        <v>0.5</v>
      </c>
      <c r="BK163">
        <v>-0.18686422049079027</v>
      </c>
      <c r="BL163">
        <v>-0.13457961159746715</v>
      </c>
      <c r="BM163">
        <v>0</v>
      </c>
      <c r="BN163">
        <v>0</v>
      </c>
      <c r="BO163" t="s">
        <v>193</v>
      </c>
    </row>
    <row r="164" spans="54:67" x14ac:dyDescent="0.35">
      <c r="BB164" s="38" t="s">
        <v>56</v>
      </c>
      <c r="BC164" s="38">
        <v>3.1556893815944398</v>
      </c>
      <c r="BD164" s="38">
        <v>0.68641120930147748</v>
      </c>
      <c r="BE164" s="38">
        <v>1.4568526656457788</v>
      </c>
      <c r="BF164" s="38">
        <v>1.91</v>
      </c>
      <c r="BG164" s="38">
        <v>0.5</v>
      </c>
      <c r="BH164" s="38"/>
      <c r="BI164" s="38"/>
      <c r="BJ164" s="38"/>
      <c r="BK164" s="38">
        <v>0.18641120930147748</v>
      </c>
      <c r="BL164" s="38">
        <v>0.13425335293892407</v>
      </c>
      <c r="BM164" s="38">
        <v>18.65905879279229</v>
      </c>
      <c r="BN164" s="38">
        <v>5.80381458804864</v>
      </c>
      <c r="BO164" s="38" t="s">
        <v>192</v>
      </c>
    </row>
    <row r="165" spans="54:67" x14ac:dyDescent="0.35">
      <c r="BB165" s="38" t="s">
        <v>48</v>
      </c>
      <c r="BC165" s="38">
        <v>2.5592634518475479</v>
      </c>
      <c r="BD165" s="38">
        <v>0.41164582641307235</v>
      </c>
      <c r="BE165" s="38">
        <v>2.4292727773135119</v>
      </c>
      <c r="BF165" s="38">
        <v>2.65</v>
      </c>
      <c r="BG165" s="38">
        <v>0.36602870813397131</v>
      </c>
      <c r="BH165" s="38">
        <v>5.5</v>
      </c>
      <c r="BI165" s="38">
        <v>5</v>
      </c>
      <c r="BJ165" s="38">
        <v>0.5</v>
      </c>
      <c r="BK165" s="38">
        <v>4.5617118279101032E-2</v>
      </c>
      <c r="BL165" s="38">
        <v>3.2853448584608563E-2</v>
      </c>
      <c r="BM165" s="38">
        <v>3.006097067349133</v>
      </c>
      <c r="BN165" s="38">
        <v>0.27313830830301145</v>
      </c>
      <c r="BO165" s="38" t="s">
        <v>192</v>
      </c>
    </row>
    <row r="166" spans="54:67" x14ac:dyDescent="0.35">
      <c r="BB166" t="s">
        <v>45</v>
      </c>
      <c r="BC166">
        <v>3.1020110492144775</v>
      </c>
      <c r="BD166">
        <v>0.58789313862915182</v>
      </c>
      <c r="BE166">
        <v>1.7009894048632686</v>
      </c>
      <c r="BF166">
        <v>1.53</v>
      </c>
      <c r="BG166">
        <v>0.63397129186602874</v>
      </c>
      <c r="BK166">
        <v>-4.6078153236876918E-2</v>
      </c>
      <c r="BL166">
        <v>-3.3185485961198753E-2</v>
      </c>
      <c r="BM166">
        <v>0</v>
      </c>
      <c r="BN166">
        <v>0</v>
      </c>
      <c r="BO166" t="s">
        <v>193</v>
      </c>
    </row>
    <row r="167" spans="54:67" x14ac:dyDescent="0.35">
      <c r="BB167" s="38" t="s">
        <v>42</v>
      </c>
      <c r="BC167" s="38">
        <v>3.2424730392885688</v>
      </c>
      <c r="BD167" s="38">
        <v>0.63644986784906088</v>
      </c>
      <c r="BE167" s="38">
        <v>1.5712156613050912</v>
      </c>
      <c r="BF167" s="38">
        <v>1.95</v>
      </c>
      <c r="BG167" s="38">
        <v>0.48952879581151842</v>
      </c>
      <c r="BH167" s="38">
        <v>5.5</v>
      </c>
      <c r="BI167" s="38">
        <v>5</v>
      </c>
      <c r="BJ167" s="38">
        <v>0.5</v>
      </c>
      <c r="BK167" s="38">
        <v>0.14692107203754246</v>
      </c>
      <c r="BL167" s="38">
        <v>0.10581255608143807</v>
      </c>
      <c r="BM167" s="38">
        <v>16.552856130264143</v>
      </c>
      <c r="BN167" s="38">
        <v>3.9905169081665601</v>
      </c>
      <c r="BO167" s="38" t="s">
        <v>192</v>
      </c>
    </row>
    <row r="168" spans="54:67" x14ac:dyDescent="0.35">
      <c r="BB168" t="s">
        <v>50</v>
      </c>
      <c r="BC168">
        <v>2.3931466936020778</v>
      </c>
      <c r="BD168">
        <v>0.36295482729264905</v>
      </c>
      <c r="BE168">
        <v>2.7551637967159586</v>
      </c>
      <c r="BF168">
        <v>1.87</v>
      </c>
      <c r="BG168">
        <v>0.51047120418848169</v>
      </c>
      <c r="BK168">
        <v>-0.14751637689583263</v>
      </c>
      <c r="BL168">
        <v>-0.10624129464037865</v>
      </c>
      <c r="BM168">
        <v>0</v>
      </c>
      <c r="BN168">
        <v>0</v>
      </c>
      <c r="BO168" t="s">
        <v>193</v>
      </c>
    </row>
    <row r="169" spans="54:67" x14ac:dyDescent="0.35">
      <c r="BB169" s="38" t="s">
        <v>44</v>
      </c>
      <c r="BC169" s="38">
        <v>2.5917055495032009</v>
      </c>
      <c r="BD169" s="38">
        <v>0.62549924570564031</v>
      </c>
      <c r="BE169" s="38">
        <v>1.5987229510914545</v>
      </c>
      <c r="BF169" s="38">
        <v>1.65</v>
      </c>
      <c r="BG169" s="38">
        <v>0.58750000000000002</v>
      </c>
      <c r="BH169" s="38">
        <v>5.5</v>
      </c>
      <c r="BI169" s="38">
        <v>5</v>
      </c>
      <c r="BJ169" s="38">
        <v>0.5</v>
      </c>
      <c r="BK169" s="38">
        <v>3.7999245705640283E-2</v>
      </c>
      <c r="BL169" s="38">
        <v>2.7367056757202132E-2</v>
      </c>
      <c r="BM169" s="38">
        <v>3.218672483174692</v>
      </c>
      <c r="BN169" s="38">
        <v>0.10323491398410356</v>
      </c>
      <c r="BO169" s="38" t="s">
        <v>192</v>
      </c>
    </row>
    <row r="170" spans="54:67" x14ac:dyDescent="0.35">
      <c r="BB170" t="s">
        <v>58</v>
      </c>
      <c r="BC170">
        <v>1.8949854221178308</v>
      </c>
      <c r="BD170">
        <v>0.37441136174212919</v>
      </c>
      <c r="BE170">
        <v>2.6708591196245175</v>
      </c>
      <c r="BF170">
        <v>2.35</v>
      </c>
      <c r="BG170">
        <v>0.41249999999999998</v>
      </c>
      <c r="BK170">
        <v>-3.8088638257870788E-2</v>
      </c>
      <c r="BL170">
        <v>-2.7431437273318541E-2</v>
      </c>
      <c r="BM170">
        <v>0</v>
      </c>
      <c r="BN170">
        <v>0</v>
      </c>
      <c r="BO170" t="s">
        <v>193</v>
      </c>
    </row>
    <row r="171" spans="54:67" x14ac:dyDescent="0.35">
      <c r="BB171" t="s">
        <v>65</v>
      </c>
      <c r="BC171">
        <v>2.1067387248926677</v>
      </c>
      <c r="BD171">
        <v>0.27137949296375397</v>
      </c>
      <c r="BE171">
        <v>3.6848768087777444</v>
      </c>
      <c r="BF171">
        <v>2.2000000000000002</v>
      </c>
      <c r="BG171">
        <v>0.43791517629024013</v>
      </c>
      <c r="BH171">
        <v>5.5</v>
      </c>
      <c r="BI171">
        <v>5</v>
      </c>
      <c r="BJ171">
        <v>0.5</v>
      </c>
      <c r="BK171">
        <v>-0.16653568332648616</v>
      </c>
      <c r="BL171">
        <v>-0.11993899913173532</v>
      </c>
      <c r="BM171">
        <v>0</v>
      </c>
      <c r="BN171">
        <v>0</v>
      </c>
      <c r="BO171" t="s">
        <v>193</v>
      </c>
    </row>
    <row r="172" spans="54:67" x14ac:dyDescent="0.35">
      <c r="BB172" s="38" t="s">
        <v>66</v>
      </c>
      <c r="BC172" s="38">
        <v>3.5801897442518174</v>
      </c>
      <c r="BD172" s="38">
        <v>0.72738944671676453</v>
      </c>
      <c r="BE172" s="38">
        <v>1.374779362711027</v>
      </c>
      <c r="BF172" s="38">
        <v>1.714</v>
      </c>
      <c r="BG172" s="38">
        <v>0.56208482370975987</v>
      </c>
      <c r="BH172" s="38"/>
      <c r="BI172" s="38"/>
      <c r="BJ172" s="38"/>
      <c r="BK172" s="38">
        <v>0.16530462300700466</v>
      </c>
      <c r="BL172" s="38">
        <v>0.11905238948964475</v>
      </c>
      <c r="BM172" s="38">
        <v>22.541944726072867</v>
      </c>
      <c r="BN172" s="38">
        <v>5.5621236855288361</v>
      </c>
      <c r="BO172" s="38" t="s">
        <v>192</v>
      </c>
    </row>
    <row r="173" spans="54:67" x14ac:dyDescent="0.35">
      <c r="BB173" s="38" t="s">
        <v>52</v>
      </c>
      <c r="BC173" s="38">
        <v>2.4086857750686308</v>
      </c>
      <c r="BD173" s="38">
        <v>0.58715127501415687</v>
      </c>
      <c r="BE173" s="38">
        <v>1.7031385991214767</v>
      </c>
      <c r="BF173" s="38">
        <v>2.2000000000000002</v>
      </c>
      <c r="BG173" s="38">
        <v>0.43791517629024013</v>
      </c>
      <c r="BH173" s="38">
        <v>5.5</v>
      </c>
      <c r="BI173" s="38">
        <v>5</v>
      </c>
      <c r="BJ173" s="38">
        <v>0.5</v>
      </c>
      <c r="BK173" s="38">
        <v>0.14923609872391674</v>
      </c>
      <c r="BL173" s="38">
        <v>0.10747983830096483</v>
      </c>
      <c r="BM173" s="38">
        <v>15.857851715821646</v>
      </c>
      <c r="BN173" s="38">
        <v>4.6262555628246087</v>
      </c>
      <c r="BO173" s="38" t="s">
        <v>192</v>
      </c>
    </row>
    <row r="174" spans="54:67" x14ac:dyDescent="0.35">
      <c r="BB174" t="s">
        <v>68</v>
      </c>
      <c r="BC174">
        <v>1.9357275388662616</v>
      </c>
      <c r="BD174">
        <v>0.41279814570658857</v>
      </c>
      <c r="BE174">
        <v>2.422491501962285</v>
      </c>
      <c r="BF174">
        <v>1.714</v>
      </c>
      <c r="BG174">
        <v>0.56208482370975987</v>
      </c>
      <c r="BK174">
        <v>-0.1492866780031713</v>
      </c>
      <c r="BL174">
        <v>-0.10751626549788397</v>
      </c>
      <c r="BM174">
        <v>0</v>
      </c>
      <c r="BN174">
        <v>0</v>
      </c>
      <c r="BO174" t="s">
        <v>193</v>
      </c>
    </row>
    <row r="175" spans="54:67" x14ac:dyDescent="0.35">
      <c r="BB175" s="38" t="s">
        <v>62</v>
      </c>
      <c r="BC175" s="38">
        <v>4.5279761785092809</v>
      </c>
      <c r="BD175" s="38">
        <v>0.86476074161083405</v>
      </c>
      <c r="BE175" s="38">
        <v>1.1563892206036652</v>
      </c>
      <c r="BF175" s="38">
        <v>1.7410000000000001</v>
      </c>
      <c r="BG175" s="38">
        <v>0.5525571832433821</v>
      </c>
      <c r="BH175" s="38">
        <v>5.5</v>
      </c>
      <c r="BI175" s="38">
        <v>5</v>
      </c>
      <c r="BJ175" s="38">
        <v>0.5</v>
      </c>
      <c r="BK175" s="38">
        <v>0.31220355836745195</v>
      </c>
      <c r="BL175" s="38">
        <v>0.22484900273623887</v>
      </c>
      <c r="BM175" s="38">
        <v>44.502551040242437</v>
      </c>
      <c r="BN175" s="38">
        <v>22.498195750371934</v>
      </c>
      <c r="BO175" s="38" t="s">
        <v>192</v>
      </c>
    </row>
    <row r="176" spans="54:67" x14ac:dyDescent="0.35">
      <c r="BB176" t="s">
        <v>38</v>
      </c>
      <c r="BC176">
        <v>1.708353888909522</v>
      </c>
      <c r="BD176">
        <v>0.12827204007094162</v>
      </c>
      <c r="BE176">
        <v>7.795931205638766</v>
      </c>
      <c r="BF176">
        <v>2.15</v>
      </c>
      <c r="BG176">
        <v>0.44744281675661779</v>
      </c>
      <c r="BK176">
        <v>-0.31917077668567617</v>
      </c>
      <c r="BL176">
        <v>-0.22986679336902396</v>
      </c>
      <c r="BM176">
        <v>0</v>
      </c>
      <c r="BN176">
        <v>0</v>
      </c>
      <c r="BO176" t="s">
        <v>193</v>
      </c>
    </row>
    <row r="177" spans="53:87" x14ac:dyDescent="0.35">
      <c r="BB177" s="38" t="s">
        <v>64</v>
      </c>
      <c r="BC177" s="38">
        <v>4.0621768496679378</v>
      </c>
      <c r="BD177" s="38">
        <v>0.768153653361068</v>
      </c>
      <c r="BE177" s="38">
        <v>1.3018228783062931</v>
      </c>
      <c r="BF177" s="38">
        <v>1.952</v>
      </c>
      <c r="BG177" s="38">
        <v>0.48927263212977506</v>
      </c>
      <c r="BH177" s="38">
        <v>5.5</v>
      </c>
      <c r="BI177" s="38">
        <v>5</v>
      </c>
      <c r="BJ177" s="38">
        <v>0.5</v>
      </c>
      <c r="BK177" s="38">
        <v>0.27888102123129294</v>
      </c>
      <c r="BL177" s="38">
        <v>0.20085011149077717</v>
      </c>
      <c r="BM177" s="38">
        <v>34.220249081646699</v>
      </c>
      <c r="BN177" s="38">
        <v>17.090821971490946</v>
      </c>
      <c r="BO177" s="38" t="s">
        <v>192</v>
      </c>
    </row>
    <row r="178" spans="53:87" x14ac:dyDescent="0.35">
      <c r="BB178" t="s">
        <v>49</v>
      </c>
      <c r="BC178">
        <v>2.1856485620291712</v>
      </c>
      <c r="BD178">
        <v>0.22864322311971236</v>
      </c>
      <c r="BE178">
        <v>4.3736262389741718</v>
      </c>
      <c r="BF178">
        <v>1.87</v>
      </c>
      <c r="BG178">
        <v>0.5107273678702251</v>
      </c>
      <c r="BK178">
        <v>-0.28208414475051274</v>
      </c>
      <c r="BL178">
        <v>-0.20315700104931927</v>
      </c>
      <c r="BM178">
        <v>0</v>
      </c>
      <c r="BN178">
        <v>0</v>
      </c>
      <c r="BO178" t="s">
        <v>193</v>
      </c>
    </row>
    <row r="179" spans="53:87" x14ac:dyDescent="0.35">
      <c r="BB179" s="38" t="s">
        <v>46</v>
      </c>
      <c r="BC179" s="38">
        <v>4.3580606031428761</v>
      </c>
      <c r="BD179" s="38">
        <v>0.84633366447576175</v>
      </c>
      <c r="BE179" s="38">
        <v>1.1815670839696808</v>
      </c>
      <c r="BF179" s="38">
        <v>1.444</v>
      </c>
      <c r="BG179" s="38">
        <v>0.66371681415929207</v>
      </c>
      <c r="BH179" s="38">
        <v>5.5</v>
      </c>
      <c r="BI179" s="38">
        <v>5</v>
      </c>
      <c r="BJ179" s="38">
        <v>0.5</v>
      </c>
      <c r="BK179" s="38">
        <v>0.18261685031646968</v>
      </c>
      <c r="BL179" s="38">
        <v>0.13152065559792145</v>
      </c>
      <c r="BM179" s="38">
        <v>32.630015708703105</v>
      </c>
      <c r="BN179" s="38">
        <v>7.247316118337138</v>
      </c>
      <c r="BO179" s="38" t="s">
        <v>192</v>
      </c>
    </row>
    <row r="180" spans="53:87" x14ac:dyDescent="0.35">
      <c r="BB180" t="s">
        <v>61</v>
      </c>
      <c r="BC180">
        <v>1.7756731563464978</v>
      </c>
      <c r="BD180">
        <v>0.14835109725848189</v>
      </c>
      <c r="BE180">
        <v>6.7407657811767585</v>
      </c>
      <c r="BF180">
        <v>2.85</v>
      </c>
      <c r="BG180">
        <v>0.33628318584070793</v>
      </c>
      <c r="BK180">
        <v>-0.18793208858222604</v>
      </c>
      <c r="BL180">
        <v>-0.1353486901969192</v>
      </c>
      <c r="BM180">
        <v>0</v>
      </c>
      <c r="BN180">
        <v>0</v>
      </c>
      <c r="BO180" t="s">
        <v>193</v>
      </c>
    </row>
    <row r="181" spans="53:87" x14ac:dyDescent="0.35">
      <c r="BA181" t="s">
        <v>213</v>
      </c>
      <c r="BB181" t="s">
        <v>41</v>
      </c>
      <c r="BC181">
        <v>2.6159092255790748</v>
      </c>
      <c r="BD181">
        <v>0.71414134826679632</v>
      </c>
      <c r="BE181">
        <v>1.4002830145978464</v>
      </c>
      <c r="BF181">
        <v>2.25</v>
      </c>
      <c r="BG181">
        <v>0.42893401015228422</v>
      </c>
      <c r="BH181">
        <v>5.5</v>
      </c>
      <c r="BI181">
        <v>5</v>
      </c>
      <c r="BJ181">
        <v>0.5</v>
      </c>
      <c r="BK181">
        <v>0.2852073381145121</v>
      </c>
      <c r="BL181">
        <v>0.2054063249100716</v>
      </c>
      <c r="BM181">
        <v>32.309253470735555</v>
      </c>
      <c r="BN181">
        <v>19.605837658205147</v>
      </c>
      <c r="BO181" t="s">
        <v>192</v>
      </c>
      <c r="BP181">
        <f>IF(AND(BA181="A",BF181&lt;2,BO181="BET"),"BET",)</f>
        <v>0</v>
      </c>
    </row>
    <row r="182" spans="53:87" x14ac:dyDescent="0.35">
      <c r="BA182" t="s">
        <v>153</v>
      </c>
      <c r="BB182" t="s">
        <v>57</v>
      </c>
      <c r="BC182">
        <v>1.4480900955345433</v>
      </c>
      <c r="BD182">
        <v>0.28576684289612286</v>
      </c>
      <c r="BE182">
        <v>3.4993562929324979</v>
      </c>
      <c r="BF182">
        <v>1.69</v>
      </c>
      <c r="BG182">
        <v>0.57106598984771573</v>
      </c>
      <c r="BK182">
        <v>-0.28529914695159286</v>
      </c>
      <c r="BL182">
        <v>-0.20547244563453718</v>
      </c>
      <c r="BM182">
        <v>0</v>
      </c>
      <c r="BN182">
        <v>0</v>
      </c>
      <c r="BO182" t="s">
        <v>193</v>
      </c>
      <c r="BP182">
        <f t="shared" ref="BP182:BP195" si="7">IF(AND(BA182="A",BF182&lt;2,BO182="BET"),"BET",)</f>
        <v>0</v>
      </c>
    </row>
    <row r="183" spans="53:87" x14ac:dyDescent="0.35">
      <c r="BA183" t="s">
        <v>213</v>
      </c>
      <c r="BB183" t="s">
        <v>59</v>
      </c>
      <c r="BC183">
        <v>4.1638878250761051</v>
      </c>
      <c r="BD183">
        <v>0.65447700942962794</v>
      </c>
      <c r="BE183">
        <v>1.5279375525681076</v>
      </c>
      <c r="BF183">
        <v>1.95</v>
      </c>
      <c r="BG183">
        <v>0.48952879581151842</v>
      </c>
      <c r="BH183">
        <v>5.5</v>
      </c>
      <c r="BI183">
        <v>5</v>
      </c>
      <c r="BJ183">
        <v>0.5</v>
      </c>
      <c r="BK183">
        <v>0.16494821361810952</v>
      </c>
      <c r="BL183">
        <v>0.11879570344776247</v>
      </c>
      <c r="BM183">
        <v>19.352004686152071</v>
      </c>
      <c r="BN183">
        <v>5.3456075130967875</v>
      </c>
      <c r="BO183" t="s">
        <v>192</v>
      </c>
      <c r="BP183" t="str">
        <f t="shared" si="7"/>
        <v>BET</v>
      </c>
      <c r="BT183" t="s">
        <v>213</v>
      </c>
      <c r="BU183" t="s">
        <v>59</v>
      </c>
      <c r="BV183">
        <v>4.1638878250761051</v>
      </c>
      <c r="BW183">
        <v>0.65447700942962794</v>
      </c>
      <c r="BX183">
        <v>1.5279375525681076</v>
      </c>
      <c r="BY183">
        <v>1.95</v>
      </c>
      <c r="BZ183">
        <v>0.48952879581151842</v>
      </c>
      <c r="CA183">
        <v>5.5</v>
      </c>
      <c r="CB183">
        <v>5</v>
      </c>
      <c r="CC183">
        <v>0.5</v>
      </c>
      <c r="CD183">
        <v>0.16494821361810952</v>
      </c>
      <c r="CE183">
        <v>0.11879570344776247</v>
      </c>
      <c r="CF183">
        <v>19.352004686152071</v>
      </c>
      <c r="CG183">
        <v>5.3456075130967875</v>
      </c>
      <c r="CH183" t="s">
        <v>192</v>
      </c>
      <c r="CI183" t="str">
        <f>IF(AND(BT183="A",BY183&lt;2,CH183="BET"),"BET",)</f>
        <v>BET</v>
      </c>
    </row>
    <row r="184" spans="53:87" x14ac:dyDescent="0.35">
      <c r="BA184" t="s">
        <v>153</v>
      </c>
      <c r="BB184" t="s">
        <v>60</v>
      </c>
      <c r="BC184">
        <v>3.0516844123689597</v>
      </c>
      <c r="BD184">
        <v>0.34136726300155024</v>
      </c>
      <c r="BE184">
        <v>2.9293963082671426</v>
      </c>
      <c r="BF184">
        <v>1.87</v>
      </c>
      <c r="BG184">
        <v>0.51047120418848169</v>
      </c>
      <c r="BK184">
        <v>-0.16910394118693145</v>
      </c>
      <c r="BL184">
        <v>-0.12178865844282802</v>
      </c>
      <c r="BM184">
        <v>0</v>
      </c>
      <c r="BN184">
        <v>0</v>
      </c>
      <c r="BO184" t="s">
        <v>193</v>
      </c>
      <c r="BP184">
        <f t="shared" si="7"/>
        <v>0</v>
      </c>
      <c r="BT184" t="s">
        <v>213</v>
      </c>
      <c r="BU184" t="s">
        <v>56</v>
      </c>
      <c r="BV184">
        <v>2.3042358704644821</v>
      </c>
      <c r="BW184">
        <v>0.67916186048467553</v>
      </c>
      <c r="BX184">
        <v>1.4724030576251179</v>
      </c>
      <c r="BY184">
        <v>1.69</v>
      </c>
      <c r="BZ184">
        <v>0.57106598984771573</v>
      </c>
      <c r="CA184">
        <v>5.5</v>
      </c>
      <c r="CB184">
        <v>5</v>
      </c>
      <c r="CC184">
        <v>0.5</v>
      </c>
      <c r="CD184">
        <v>0.1080958706369598</v>
      </c>
      <c r="CE184">
        <v>7.7850646032738446E-2</v>
      </c>
      <c r="CF184">
        <v>14.254613447217571</v>
      </c>
      <c r="CG184">
        <v>2.1065972967030779</v>
      </c>
      <c r="CH184" t="s">
        <v>192</v>
      </c>
      <c r="CI184" t="s">
        <v>192</v>
      </c>
    </row>
    <row r="185" spans="53:87" x14ac:dyDescent="0.35">
      <c r="BA185" t="s">
        <v>213</v>
      </c>
      <c r="BB185" t="s">
        <v>48</v>
      </c>
      <c r="BC185">
        <v>3.1723836858693724</v>
      </c>
      <c r="BD185">
        <v>0.58667261001806148</v>
      </c>
      <c r="BE185">
        <v>1.7045281864602708</v>
      </c>
      <c r="BF185">
        <v>2.6</v>
      </c>
      <c r="BG185">
        <v>0.375</v>
      </c>
      <c r="BH185">
        <v>5.5</v>
      </c>
      <c r="BI185">
        <v>5</v>
      </c>
      <c r="BJ185">
        <v>0.5</v>
      </c>
      <c r="BK185">
        <v>0.21167261001806148</v>
      </c>
      <c r="BL185">
        <v>0.15244661373500787</v>
      </c>
      <c r="BM185">
        <v>21.852755569167485</v>
      </c>
      <c r="BN185">
        <v>11.480318610043081</v>
      </c>
      <c r="BO185" t="s">
        <v>192</v>
      </c>
      <c r="BP185">
        <f t="shared" si="7"/>
        <v>0</v>
      </c>
      <c r="BT185" t="s">
        <v>213</v>
      </c>
      <c r="BU185" t="s">
        <v>42</v>
      </c>
      <c r="BV185">
        <v>3.1989398880574416</v>
      </c>
      <c r="BW185">
        <v>0.68785552868860045</v>
      </c>
      <c r="BX185">
        <v>1.4537936503999676</v>
      </c>
      <c r="BY185">
        <v>1.8</v>
      </c>
      <c r="BZ185">
        <v>0.53246753246753253</v>
      </c>
      <c r="CA185">
        <v>5.5</v>
      </c>
      <c r="CB185">
        <v>5</v>
      </c>
      <c r="CC185">
        <v>0.5</v>
      </c>
      <c r="CD185">
        <v>0.15538799622106791</v>
      </c>
      <c r="CE185">
        <v>0.11191043487841311</v>
      </c>
      <c r="CF185">
        <v>19.811653867477538</v>
      </c>
      <c r="CG185">
        <v>4.7179462938992334</v>
      </c>
      <c r="CH185" t="s">
        <v>192</v>
      </c>
      <c r="CI185" t="s">
        <v>192</v>
      </c>
    </row>
    <row r="186" spans="53:87" x14ac:dyDescent="0.35">
      <c r="BA186" t="s">
        <v>153</v>
      </c>
      <c r="BB186" t="s">
        <v>43</v>
      </c>
      <c r="BC186">
        <v>2.6304181747942561</v>
      </c>
      <c r="BD186">
        <v>0.41276829161119949</v>
      </c>
      <c r="BE186">
        <v>2.4226667123499257</v>
      </c>
      <c r="BF186">
        <v>1.56</v>
      </c>
      <c r="BG186">
        <v>0.625</v>
      </c>
      <c r="BK186">
        <v>-0.21223170838880051</v>
      </c>
      <c r="BL186">
        <v>-0.15284927638161411</v>
      </c>
      <c r="BM186">
        <v>0</v>
      </c>
      <c r="BN186">
        <v>0</v>
      </c>
      <c r="BO186" t="s">
        <v>193</v>
      </c>
      <c r="BP186">
        <f t="shared" si="7"/>
        <v>0</v>
      </c>
      <c r="BT186" t="s">
        <v>213</v>
      </c>
      <c r="BU186" t="s">
        <v>63</v>
      </c>
      <c r="BV186">
        <v>2.6288696965656371</v>
      </c>
      <c r="BW186">
        <v>0.6976529440998771</v>
      </c>
      <c r="BX186">
        <v>1.4333774528683683</v>
      </c>
      <c r="BY186">
        <v>1.56</v>
      </c>
      <c r="BZ186">
        <v>0.625</v>
      </c>
      <c r="CA186">
        <v>5.5</v>
      </c>
      <c r="CB186">
        <v>5</v>
      </c>
      <c r="CC186">
        <v>0.5</v>
      </c>
      <c r="CD186">
        <v>7.2652944099877104E-2</v>
      </c>
      <c r="CE186">
        <v>5.2324650340731485E-2</v>
      </c>
      <c r="CF186">
        <v>10.49883009406717</v>
      </c>
      <c r="CG186">
        <v>0.92745187651217798</v>
      </c>
      <c r="CH186" t="s">
        <v>192</v>
      </c>
      <c r="CI186" t="s">
        <v>192</v>
      </c>
    </row>
    <row r="187" spans="53:87" x14ac:dyDescent="0.35">
      <c r="BA187" t="s">
        <v>213</v>
      </c>
      <c r="BB187" t="s">
        <v>58</v>
      </c>
      <c r="BC187">
        <v>2.8240059408551086</v>
      </c>
      <c r="BD187">
        <v>0.48110600712906959</v>
      </c>
      <c r="BE187">
        <v>2.0785439906837895</v>
      </c>
      <c r="BF187">
        <v>3.15</v>
      </c>
      <c r="BG187">
        <v>0.30463576158940392</v>
      </c>
      <c r="BH187">
        <v>5.5</v>
      </c>
      <c r="BI187">
        <v>5</v>
      </c>
      <c r="BJ187">
        <v>0.5</v>
      </c>
      <c r="BK187">
        <v>0.17647024553966567</v>
      </c>
      <c r="BL187">
        <v>0.12709387083766721</v>
      </c>
      <c r="BM187">
        <v>15.957142458536383</v>
      </c>
      <c r="BN187">
        <v>8.2256503857245971</v>
      </c>
      <c r="BO187" t="s">
        <v>192</v>
      </c>
      <c r="BP187">
        <f t="shared" si="7"/>
        <v>0</v>
      </c>
      <c r="BT187" t="s">
        <v>213</v>
      </c>
      <c r="BU187" t="s">
        <v>64</v>
      </c>
      <c r="BV187">
        <v>3.8993743078516685</v>
      </c>
      <c r="BW187">
        <v>0.80620020608710574</v>
      </c>
      <c r="BX187">
        <v>1.2403866836669541</v>
      </c>
      <c r="BY187">
        <v>1.87</v>
      </c>
      <c r="BZ187">
        <v>0.51047120418848169</v>
      </c>
      <c r="CA187">
        <v>5.5</v>
      </c>
      <c r="CB187">
        <v>5</v>
      </c>
      <c r="CC187">
        <v>0.5</v>
      </c>
      <c r="CD187">
        <v>0.29572900189862406</v>
      </c>
      <c r="CE187">
        <v>0.21298402716738904</v>
      </c>
      <c r="CF187">
        <v>39.98685074748407</v>
      </c>
      <c r="CG187">
        <v>20.29710092856644</v>
      </c>
      <c r="CH187" t="s">
        <v>192</v>
      </c>
      <c r="CI187" t="s">
        <v>192</v>
      </c>
    </row>
    <row r="188" spans="53:87" x14ac:dyDescent="0.35">
      <c r="BA188" t="s">
        <v>153</v>
      </c>
      <c r="BB188" t="s">
        <v>53</v>
      </c>
      <c r="BC188">
        <v>2.9392724872388656</v>
      </c>
      <c r="BD188">
        <v>0.51847151947070103</v>
      </c>
      <c r="BE188">
        <v>1.9287462521005656</v>
      </c>
      <c r="BF188">
        <v>1.38</v>
      </c>
      <c r="BG188">
        <v>0.69536423841059603</v>
      </c>
      <c r="BK188">
        <v>-0.176892718939895</v>
      </c>
      <c r="BL188">
        <v>-0.12739813618051238</v>
      </c>
      <c r="BM188">
        <v>0</v>
      </c>
      <c r="BN188">
        <v>0</v>
      </c>
      <c r="BO188" t="s">
        <v>193</v>
      </c>
      <c r="BP188">
        <f t="shared" si="7"/>
        <v>0</v>
      </c>
      <c r="BT188" t="s">
        <v>213</v>
      </c>
      <c r="BU188" t="s">
        <v>62</v>
      </c>
      <c r="BV188">
        <v>4.9100448503283802</v>
      </c>
      <c r="BW188">
        <v>0.86331954919024667</v>
      </c>
      <c r="BX188">
        <v>1.1583196522515367</v>
      </c>
      <c r="BY188">
        <v>1.69</v>
      </c>
      <c r="BZ188">
        <v>0.57106598984771573</v>
      </c>
      <c r="CA188">
        <v>5.5</v>
      </c>
      <c r="CB188">
        <v>5</v>
      </c>
      <c r="CC188">
        <v>0.5</v>
      </c>
      <c r="CD188">
        <v>0.29225355934253094</v>
      </c>
      <c r="CE188">
        <v>0.21048101343849077</v>
      </c>
      <c r="CF188">
        <v>45.592429706489568</v>
      </c>
      <c r="CG188">
        <v>20.927382898084279</v>
      </c>
      <c r="CH188" t="s">
        <v>192</v>
      </c>
      <c r="CI188" t="s">
        <v>192</v>
      </c>
    </row>
    <row r="189" spans="53:87" x14ac:dyDescent="0.35">
      <c r="BA189" t="s">
        <v>213</v>
      </c>
      <c r="BB189" t="s">
        <v>56</v>
      </c>
      <c r="BC189">
        <v>2.3042358704644821</v>
      </c>
      <c r="BD189">
        <v>0.67916186048467553</v>
      </c>
      <c r="BE189">
        <v>1.4724030576251179</v>
      </c>
      <c r="BF189">
        <v>1.69</v>
      </c>
      <c r="BG189">
        <v>0.57106598984771573</v>
      </c>
      <c r="BH189">
        <v>5.5</v>
      </c>
      <c r="BI189">
        <v>5</v>
      </c>
      <c r="BJ189">
        <v>0.5</v>
      </c>
      <c r="BK189">
        <v>0.1080958706369598</v>
      </c>
      <c r="BL189">
        <v>7.7850646032738446E-2</v>
      </c>
      <c r="BM189">
        <v>14.254613447217571</v>
      </c>
      <c r="BN189">
        <v>2.1065972967030779</v>
      </c>
      <c r="BO189" t="s">
        <v>192</v>
      </c>
      <c r="BP189" t="str">
        <f t="shared" si="7"/>
        <v>BET</v>
      </c>
      <c r="BT189" t="s">
        <v>213</v>
      </c>
      <c r="BU189" t="s">
        <v>39</v>
      </c>
      <c r="BV189">
        <v>2.8357399866177109</v>
      </c>
      <c r="BW189">
        <v>0.56029407674041565</v>
      </c>
      <c r="BX189">
        <v>1.7847770331923394</v>
      </c>
      <c r="BY189">
        <v>1.87</v>
      </c>
      <c r="BZ189">
        <v>0.51047120418848169</v>
      </c>
      <c r="CA189">
        <v>5.5</v>
      </c>
      <c r="CB189">
        <v>5</v>
      </c>
      <c r="CC189">
        <v>0.5</v>
      </c>
      <c r="CD189">
        <v>4.9822872551933961E-2</v>
      </c>
      <c r="CE189">
        <v>3.5882432811902835E-2</v>
      </c>
      <c r="CF189">
        <v>3.7616039880761116</v>
      </c>
      <c r="CG189">
        <v>0.17961630268514739</v>
      </c>
      <c r="CH189" t="s">
        <v>192</v>
      </c>
      <c r="CI189" t="s">
        <v>192</v>
      </c>
    </row>
    <row r="190" spans="53:87" x14ac:dyDescent="0.35">
      <c r="BA190" t="s">
        <v>153</v>
      </c>
      <c r="BB190" t="s">
        <v>54</v>
      </c>
      <c r="BC190">
        <v>1.3834299998068804</v>
      </c>
      <c r="BD190">
        <v>0.32080791208986947</v>
      </c>
      <c r="BE190">
        <v>3.1171301028257221</v>
      </c>
      <c r="BF190">
        <v>2.25</v>
      </c>
      <c r="BG190">
        <v>0.42893401015228422</v>
      </c>
      <c r="BK190">
        <v>-0.10812609806241474</v>
      </c>
      <c r="BL190">
        <v>-7.7872415824551094E-2</v>
      </c>
      <c r="BM190">
        <v>0</v>
      </c>
      <c r="BN190">
        <v>0</v>
      </c>
      <c r="BO190" t="s">
        <v>193</v>
      </c>
      <c r="BP190">
        <f t="shared" si="7"/>
        <v>0</v>
      </c>
      <c r="BT190" t="s">
        <v>213</v>
      </c>
      <c r="BU190" t="s">
        <v>57</v>
      </c>
      <c r="BV190">
        <v>2.4811853216516102</v>
      </c>
      <c r="BW190">
        <v>0.72543349404956459</v>
      </c>
      <c r="BX190">
        <v>1.3784861165118409</v>
      </c>
      <c r="BY190">
        <v>1.87</v>
      </c>
      <c r="BZ190">
        <v>0.51047120418848169</v>
      </c>
      <c r="CA190">
        <v>5.5</v>
      </c>
      <c r="CB190">
        <v>5</v>
      </c>
      <c r="CC190">
        <v>0.5</v>
      </c>
      <c r="CD190">
        <v>0.2149622898610829</v>
      </c>
      <c r="CE190">
        <v>0.15481584115795188</v>
      </c>
      <c r="CF190">
        <v>33.206378260457171</v>
      </c>
      <c r="CG190">
        <v>11.840087281164783</v>
      </c>
      <c r="CH190" t="s">
        <v>192</v>
      </c>
      <c r="CI190" t="s">
        <v>192</v>
      </c>
    </row>
    <row r="191" spans="53:87" x14ac:dyDescent="0.35">
      <c r="BA191" t="s">
        <v>213</v>
      </c>
      <c r="BB191" t="s">
        <v>65</v>
      </c>
      <c r="BC191">
        <v>2.2897585105218203</v>
      </c>
      <c r="BD191">
        <v>0.39306711796069005</v>
      </c>
      <c r="BE191">
        <v>2.5440947723844158</v>
      </c>
      <c r="BF191">
        <v>2</v>
      </c>
      <c r="BG191">
        <v>0.47780678851174935</v>
      </c>
      <c r="BH191">
        <v>5.5</v>
      </c>
      <c r="BI191">
        <v>5</v>
      </c>
      <c r="BJ191">
        <v>0.5</v>
      </c>
      <c r="BK191">
        <v>-8.4739670551059298E-2</v>
      </c>
      <c r="BL191">
        <v>-6.1029510730872906E-2</v>
      </c>
      <c r="BM191">
        <v>0</v>
      </c>
      <c r="BN191">
        <v>0</v>
      </c>
      <c r="BO191" t="s">
        <v>193</v>
      </c>
      <c r="BP191">
        <f t="shared" si="7"/>
        <v>0</v>
      </c>
      <c r="BT191" t="s">
        <v>213</v>
      </c>
      <c r="BU191" t="s">
        <v>50</v>
      </c>
      <c r="BV191">
        <v>3.6014719205940007</v>
      </c>
      <c r="BW191">
        <v>0.85794091477105794</v>
      </c>
      <c r="BX191">
        <v>1.1655814319880649</v>
      </c>
      <c r="BY191">
        <v>1.71</v>
      </c>
      <c r="BZ191">
        <v>0.56265984654731449</v>
      </c>
      <c r="CA191">
        <v>5.5</v>
      </c>
      <c r="CB191">
        <v>5</v>
      </c>
      <c r="CC191">
        <v>0.5</v>
      </c>
      <c r="CD191">
        <v>0.29528106822374345</v>
      </c>
      <c r="CE191">
        <v>0.21266142533474003</v>
      </c>
      <c r="CF191">
        <v>53.30148759883128</v>
      </c>
      <c r="CG191">
        <v>24.896003621099879</v>
      </c>
      <c r="CH191" t="s">
        <v>192</v>
      </c>
      <c r="CI191" t="s">
        <v>192</v>
      </c>
    </row>
    <row r="192" spans="53:87" x14ac:dyDescent="0.35">
      <c r="BA192" t="s">
        <v>153</v>
      </c>
      <c r="BB192" t="s">
        <v>66</v>
      </c>
      <c r="BC192">
        <v>2.923921248715585</v>
      </c>
      <c r="BD192">
        <v>0.60666863272119509</v>
      </c>
      <c r="BE192">
        <v>1.6483463064746369</v>
      </c>
      <c r="BF192">
        <v>1.83</v>
      </c>
      <c r="BG192">
        <v>0.5221932114882506</v>
      </c>
      <c r="BK192">
        <v>8.4475421232944492E-2</v>
      </c>
      <c r="BL192">
        <v>6.0839198371966621E-2</v>
      </c>
      <c r="BM192">
        <v>8.8368226426455756</v>
      </c>
      <c r="BN192">
        <v>0.97384964904511051</v>
      </c>
      <c r="BO192" t="s">
        <v>192</v>
      </c>
      <c r="BP192">
        <f t="shared" si="7"/>
        <v>0</v>
      </c>
      <c r="BT192" t="s">
        <v>213</v>
      </c>
      <c r="BU192" t="s">
        <v>64</v>
      </c>
      <c r="BV192">
        <v>3.2680647639794738</v>
      </c>
      <c r="BW192">
        <v>0.7654253789307881</v>
      </c>
      <c r="BX192">
        <v>1.3064630825239762</v>
      </c>
      <c r="BY192">
        <v>1.63</v>
      </c>
      <c r="BZ192">
        <v>0.59553349875930517</v>
      </c>
      <c r="CA192">
        <v>5.5</v>
      </c>
      <c r="CB192">
        <v>5</v>
      </c>
      <c r="CC192">
        <v>0.5</v>
      </c>
      <c r="CD192">
        <v>0.16989188017148293</v>
      </c>
      <c r="CE192">
        <v>0.122356132099502</v>
      </c>
      <c r="CF192">
        <v>31.848832883694204</v>
      </c>
      <c r="CG192">
        <v>7.8871522312689102</v>
      </c>
      <c r="CH192" t="s">
        <v>192</v>
      </c>
      <c r="CI192" t="s">
        <v>192</v>
      </c>
    </row>
    <row r="193" spans="53:87" x14ac:dyDescent="0.35">
      <c r="BA193" t="s">
        <v>213</v>
      </c>
      <c r="BB193" t="s">
        <v>42</v>
      </c>
      <c r="BC193">
        <v>3.1989398880574416</v>
      </c>
      <c r="BD193">
        <v>0.68785552868860045</v>
      </c>
      <c r="BE193">
        <v>1.4537936503999676</v>
      </c>
      <c r="BF193">
        <v>1.8</v>
      </c>
      <c r="BG193">
        <v>0.53246753246753253</v>
      </c>
      <c r="BH193">
        <v>5.5</v>
      </c>
      <c r="BI193">
        <v>5</v>
      </c>
      <c r="BJ193">
        <v>0.5</v>
      </c>
      <c r="BK193">
        <v>0.15538799622106791</v>
      </c>
      <c r="BL193">
        <v>0.11191043487841311</v>
      </c>
      <c r="BM193">
        <v>19.811653867477538</v>
      </c>
      <c r="BN193">
        <v>4.7179462938992334</v>
      </c>
      <c r="BO193" t="s">
        <v>192</v>
      </c>
      <c r="BP193" t="str">
        <f t="shared" si="7"/>
        <v>BET</v>
      </c>
      <c r="BT193" t="s">
        <v>213</v>
      </c>
      <c r="BU193" t="s">
        <v>52</v>
      </c>
      <c r="BV193">
        <v>3.0598120580248374</v>
      </c>
      <c r="BW193">
        <v>0.73053433108689658</v>
      </c>
      <c r="BX193">
        <v>1.3688610616179935</v>
      </c>
      <c r="BY193">
        <v>1.71</v>
      </c>
      <c r="BZ193">
        <v>0.56265984654731449</v>
      </c>
      <c r="CA193">
        <v>5.5</v>
      </c>
      <c r="CB193">
        <v>5</v>
      </c>
      <c r="CC193">
        <v>0.5</v>
      </c>
      <c r="CD193">
        <v>0.16787448453958209</v>
      </c>
      <c r="CE193">
        <v>0.12090320376540702</v>
      </c>
      <c r="CF193">
        <v>30.592642375426443</v>
      </c>
      <c r="CG193">
        <v>7.6241057875644493</v>
      </c>
      <c r="CH193" t="s">
        <v>192</v>
      </c>
      <c r="CI193" t="s">
        <v>192</v>
      </c>
    </row>
    <row r="194" spans="53:87" x14ac:dyDescent="0.35">
      <c r="BA194" t="s">
        <v>153</v>
      </c>
      <c r="BB194" t="s">
        <v>55</v>
      </c>
      <c r="BC194">
        <v>2.051290070780321</v>
      </c>
      <c r="BD194">
        <v>0.31163816802009781</v>
      </c>
      <c r="BE194">
        <v>3.2088495653571845</v>
      </c>
      <c r="BF194">
        <v>2.0499999999999998</v>
      </c>
      <c r="BG194">
        <v>0.46753246753246758</v>
      </c>
      <c r="BK194">
        <v>-0.15589429951236977</v>
      </c>
      <c r="BL194">
        <v>-0.11227507450880871</v>
      </c>
      <c r="BM194">
        <v>0</v>
      </c>
      <c r="BN194">
        <v>0</v>
      </c>
      <c r="BO194" t="s">
        <v>193</v>
      </c>
      <c r="BP194">
        <f t="shared" si="7"/>
        <v>0</v>
      </c>
      <c r="BT194" t="s">
        <v>213</v>
      </c>
      <c r="BU194" t="s">
        <v>62</v>
      </c>
      <c r="BV194">
        <v>3.7900884227621519</v>
      </c>
      <c r="BW194">
        <v>0.72839243387432073</v>
      </c>
      <c r="BX194">
        <v>1.3728863089378869</v>
      </c>
      <c r="BY194">
        <v>1.74</v>
      </c>
      <c r="BZ194">
        <v>0.5526992287917738</v>
      </c>
      <c r="CA194">
        <v>5.5</v>
      </c>
      <c r="CB194">
        <v>5</v>
      </c>
      <c r="CC194">
        <v>0.5</v>
      </c>
      <c r="CD194">
        <v>0.17569320508254693</v>
      </c>
      <c r="CE194">
        <v>0.12653424630045029</v>
      </c>
      <c r="CF194">
        <v>31.494716420665057</v>
      </c>
      <c r="CG194">
        <v>8.4217764565587157</v>
      </c>
      <c r="CH194" t="s">
        <v>192</v>
      </c>
      <c r="CI194" t="s">
        <v>192</v>
      </c>
    </row>
    <row r="195" spans="53:87" x14ac:dyDescent="0.35">
      <c r="BA195" t="s">
        <v>213</v>
      </c>
      <c r="BB195" t="s">
        <v>63</v>
      </c>
      <c r="BC195">
        <v>2.6288696965656371</v>
      </c>
      <c r="BD195">
        <v>0.6976529440998771</v>
      </c>
      <c r="BE195">
        <v>1.4333774528683683</v>
      </c>
      <c r="BF195">
        <v>1.56</v>
      </c>
      <c r="BG195">
        <v>0.625</v>
      </c>
      <c r="BH195">
        <v>5.5</v>
      </c>
      <c r="BI195">
        <v>5</v>
      </c>
      <c r="BJ195">
        <v>0.5</v>
      </c>
      <c r="BK195">
        <v>7.2652944099877104E-2</v>
      </c>
      <c r="BL195">
        <v>5.2324650340731485E-2</v>
      </c>
      <c r="BM195">
        <v>10.49883009406717</v>
      </c>
      <c r="BN195">
        <v>0.92745187651217798</v>
      </c>
      <c r="BO195" t="s">
        <v>192</v>
      </c>
      <c r="BP195" t="str">
        <f t="shared" si="7"/>
        <v>BET</v>
      </c>
      <c r="BT195" t="s">
        <v>213</v>
      </c>
      <c r="BU195" t="s">
        <v>68</v>
      </c>
      <c r="BV195">
        <v>3.0347101572630155</v>
      </c>
      <c r="BW195">
        <v>0.76915993167412611</v>
      </c>
      <c r="BX195">
        <v>1.300119726496199</v>
      </c>
      <c r="BY195">
        <v>1.48</v>
      </c>
      <c r="BZ195">
        <v>0.65011820330969272</v>
      </c>
      <c r="CA195">
        <v>5.5</v>
      </c>
      <c r="CB195">
        <v>5</v>
      </c>
      <c r="CC195">
        <v>0.5</v>
      </c>
      <c r="CD195">
        <v>0.11904172836443339</v>
      </c>
      <c r="CE195">
        <v>8.5733852768064917E-2</v>
      </c>
      <c r="CF195">
        <v>25.122471883000681</v>
      </c>
      <c r="CG195">
        <v>3.4758622773799779</v>
      </c>
      <c r="CH195" t="s">
        <v>192</v>
      </c>
      <c r="CI195" t="s">
        <v>192</v>
      </c>
    </row>
    <row r="196" spans="53:87" x14ac:dyDescent="0.35">
      <c r="BA196" t="s">
        <v>153</v>
      </c>
      <c r="BB196" t="s">
        <v>47</v>
      </c>
      <c r="BC196">
        <v>1.5446549312923492</v>
      </c>
      <c r="BD196">
        <v>0.30225091816469263</v>
      </c>
      <c r="BE196">
        <v>3.308509387075254</v>
      </c>
      <c r="BF196">
        <v>2.6</v>
      </c>
      <c r="BG196">
        <v>0.375</v>
      </c>
      <c r="BK196">
        <v>-7.2749081835307372E-2</v>
      </c>
      <c r="BL196">
        <v>-5.2393888737788365E-2</v>
      </c>
      <c r="BM196">
        <v>0</v>
      </c>
      <c r="BN196">
        <v>0</v>
      </c>
      <c r="BO196" t="s">
        <v>193</v>
      </c>
      <c r="BP196">
        <f>IF(AND(BA196="A",BF196&lt;2,BO196="BET"),"BET",)</f>
        <v>0</v>
      </c>
      <c r="BT196" t="s">
        <v>213</v>
      </c>
      <c r="BU196" t="s">
        <v>57</v>
      </c>
      <c r="BV196">
        <v>3.4668661947180932</v>
      </c>
      <c r="BW196">
        <v>0.86140806604779641</v>
      </c>
      <c r="BX196">
        <v>1.1608899886299806</v>
      </c>
      <c r="BY196">
        <v>1.87</v>
      </c>
      <c r="BZ196">
        <v>0.51047120418848169</v>
      </c>
      <c r="CA196">
        <v>5.5</v>
      </c>
      <c r="CB196">
        <v>5</v>
      </c>
      <c r="CC196">
        <v>0.5</v>
      </c>
      <c r="CD196">
        <v>0.35093686185931472</v>
      </c>
      <c r="CE196">
        <v>0.25274472791107844</v>
      </c>
      <c r="CF196">
        <v>68.393779817413119</v>
      </c>
      <c r="CG196">
        <v>41.777183418732022</v>
      </c>
      <c r="CH196" t="s">
        <v>192</v>
      </c>
      <c r="CI196" t="s">
        <v>192</v>
      </c>
    </row>
    <row r="197" spans="53:87" x14ac:dyDescent="0.35">
      <c r="BA197" t="s">
        <v>213</v>
      </c>
      <c r="BB197" t="s">
        <v>67</v>
      </c>
      <c r="BC197">
        <v>3.0085964179164955</v>
      </c>
      <c r="BD197">
        <v>0.52183849040732355</v>
      </c>
      <c r="BE197">
        <v>1.9163017262667712</v>
      </c>
      <c r="BF197">
        <v>2.25</v>
      </c>
      <c r="BG197">
        <v>0.42893401015228422</v>
      </c>
      <c r="BH197">
        <v>5.5</v>
      </c>
      <c r="BI197">
        <v>5</v>
      </c>
      <c r="BJ197">
        <v>0.5</v>
      </c>
      <c r="BK197">
        <v>9.2904480255039334E-2</v>
      </c>
      <c r="BL197">
        <v>6.6909806679679329E-2</v>
      </c>
      <c r="BM197">
        <v>9.5477205844274859</v>
      </c>
      <c r="BN197">
        <v>1.6626076329417918</v>
      </c>
      <c r="BO197" t="s">
        <v>192</v>
      </c>
      <c r="BP197">
        <f t="shared" ref="BP197:BP208" si="8">IF(AND(BA197="A",BF197&lt;2,BO197="BET"),"BET",)</f>
        <v>0</v>
      </c>
      <c r="BT197" t="s">
        <v>213</v>
      </c>
      <c r="BU197" t="s">
        <v>59</v>
      </c>
      <c r="BV197">
        <v>3.5261631590414857</v>
      </c>
      <c r="BW197">
        <v>0.52279657358276976</v>
      </c>
      <c r="BX197">
        <v>1.9127898890899653</v>
      </c>
      <c r="BY197">
        <v>1.95</v>
      </c>
      <c r="BZ197">
        <v>0.48952879581151842</v>
      </c>
      <c r="CA197">
        <v>5.5</v>
      </c>
      <c r="CB197">
        <v>5</v>
      </c>
      <c r="CC197">
        <v>0.5</v>
      </c>
      <c r="CD197">
        <v>3.3267777771251339E-2</v>
      </c>
      <c r="CE197">
        <v>2.3959453550855214E-2</v>
      </c>
      <c r="CF197">
        <v>1.9947266928267195</v>
      </c>
      <c r="CG197">
        <v>3.8804053648883619E-2</v>
      </c>
      <c r="CH197" t="s">
        <v>192</v>
      </c>
      <c r="CI197" t="s">
        <v>192</v>
      </c>
    </row>
    <row r="198" spans="53:87" x14ac:dyDescent="0.35">
      <c r="BA198" t="s">
        <v>153</v>
      </c>
      <c r="BB198" t="s">
        <v>40</v>
      </c>
      <c r="BC198">
        <v>2.8709494344322435</v>
      </c>
      <c r="BD198">
        <v>0.47765987636869667</v>
      </c>
      <c r="BE198">
        <v>2.0935398794687936</v>
      </c>
      <c r="BF198">
        <v>1.69</v>
      </c>
      <c r="BG198">
        <v>0.57106598984771573</v>
      </c>
      <c r="BK198">
        <v>-9.3406113479019059E-2</v>
      </c>
      <c r="BL198">
        <v>-6.7271082927589529E-2</v>
      </c>
      <c r="BM198">
        <v>0</v>
      </c>
      <c r="BN198">
        <v>0</v>
      </c>
      <c r="BO198" t="s">
        <v>193</v>
      </c>
      <c r="BP198">
        <f t="shared" si="8"/>
        <v>0</v>
      </c>
      <c r="BT198" t="s">
        <v>213</v>
      </c>
      <c r="BU198" t="s">
        <v>50</v>
      </c>
      <c r="BV198">
        <v>3.8796512715858418</v>
      </c>
      <c r="BW198">
        <v>0.82945551429853714</v>
      </c>
      <c r="BX198">
        <v>1.2056101656587221</v>
      </c>
      <c r="BY198">
        <v>1.71</v>
      </c>
      <c r="BZ198">
        <v>0.56265984654731449</v>
      </c>
      <c r="CA198">
        <v>5.5</v>
      </c>
      <c r="CB198">
        <v>5</v>
      </c>
      <c r="CC198">
        <v>0.5</v>
      </c>
      <c r="CD198">
        <v>0.26679566775122265</v>
      </c>
      <c r="CE198">
        <v>0.19214623991443056</v>
      </c>
      <c r="CF198">
        <v>57.400329128699937</v>
      </c>
      <c r="CG198">
        <v>24.014514247680459</v>
      </c>
      <c r="CH198" t="s">
        <v>192</v>
      </c>
      <c r="CI198" t="s">
        <v>192</v>
      </c>
    </row>
    <row r="199" spans="53:87" x14ac:dyDescent="0.35">
      <c r="BA199" t="s">
        <v>213</v>
      </c>
      <c r="BB199" t="s">
        <v>64</v>
      </c>
      <c r="BC199">
        <v>3.8993743078516685</v>
      </c>
      <c r="BD199">
        <v>0.80620020608710574</v>
      </c>
      <c r="BE199">
        <v>1.2403866836669541</v>
      </c>
      <c r="BF199">
        <v>1.87</v>
      </c>
      <c r="BG199">
        <v>0.51047120418848169</v>
      </c>
      <c r="BH199">
        <v>5.5</v>
      </c>
      <c r="BI199">
        <v>5</v>
      </c>
      <c r="BJ199">
        <v>0.5</v>
      </c>
      <c r="BK199">
        <v>0.29572900189862406</v>
      </c>
      <c r="BL199">
        <v>0.21298402716738904</v>
      </c>
      <c r="BM199">
        <v>39.98685074748407</v>
      </c>
      <c r="BN199">
        <v>20.29710092856644</v>
      </c>
      <c r="BO199" t="s">
        <v>192</v>
      </c>
      <c r="BP199" t="str">
        <f t="shared" si="8"/>
        <v>BET</v>
      </c>
      <c r="BT199" t="s">
        <v>213</v>
      </c>
      <c r="BU199" t="s">
        <v>52</v>
      </c>
      <c r="BV199">
        <v>4.0240083869019383</v>
      </c>
      <c r="BW199">
        <v>0.84415311884599609</v>
      </c>
      <c r="BX199">
        <v>1.1846192090921315</v>
      </c>
      <c r="BY199">
        <v>1.71</v>
      </c>
      <c r="BZ199">
        <v>0.56265984654731449</v>
      </c>
      <c r="CA199">
        <v>5.5</v>
      </c>
      <c r="CB199">
        <v>5</v>
      </c>
      <c r="CC199">
        <v>0.5</v>
      </c>
      <c r="CD199">
        <v>0.2814932722986816</v>
      </c>
      <c r="CE199">
        <v>0.20273145470951048</v>
      </c>
      <c r="CF199">
        <v>60.848570255511277</v>
      </c>
      <c r="CG199">
        <v>26.986452457540054</v>
      </c>
      <c r="CH199" t="s">
        <v>192</v>
      </c>
      <c r="CI199" t="s">
        <v>192</v>
      </c>
    </row>
    <row r="200" spans="53:87" x14ac:dyDescent="0.35">
      <c r="BA200" t="s">
        <v>153</v>
      </c>
      <c r="BB200" t="s">
        <v>49</v>
      </c>
      <c r="BC200">
        <v>1.8022358072709483</v>
      </c>
      <c r="BD200">
        <v>0.19145068239772911</v>
      </c>
      <c r="BE200">
        <v>5.2232772820446289</v>
      </c>
      <c r="BF200">
        <v>1.95</v>
      </c>
      <c r="BG200">
        <v>0.48952879581151842</v>
      </c>
      <c r="BK200">
        <v>-0.29807811341378931</v>
      </c>
      <c r="BL200">
        <v>-0.21467585728061106</v>
      </c>
      <c r="BM200">
        <v>0</v>
      </c>
      <c r="BN200">
        <v>0</v>
      </c>
      <c r="BO200" t="s">
        <v>193</v>
      </c>
      <c r="BP200">
        <f t="shared" si="8"/>
        <v>0</v>
      </c>
      <c r="BT200" t="s">
        <v>213</v>
      </c>
      <c r="BU200" t="s">
        <v>64</v>
      </c>
      <c r="BV200">
        <v>3.1830513699122247</v>
      </c>
      <c r="BW200">
        <v>0.79763107987711046</v>
      </c>
      <c r="BX200">
        <v>1.253712430756921</v>
      </c>
      <c r="BY200">
        <v>1.53</v>
      </c>
      <c r="BZ200">
        <v>0.63397129186602874</v>
      </c>
      <c r="CA200">
        <v>5.5</v>
      </c>
      <c r="CB200">
        <v>5</v>
      </c>
      <c r="CC200">
        <v>0.5</v>
      </c>
      <c r="CD200">
        <v>0.16365978801108172</v>
      </c>
      <c r="CE200">
        <v>0.11786777932558104</v>
      </c>
      <c r="CF200">
        <v>40.504273928690552</v>
      </c>
      <c r="CG200">
        <v>8.9261517339804435</v>
      </c>
      <c r="CH200" t="s">
        <v>192</v>
      </c>
      <c r="CI200" t="s">
        <v>192</v>
      </c>
    </row>
    <row r="201" spans="53:87" x14ac:dyDescent="0.35">
      <c r="BA201" t="s">
        <v>213</v>
      </c>
      <c r="BB201" t="s">
        <v>62</v>
      </c>
      <c r="BC201">
        <v>4.9100448503283802</v>
      </c>
      <c r="BD201">
        <v>0.86331954919024667</v>
      </c>
      <c r="BE201">
        <v>1.1583196522515367</v>
      </c>
      <c r="BF201">
        <v>1.69</v>
      </c>
      <c r="BG201">
        <v>0.57106598984771573</v>
      </c>
      <c r="BH201">
        <v>5.5</v>
      </c>
      <c r="BI201">
        <v>5</v>
      </c>
      <c r="BJ201">
        <v>0.5</v>
      </c>
      <c r="BK201">
        <v>0.29225355934253094</v>
      </c>
      <c r="BL201">
        <v>0.21048101343849077</v>
      </c>
      <c r="BM201">
        <v>45.592429706489568</v>
      </c>
      <c r="BN201">
        <v>20.927382898084279</v>
      </c>
      <c r="BO201" t="s">
        <v>192</v>
      </c>
      <c r="BP201" t="str">
        <f t="shared" si="8"/>
        <v>BET</v>
      </c>
      <c r="BT201" t="s">
        <v>213</v>
      </c>
      <c r="BU201" t="s">
        <v>62</v>
      </c>
      <c r="BV201">
        <v>3.9359091622606863</v>
      </c>
      <c r="BW201">
        <v>0.82073139054588429</v>
      </c>
      <c r="BX201">
        <v>1.2184254331187219</v>
      </c>
      <c r="BY201">
        <v>1.71</v>
      </c>
      <c r="BZ201">
        <v>0.56265984654731449</v>
      </c>
      <c r="CA201">
        <v>5.5</v>
      </c>
      <c r="CB201">
        <v>5</v>
      </c>
      <c r="CC201">
        <v>0.5</v>
      </c>
      <c r="CD201">
        <v>0.2580715439985698</v>
      </c>
      <c r="CE201">
        <v>0.18586312598776997</v>
      </c>
      <c r="CF201">
        <v>55.353541012844005</v>
      </c>
      <c r="CG201">
        <v>22.332423642114257</v>
      </c>
      <c r="CH201" t="s">
        <v>192</v>
      </c>
      <c r="CI201" t="s">
        <v>192</v>
      </c>
    </row>
    <row r="202" spans="53:87" x14ac:dyDescent="0.35">
      <c r="BA202" t="s">
        <v>153</v>
      </c>
      <c r="BB202" t="s">
        <v>38</v>
      </c>
      <c r="BC202">
        <v>1.9149502544481638</v>
      </c>
      <c r="BD202">
        <v>0.124538781621231</v>
      </c>
      <c r="BE202">
        <v>8.029627293459269</v>
      </c>
      <c r="BF202">
        <v>2.25</v>
      </c>
      <c r="BG202">
        <v>0.42893401015228422</v>
      </c>
      <c r="BK202">
        <v>-0.30439522853105322</v>
      </c>
      <c r="BL202">
        <v>-0.21922544358806451</v>
      </c>
      <c r="BM202">
        <v>0</v>
      </c>
      <c r="BN202">
        <v>0</v>
      </c>
      <c r="BO202" t="s">
        <v>193</v>
      </c>
      <c r="BP202">
        <f t="shared" si="8"/>
        <v>0</v>
      </c>
      <c r="BT202" t="s">
        <v>213</v>
      </c>
      <c r="BU202" t="s">
        <v>68</v>
      </c>
      <c r="BV202">
        <v>4.1603220223122204</v>
      </c>
      <c r="BW202">
        <v>0.8272532314756933</v>
      </c>
      <c r="BX202">
        <v>1.2088196962569162</v>
      </c>
      <c r="BY202">
        <v>1.48</v>
      </c>
      <c r="BZ202">
        <v>0.65011820330969272</v>
      </c>
      <c r="CA202">
        <v>5.5</v>
      </c>
      <c r="CB202">
        <v>5</v>
      </c>
      <c r="CC202">
        <v>0.5</v>
      </c>
      <c r="CD202">
        <v>0.17713502816600057</v>
      </c>
      <c r="CE202">
        <v>0.12757264728515361</v>
      </c>
      <c r="CF202">
        <v>45.526963507914516</v>
      </c>
      <c r="CG202">
        <v>10.213281460258894</v>
      </c>
      <c r="CH202" t="s">
        <v>192</v>
      </c>
      <c r="CI202" t="s">
        <v>192</v>
      </c>
    </row>
    <row r="203" spans="53:87" x14ac:dyDescent="0.35">
      <c r="BA203" t="s">
        <v>213</v>
      </c>
      <c r="BB203" t="s">
        <v>52</v>
      </c>
      <c r="BC203">
        <v>2.9096969341119521</v>
      </c>
      <c r="BD203">
        <v>0.62009402920637979</v>
      </c>
      <c r="BE203">
        <v>1.6126586499790017</v>
      </c>
      <c r="BF203">
        <v>2.25</v>
      </c>
      <c r="BG203">
        <v>0.42893401015228422</v>
      </c>
      <c r="BH203">
        <v>5.5</v>
      </c>
      <c r="BI203">
        <v>5</v>
      </c>
      <c r="BJ203">
        <v>0.5</v>
      </c>
      <c r="BK203">
        <v>0.19116001905409558</v>
      </c>
      <c r="BL203">
        <v>0.13767344572275964</v>
      </c>
      <c r="BM203">
        <v>21.669020338877797</v>
      </c>
      <c r="BN203">
        <v>8.5638474556240869</v>
      </c>
      <c r="BO203" t="s">
        <v>192</v>
      </c>
      <c r="BP203">
        <f t="shared" si="8"/>
        <v>0</v>
      </c>
      <c r="BT203" t="s">
        <v>213</v>
      </c>
      <c r="BU203" t="s">
        <v>63</v>
      </c>
      <c r="BV203">
        <v>3.0815568238187039</v>
      </c>
      <c r="BW203">
        <v>0.71266338220887515</v>
      </c>
      <c r="BX203">
        <v>1.403187009413245</v>
      </c>
      <c r="BY203">
        <v>1.48</v>
      </c>
      <c r="BZ203">
        <v>0.65011820330969272</v>
      </c>
      <c r="CA203">
        <v>5.5</v>
      </c>
      <c r="CB203">
        <v>5</v>
      </c>
      <c r="CC203">
        <v>0.5</v>
      </c>
      <c r="CD203">
        <v>6.254517889918243E-2</v>
      </c>
      <c r="CE203">
        <v>4.504503784319118E-2</v>
      </c>
      <c r="CF203">
        <v>10.368184876627964</v>
      </c>
      <c r="CG203">
        <v>0.56757316165803529</v>
      </c>
      <c r="CH203" t="s">
        <v>192</v>
      </c>
      <c r="CI203" t="s">
        <v>192</v>
      </c>
    </row>
    <row r="204" spans="53:87" x14ac:dyDescent="0.35">
      <c r="BA204" t="s">
        <v>153</v>
      </c>
      <c r="BB204" t="s">
        <v>68</v>
      </c>
      <c r="BC204">
        <v>2.2006731662850259</v>
      </c>
      <c r="BD204">
        <v>0.37965966433306869</v>
      </c>
      <c r="BE204">
        <v>2.6339379553439151</v>
      </c>
      <c r="BF204">
        <v>1.69</v>
      </c>
      <c r="BG204">
        <v>0.57106598984771573</v>
      </c>
      <c r="BK204">
        <v>-0.19140632551464704</v>
      </c>
      <c r="BL204">
        <v>-0.13785083563564879</v>
      </c>
      <c r="BM204">
        <v>0</v>
      </c>
      <c r="BN204">
        <v>0</v>
      </c>
      <c r="BO204" t="s">
        <v>193</v>
      </c>
      <c r="BP204">
        <f t="shared" si="8"/>
        <v>0</v>
      </c>
      <c r="BT204" t="s">
        <v>213</v>
      </c>
      <c r="BU204" t="s">
        <v>68</v>
      </c>
      <c r="BV204">
        <v>3.0111596430858549</v>
      </c>
      <c r="BW204">
        <v>0.69497341841613602</v>
      </c>
      <c r="BX204">
        <v>1.4389039544548741</v>
      </c>
      <c r="BY204">
        <v>1.87</v>
      </c>
      <c r="BZ204">
        <v>0.51047120418848169</v>
      </c>
      <c r="CA204">
        <v>5.5</v>
      </c>
      <c r="CB204">
        <v>5</v>
      </c>
      <c r="CC204">
        <v>0.5</v>
      </c>
      <c r="CD204">
        <v>0.18450221422765434</v>
      </c>
      <c r="CE204">
        <v>0.13287849468675664</v>
      </c>
      <c r="CF204">
        <v>31.616553295786023</v>
      </c>
      <c r="CG204">
        <v>9.472328613304617</v>
      </c>
      <c r="CH204" t="s">
        <v>192</v>
      </c>
      <c r="CI204" t="s">
        <v>192</v>
      </c>
    </row>
    <row r="205" spans="53:87" x14ac:dyDescent="0.35">
      <c r="BA205" t="s">
        <v>213</v>
      </c>
      <c r="BB205" t="s">
        <v>39</v>
      </c>
      <c r="BC205">
        <v>2.8357399866177109</v>
      </c>
      <c r="BD205">
        <v>0.56029407674041565</v>
      </c>
      <c r="BE205">
        <v>1.7847770331923394</v>
      </c>
      <c r="BF205">
        <v>1.87</v>
      </c>
      <c r="BG205">
        <v>0.51047120418848169</v>
      </c>
      <c r="BH205">
        <v>5.5</v>
      </c>
      <c r="BI205">
        <v>5</v>
      </c>
      <c r="BJ205">
        <v>0.5</v>
      </c>
      <c r="BK205">
        <v>4.9822872551933961E-2</v>
      </c>
      <c r="BL205">
        <v>3.5882432811902835E-2</v>
      </c>
      <c r="BM205">
        <v>3.7616039880761116</v>
      </c>
      <c r="BN205">
        <v>0.17961630268514739</v>
      </c>
      <c r="BO205" t="s">
        <v>192</v>
      </c>
      <c r="BP205" t="str">
        <f t="shared" si="8"/>
        <v>BET</v>
      </c>
      <c r="BT205" t="s">
        <v>213</v>
      </c>
      <c r="BU205" t="s">
        <v>62</v>
      </c>
      <c r="BV205">
        <v>5.4377165064062973</v>
      </c>
      <c r="BW205">
        <v>0.87630816735840011</v>
      </c>
      <c r="BX205">
        <v>1.1411510667696554</v>
      </c>
      <c r="BY205">
        <v>1.65</v>
      </c>
      <c r="BZ205">
        <v>0.58750000000000002</v>
      </c>
      <c r="CA205">
        <v>5.5</v>
      </c>
      <c r="CB205">
        <v>5</v>
      </c>
      <c r="CC205">
        <v>0.5</v>
      </c>
      <c r="CD205">
        <v>0.28880816735840009</v>
      </c>
      <c r="CE205">
        <v>0.20799964213151972</v>
      </c>
      <c r="CF205">
        <v>62.983082806372174</v>
      </c>
      <c r="CG205">
        <v>28.084690476874524</v>
      </c>
      <c r="CH205" t="s">
        <v>192</v>
      </c>
      <c r="CI205" t="s">
        <v>192</v>
      </c>
    </row>
    <row r="206" spans="53:87" x14ac:dyDescent="0.35">
      <c r="BA206" t="s">
        <v>153</v>
      </c>
      <c r="BB206" t="s">
        <v>51</v>
      </c>
      <c r="BC206">
        <v>2.4763855700384254</v>
      </c>
      <c r="BD206">
        <v>0.43946691690778394</v>
      </c>
      <c r="BE206">
        <v>2.2754841411869831</v>
      </c>
      <c r="BF206">
        <v>1.95</v>
      </c>
      <c r="BG206">
        <v>0.48952879581151842</v>
      </c>
      <c r="BK206">
        <v>-5.006187890373448E-2</v>
      </c>
      <c r="BL206">
        <v>-3.6054565186469573E-2</v>
      </c>
      <c r="BM206">
        <v>0</v>
      </c>
      <c r="BN206">
        <v>0</v>
      </c>
      <c r="BO206" t="s">
        <v>193</v>
      </c>
      <c r="BP206">
        <f t="shared" si="8"/>
        <v>0</v>
      </c>
      <c r="BT206" t="s">
        <v>213</v>
      </c>
      <c r="BU206" t="s">
        <v>51</v>
      </c>
      <c r="BV206">
        <v>2.795471676761506</v>
      </c>
      <c r="BW206">
        <v>0.68292642241750079</v>
      </c>
      <c r="BX206">
        <v>1.4642865866283019</v>
      </c>
      <c r="BY206">
        <v>1.8</v>
      </c>
      <c r="BZ206">
        <v>0.53246753246753253</v>
      </c>
      <c r="CA206">
        <v>5.5</v>
      </c>
      <c r="CB206">
        <v>5</v>
      </c>
      <c r="CC206">
        <v>0.5</v>
      </c>
      <c r="CD206">
        <v>0.15045888994996826</v>
      </c>
      <c r="CE206">
        <v>0.10836049254196713</v>
      </c>
      <c r="CF206">
        <v>26.31141263338057</v>
      </c>
      <c r="CG206">
        <v>6.0323533838568384</v>
      </c>
      <c r="CH206" t="s">
        <v>192</v>
      </c>
      <c r="CI206" t="s">
        <v>192</v>
      </c>
    </row>
    <row r="207" spans="53:87" x14ac:dyDescent="0.35">
      <c r="BA207" t="s">
        <v>213</v>
      </c>
      <c r="BB207" t="s">
        <v>46</v>
      </c>
      <c r="BC207">
        <v>4.127613370926543</v>
      </c>
      <c r="BD207">
        <v>0.68497949385116996</v>
      </c>
      <c r="BE207">
        <v>1.4598977180728225</v>
      </c>
      <c r="BF207">
        <v>1.45</v>
      </c>
      <c r="BG207">
        <v>0.6588235294117647</v>
      </c>
      <c r="BH207">
        <v>5.5</v>
      </c>
      <c r="BI207">
        <v>5</v>
      </c>
      <c r="BJ207">
        <v>0.5</v>
      </c>
      <c r="BK207">
        <v>2.6155964439405266E-2</v>
      </c>
      <c r="BL207">
        <v>1.883752558925967E-2</v>
      </c>
      <c r="BM207">
        <v>0</v>
      </c>
      <c r="BN207">
        <v>0</v>
      </c>
      <c r="BO207" t="s">
        <v>193</v>
      </c>
      <c r="BP207">
        <f t="shared" si="8"/>
        <v>0</v>
      </c>
      <c r="BT207" t="s">
        <v>213</v>
      </c>
      <c r="BU207" t="s">
        <v>53</v>
      </c>
      <c r="BV207">
        <v>2.8607533493516635</v>
      </c>
      <c r="BW207">
        <v>0.73722752627434884</v>
      </c>
      <c r="BX207">
        <v>1.3564333456912514</v>
      </c>
      <c r="BY207">
        <v>1.67</v>
      </c>
      <c r="BZ207">
        <v>0.57934508816120911</v>
      </c>
      <c r="CA207">
        <v>5.5</v>
      </c>
      <c r="CB207">
        <v>5</v>
      </c>
      <c r="CC207">
        <v>0.5</v>
      </c>
      <c r="CD207">
        <v>0.15788243811313973</v>
      </c>
      <c r="CE207">
        <v>0.11370693192908322</v>
      </c>
      <c r="CF207">
        <v>31.677299789720422</v>
      </c>
      <c r="CG207">
        <v>7.3228404065338939</v>
      </c>
      <c r="CH207" t="s">
        <v>192</v>
      </c>
      <c r="CI207" t="s">
        <v>192</v>
      </c>
    </row>
    <row r="208" spans="53:87" x14ac:dyDescent="0.35">
      <c r="BA208" t="s">
        <v>153</v>
      </c>
      <c r="BB208" t="s">
        <v>61</v>
      </c>
      <c r="BC208">
        <v>2.8131506368658434</v>
      </c>
      <c r="BD208">
        <v>0.31126791836147</v>
      </c>
      <c r="BE208">
        <v>3.212666455521823</v>
      </c>
      <c r="BF208">
        <v>2.8</v>
      </c>
      <c r="BG208">
        <v>0.34117647058823525</v>
      </c>
      <c r="BK208">
        <v>-2.990855222676525E-2</v>
      </c>
      <c r="BL208">
        <v>-2.1540139313716331E-2</v>
      </c>
      <c r="BM208">
        <v>0</v>
      </c>
      <c r="BN208">
        <v>0</v>
      </c>
      <c r="BO208" t="s">
        <v>193</v>
      </c>
      <c r="BP208">
        <f t="shared" si="8"/>
        <v>0</v>
      </c>
      <c r="BT208" t="s">
        <v>213</v>
      </c>
      <c r="BU208" t="s">
        <v>50</v>
      </c>
      <c r="BV208">
        <v>4.0450227284101032</v>
      </c>
      <c r="BW208">
        <v>0.79712080621948422</v>
      </c>
      <c r="BX208">
        <v>1.2545149896948666</v>
      </c>
      <c r="BY208">
        <v>1.71</v>
      </c>
      <c r="BZ208">
        <v>0.56265984654731449</v>
      </c>
      <c r="CA208">
        <v>5.5</v>
      </c>
      <c r="CB208">
        <v>5</v>
      </c>
      <c r="CC208">
        <v>0.5</v>
      </c>
      <c r="CD208">
        <v>0.23446095967216973</v>
      </c>
      <c r="CE208">
        <v>0.16885878315589664</v>
      </c>
      <c r="CF208">
        <v>32.890096224011003</v>
      </c>
      <c r="CG208">
        <v>11.941623608000306</v>
      </c>
      <c r="CH208" t="s">
        <v>192</v>
      </c>
      <c r="CI208" t="s">
        <v>192</v>
      </c>
    </row>
    <row r="209" spans="53:87" x14ac:dyDescent="0.35">
      <c r="BA209" t="s">
        <v>213</v>
      </c>
      <c r="BB209" t="s">
        <v>48</v>
      </c>
      <c r="BC209">
        <v>2.077018319010814</v>
      </c>
      <c r="BD209">
        <v>0.36789660103805749</v>
      </c>
      <c r="BE209">
        <v>2.7181550391561076</v>
      </c>
      <c r="BF209">
        <v>3.5</v>
      </c>
      <c r="BG209">
        <v>0.27536231884057966</v>
      </c>
      <c r="BH209">
        <v>5.5</v>
      </c>
      <c r="BI209">
        <v>5</v>
      </c>
      <c r="BJ209">
        <v>0.5</v>
      </c>
      <c r="BK209">
        <v>9.2534282197477835E-2</v>
      </c>
      <c r="BL209">
        <v>6.6643190038623526E-2</v>
      </c>
      <c r="BM209">
        <v>9.3221004504432656</v>
      </c>
      <c r="BN209">
        <v>2.6813912954437127</v>
      </c>
      <c r="BO209" t="s">
        <v>192</v>
      </c>
      <c r="BP209">
        <v>0</v>
      </c>
      <c r="BT209" t="s">
        <v>213</v>
      </c>
      <c r="BU209" t="s">
        <v>63</v>
      </c>
      <c r="BV209">
        <v>3.3512297459855582</v>
      </c>
      <c r="BW209">
        <v>0.81999084654814391</v>
      </c>
      <c r="BX209">
        <v>1.219525808378993</v>
      </c>
      <c r="BY209">
        <v>1.29</v>
      </c>
      <c r="BZ209">
        <v>0.74148296593186369</v>
      </c>
      <c r="CA209">
        <v>5.5</v>
      </c>
      <c r="CB209">
        <v>5</v>
      </c>
      <c r="CC209">
        <v>0.5</v>
      </c>
      <c r="CD209">
        <v>7.8507880616280223E-2</v>
      </c>
      <c r="CE209">
        <v>5.6541375619845013E-2</v>
      </c>
      <c r="CF209">
        <v>12.816409286506508</v>
      </c>
      <c r="CG209">
        <v>0.74063712120294545</v>
      </c>
      <c r="CH209" t="s">
        <v>192</v>
      </c>
      <c r="CI209" t="s">
        <v>192</v>
      </c>
    </row>
    <row r="210" spans="53:87" x14ac:dyDescent="0.35">
      <c r="BA210" t="s">
        <v>153</v>
      </c>
      <c r="BB210" t="s">
        <v>42</v>
      </c>
      <c r="BC210">
        <v>2.8437178100633402</v>
      </c>
      <c r="BD210">
        <v>0.63190496870596802</v>
      </c>
      <c r="BE210">
        <v>1.5825164376343279</v>
      </c>
      <c r="BF210">
        <v>1.33</v>
      </c>
      <c r="BG210">
        <v>0.72463768115942018</v>
      </c>
      <c r="BK210">
        <v>-9.273271245345216E-2</v>
      </c>
      <c r="BL210">
        <v>-6.6786099508976238E-2</v>
      </c>
      <c r="BM210">
        <v>0</v>
      </c>
      <c r="BN210">
        <v>0</v>
      </c>
      <c r="BO210" t="s">
        <v>193</v>
      </c>
      <c r="BP210">
        <v>0</v>
      </c>
      <c r="BT210" t="s">
        <v>213</v>
      </c>
      <c r="BU210" t="s">
        <v>68</v>
      </c>
      <c r="BV210">
        <v>2.345288622924687</v>
      </c>
      <c r="BW210">
        <v>0.59352468865504737</v>
      </c>
      <c r="BX210">
        <v>1.6848498792291915</v>
      </c>
      <c r="BY210">
        <v>1.87</v>
      </c>
      <c r="BZ210">
        <v>0.51047120418848169</v>
      </c>
      <c r="CA210">
        <v>5.5</v>
      </c>
      <c r="CB210">
        <v>5</v>
      </c>
      <c r="CC210">
        <v>0.5</v>
      </c>
      <c r="CD210">
        <v>8.3053484466565686E-2</v>
      </c>
      <c r="CE210">
        <v>5.9815119512820605E-2</v>
      </c>
      <c r="CF210">
        <v>8.7432822879500307</v>
      </c>
      <c r="CG210">
        <v>0.96080950089619988</v>
      </c>
      <c r="CH210" t="s">
        <v>192</v>
      </c>
      <c r="CI210" t="s">
        <v>192</v>
      </c>
    </row>
    <row r="211" spans="53:87" x14ac:dyDescent="0.35">
      <c r="BA211" t="s">
        <v>213</v>
      </c>
      <c r="BB211" t="s">
        <v>59</v>
      </c>
      <c r="BC211">
        <v>3.3575151215135106</v>
      </c>
      <c r="BD211">
        <v>0.49672160739178939</v>
      </c>
      <c r="BE211">
        <v>2.0132001207896915</v>
      </c>
      <c r="BF211">
        <v>1.8</v>
      </c>
      <c r="BG211">
        <v>0.53246753246753253</v>
      </c>
      <c r="BH211">
        <v>5.5</v>
      </c>
      <c r="BI211">
        <v>5</v>
      </c>
      <c r="BJ211">
        <v>0.5</v>
      </c>
      <c r="BK211">
        <v>-3.5745925075743146E-2</v>
      </c>
      <c r="BL211">
        <v>-2.574421523955021E-2</v>
      </c>
      <c r="BM211">
        <v>0</v>
      </c>
      <c r="BN211">
        <v>0</v>
      </c>
      <c r="BO211" t="s">
        <v>193</v>
      </c>
      <c r="BP211">
        <v>0</v>
      </c>
      <c r="BT211" t="s">
        <v>213</v>
      </c>
      <c r="BU211" t="s">
        <v>51</v>
      </c>
      <c r="BV211">
        <v>3.5799277360812547</v>
      </c>
      <c r="BW211">
        <v>0.70051029882555405</v>
      </c>
      <c r="BX211">
        <v>1.4275307610417116</v>
      </c>
      <c r="BY211">
        <v>1.71</v>
      </c>
      <c r="BZ211">
        <v>0.56265984654731449</v>
      </c>
      <c r="CA211">
        <v>5.5</v>
      </c>
      <c r="CB211">
        <v>5</v>
      </c>
      <c r="CC211">
        <v>0.5</v>
      </c>
      <c r="CD211">
        <v>0.13785045227823955</v>
      </c>
      <c r="CE211">
        <v>9.9279895730788117E-2</v>
      </c>
      <c r="CF211">
        <v>19.291158095152102</v>
      </c>
      <c r="CG211">
        <v>3.8171918213413649</v>
      </c>
      <c r="CH211" t="s">
        <v>192</v>
      </c>
      <c r="CI211" t="s">
        <v>192</v>
      </c>
    </row>
    <row r="212" spans="53:87" x14ac:dyDescent="0.35">
      <c r="BA212" t="s">
        <v>153</v>
      </c>
      <c r="BB212" t="s">
        <v>60</v>
      </c>
      <c r="BC212">
        <v>3.3743961508286731</v>
      </c>
      <c r="BD212">
        <v>0.50178343272931913</v>
      </c>
      <c r="BE212">
        <v>1.9928916237045986</v>
      </c>
      <c r="BF212">
        <v>2.0499999999999998</v>
      </c>
      <c r="BG212">
        <v>0.46753246753246758</v>
      </c>
      <c r="BK212">
        <v>3.4250965196851557E-2</v>
      </c>
      <c r="BL212">
        <v>2.4667545134772491E-2</v>
      </c>
      <c r="BM212">
        <v>2.211231445893564</v>
      </c>
      <c r="BN212">
        <v>6.3365130339386955E-2</v>
      </c>
      <c r="BO212" t="s">
        <v>192</v>
      </c>
      <c r="BP212">
        <v>0</v>
      </c>
      <c r="BT212" t="s">
        <v>213</v>
      </c>
      <c r="BU212" t="s">
        <v>53</v>
      </c>
      <c r="BV212">
        <v>2.631033500646264</v>
      </c>
      <c r="BW212">
        <v>0.7331317250876862</v>
      </c>
      <c r="BX212">
        <v>1.3640113580958388</v>
      </c>
      <c r="BY212">
        <v>1.67</v>
      </c>
      <c r="BZ212">
        <v>0.57934508816120911</v>
      </c>
      <c r="CA212">
        <v>5.5</v>
      </c>
      <c r="CB212">
        <v>5</v>
      </c>
      <c r="CC212">
        <v>0.5</v>
      </c>
      <c r="CD212">
        <v>0.15378663692647709</v>
      </c>
      <c r="CE212">
        <v>0.1107571359144488</v>
      </c>
      <c r="CF212">
        <v>23.176266766447778</v>
      </c>
      <c r="CG212">
        <v>5.1991314809679299</v>
      </c>
      <c r="CH212" t="s">
        <v>192</v>
      </c>
      <c r="CI212" t="s">
        <v>192</v>
      </c>
    </row>
    <row r="213" spans="53:87" x14ac:dyDescent="0.35">
      <c r="BA213" t="s">
        <v>213</v>
      </c>
      <c r="BB213" t="s">
        <v>66</v>
      </c>
      <c r="BC213">
        <v>3.2252958875080018</v>
      </c>
      <c r="BD213">
        <v>0.73895386173232369</v>
      </c>
      <c r="BE213">
        <v>1.3532644618105221</v>
      </c>
      <c r="BF213">
        <v>2.35</v>
      </c>
      <c r="BG213">
        <v>0.41249999999999998</v>
      </c>
      <c r="BH213">
        <v>5.5</v>
      </c>
      <c r="BI213">
        <v>5</v>
      </c>
      <c r="BJ213">
        <v>0.5</v>
      </c>
      <c r="BK213">
        <v>0.32645386173232371</v>
      </c>
      <c r="BL213">
        <v>0.23511207121961952</v>
      </c>
      <c r="BM213">
        <v>44.204946359693508</v>
      </c>
      <c r="BN213">
        <v>32.558780817695983</v>
      </c>
      <c r="BO213" t="s">
        <v>192</v>
      </c>
      <c r="BP213">
        <v>0</v>
      </c>
      <c r="BT213" t="s">
        <v>213</v>
      </c>
      <c r="BU213" t="s">
        <v>60</v>
      </c>
      <c r="BV213">
        <v>2.6867148839574302</v>
      </c>
      <c r="BW213">
        <v>0.86504288319458644</v>
      </c>
      <c r="BX213">
        <v>1.1560120537689642</v>
      </c>
      <c r="BY213">
        <v>1.45</v>
      </c>
      <c r="BZ213">
        <v>0.6588235294117647</v>
      </c>
      <c r="CA213">
        <v>5.5</v>
      </c>
      <c r="CB213">
        <v>5</v>
      </c>
      <c r="CC213">
        <v>0.5</v>
      </c>
      <c r="CD213">
        <v>0.20621935378282175</v>
      </c>
      <c r="CE213">
        <v>0.14851917859438821</v>
      </c>
      <c r="CF213">
        <v>41.097080565503312</v>
      </c>
      <c r="CG213">
        <v>10.45148817622831</v>
      </c>
      <c r="CH213" t="s">
        <v>192</v>
      </c>
      <c r="CI213" t="s">
        <v>192</v>
      </c>
    </row>
    <row r="214" spans="53:87" x14ac:dyDescent="0.35">
      <c r="BA214" t="s">
        <v>153</v>
      </c>
      <c r="BB214" t="s">
        <v>53</v>
      </c>
      <c r="BC214">
        <v>1.7675526526783945</v>
      </c>
      <c r="BD214">
        <v>0.26051347398740243</v>
      </c>
      <c r="BE214">
        <v>3.8385730484264959</v>
      </c>
      <c r="BF214">
        <v>1.65</v>
      </c>
      <c r="BG214">
        <v>0.58750000000000002</v>
      </c>
      <c r="BK214">
        <v>-0.32698652601259759</v>
      </c>
      <c r="BL214">
        <v>-0.23549569603427276</v>
      </c>
      <c r="BM214">
        <v>0</v>
      </c>
      <c r="BN214">
        <v>0</v>
      </c>
      <c r="BO214" t="s">
        <v>193</v>
      </c>
      <c r="BP214">
        <v>0</v>
      </c>
      <c r="BT214" t="s">
        <v>213</v>
      </c>
      <c r="BU214" t="s">
        <v>50</v>
      </c>
      <c r="BV214">
        <v>4.4089258761982961</v>
      </c>
      <c r="BW214">
        <v>0.81354037007651558</v>
      </c>
      <c r="BX214">
        <v>1.2291953009116774</v>
      </c>
      <c r="BY214">
        <v>1.77</v>
      </c>
      <c r="BZ214">
        <v>0.54263565891472865</v>
      </c>
      <c r="CA214">
        <v>5.5</v>
      </c>
      <c r="CB214">
        <v>5</v>
      </c>
      <c r="CC214">
        <v>0.5</v>
      </c>
      <c r="CD214">
        <v>0.27090471116178694</v>
      </c>
      <c r="CE214">
        <v>0.19510557297871894</v>
      </c>
      <c r="CF214">
        <v>41.551352417281912</v>
      </c>
      <c r="CG214">
        <v>18.281201224959482</v>
      </c>
      <c r="CH214" t="s">
        <v>192</v>
      </c>
      <c r="CI214" t="s">
        <v>192</v>
      </c>
    </row>
    <row r="215" spans="53:87" x14ac:dyDescent="0.35">
      <c r="BA215" t="s">
        <v>213</v>
      </c>
      <c r="BB215" t="s">
        <v>57</v>
      </c>
      <c r="BC215">
        <v>2.4811853216516102</v>
      </c>
      <c r="BD215">
        <v>0.72543349404956459</v>
      </c>
      <c r="BE215">
        <v>1.3784861165118409</v>
      </c>
      <c r="BF215">
        <v>1.87</v>
      </c>
      <c r="BG215">
        <v>0.51047120418848169</v>
      </c>
      <c r="BH215">
        <v>5.5</v>
      </c>
      <c r="BI215">
        <v>5</v>
      </c>
      <c r="BJ215">
        <v>0.5</v>
      </c>
      <c r="BK215">
        <v>0.2149622898610829</v>
      </c>
      <c r="BL215">
        <v>0.15481584115795188</v>
      </c>
      <c r="BM215">
        <v>33.206378260457171</v>
      </c>
      <c r="BN215">
        <v>11.840087281164783</v>
      </c>
      <c r="BO215" t="s">
        <v>192</v>
      </c>
      <c r="BP215" t="s">
        <v>192</v>
      </c>
      <c r="BT215" t="s">
        <v>213</v>
      </c>
      <c r="BU215" t="s">
        <v>63</v>
      </c>
      <c r="BV215">
        <v>3.4011332380038475</v>
      </c>
      <c r="BW215">
        <v>0.85217401925485481</v>
      </c>
      <c r="BX215">
        <v>1.1734692414988255</v>
      </c>
      <c r="BY215">
        <v>1.28</v>
      </c>
      <c r="BZ215">
        <v>0.74803149606299213</v>
      </c>
      <c r="CA215">
        <v>5.5</v>
      </c>
      <c r="CB215">
        <v>5</v>
      </c>
      <c r="CC215">
        <v>0.5</v>
      </c>
      <c r="CD215">
        <v>0.10414252319186268</v>
      </c>
      <c r="CE215">
        <v>7.5003445202779503E-2</v>
      </c>
      <c r="CF215">
        <v>23.577708881743533</v>
      </c>
      <c r="CG215">
        <v>2.1404491247541002</v>
      </c>
      <c r="CH215" t="s">
        <v>192</v>
      </c>
      <c r="CI215" t="s">
        <v>192</v>
      </c>
    </row>
    <row r="216" spans="53:87" x14ac:dyDescent="0.35">
      <c r="BA216" t="s">
        <v>153</v>
      </c>
      <c r="BB216" t="s">
        <v>54</v>
      </c>
      <c r="BC216">
        <v>1.2888502433009752</v>
      </c>
      <c r="BD216">
        <v>0.27450869910330389</v>
      </c>
      <c r="BE216">
        <v>3.6428718043054702</v>
      </c>
      <c r="BF216">
        <v>1.95</v>
      </c>
      <c r="BG216">
        <v>0.48952879581151842</v>
      </c>
      <c r="BK216">
        <v>-0.21502009670821454</v>
      </c>
      <c r="BL216">
        <v>-0.15485747364925609</v>
      </c>
      <c r="BM216">
        <v>0</v>
      </c>
      <c r="BN216">
        <v>0</v>
      </c>
      <c r="BO216" t="s">
        <v>193</v>
      </c>
      <c r="BP216">
        <v>0</v>
      </c>
      <c r="BT216" t="s">
        <v>213</v>
      </c>
      <c r="BU216" t="s">
        <v>60</v>
      </c>
      <c r="BV216">
        <v>3.1571359376188486</v>
      </c>
      <c r="BW216">
        <v>0.89252330179458539</v>
      </c>
      <c r="BX216">
        <v>1.1204189268664611</v>
      </c>
      <c r="BY216">
        <v>1.43</v>
      </c>
      <c r="BZ216">
        <v>0.66974595842956119</v>
      </c>
      <c r="CA216">
        <v>5.5</v>
      </c>
      <c r="CB216">
        <v>5</v>
      </c>
      <c r="CC216">
        <v>0.5</v>
      </c>
      <c r="CD216">
        <v>0.22277734336502419</v>
      </c>
      <c r="CE216">
        <v>0.16044424269149041</v>
      </c>
      <c r="CF216">
        <v>47.283128259266107</v>
      </c>
      <c r="CG216">
        <v>13.064721807719877</v>
      </c>
      <c r="CH216" t="s">
        <v>192</v>
      </c>
      <c r="CI216" t="s">
        <v>192</v>
      </c>
    </row>
    <row r="217" spans="53:87" x14ac:dyDescent="0.35">
      <c r="BA217" t="s">
        <v>213</v>
      </c>
      <c r="BB217" t="s">
        <v>41</v>
      </c>
      <c r="BC217">
        <v>1.7301554248047619</v>
      </c>
      <c r="BD217">
        <v>0.46655776640589808</v>
      </c>
      <c r="BE217">
        <v>2.1433573117932312</v>
      </c>
      <c r="BF217">
        <v>2.65</v>
      </c>
      <c r="BG217">
        <v>0.36602870813397131</v>
      </c>
      <c r="BH217">
        <v>5.5</v>
      </c>
      <c r="BI217">
        <v>5</v>
      </c>
      <c r="BJ217">
        <v>0.5</v>
      </c>
      <c r="BK217">
        <v>0.10052905827192676</v>
      </c>
      <c r="BL217">
        <v>7.2401027767441645E-2</v>
      </c>
      <c r="BM217">
        <v>11.60728447827943</v>
      </c>
      <c r="BN217">
        <v>2.7437076303139083</v>
      </c>
      <c r="BO217" t="s">
        <v>192</v>
      </c>
      <c r="BP217">
        <v>0</v>
      </c>
      <c r="BT217" t="s">
        <v>213</v>
      </c>
      <c r="BU217" t="s">
        <v>56</v>
      </c>
      <c r="BV217">
        <v>3.2247030640303174</v>
      </c>
      <c r="BW217">
        <v>0.81561422528349392</v>
      </c>
      <c r="BX217">
        <v>1.2260698366956715</v>
      </c>
      <c r="BY217">
        <v>1.57</v>
      </c>
      <c r="BZ217">
        <v>0.6189320388349514</v>
      </c>
      <c r="CA217">
        <v>5.5</v>
      </c>
      <c r="CB217">
        <v>5</v>
      </c>
      <c r="CC217">
        <v>0.5</v>
      </c>
      <c r="CD217">
        <v>0.19668218644854252</v>
      </c>
      <c r="CE217">
        <v>0.14165051068024032</v>
      </c>
      <c r="CF217">
        <v>36.212698989743956</v>
      </c>
      <c r="CG217">
        <v>10.158181128408721</v>
      </c>
      <c r="CH217" t="s">
        <v>192</v>
      </c>
      <c r="CI217" t="s">
        <v>192</v>
      </c>
    </row>
    <row r="218" spans="53:87" x14ac:dyDescent="0.35">
      <c r="BA218" t="s">
        <v>153</v>
      </c>
      <c r="BB218" t="s">
        <v>56</v>
      </c>
      <c r="BC218">
        <v>1.8960187086797498</v>
      </c>
      <c r="BD218">
        <v>0.53343500739511107</v>
      </c>
      <c r="BE218">
        <v>1.8746426202570314</v>
      </c>
      <c r="BF218">
        <v>1.53</v>
      </c>
      <c r="BG218">
        <v>0.63397129186602874</v>
      </c>
      <c r="BK218">
        <v>-0.10053628447091767</v>
      </c>
      <c r="BL218">
        <v>-7.2406232075954896E-2</v>
      </c>
      <c r="BM218">
        <v>0</v>
      </c>
      <c r="BN218">
        <v>0</v>
      </c>
      <c r="BO218" t="s">
        <v>193</v>
      </c>
      <c r="BP218">
        <v>0</v>
      </c>
      <c r="BT218" t="s">
        <v>213</v>
      </c>
      <c r="BU218" t="s">
        <v>53</v>
      </c>
      <c r="BV218">
        <v>2.6264902482588637</v>
      </c>
      <c r="BW218">
        <v>0.58495417981797437</v>
      </c>
      <c r="BX218">
        <v>1.709535608944925</v>
      </c>
      <c r="BY218">
        <v>1.87</v>
      </c>
      <c r="BZ218">
        <v>0.51047120418848169</v>
      </c>
      <c r="CA218">
        <v>5.5</v>
      </c>
      <c r="CB218">
        <v>5</v>
      </c>
      <c r="CC218">
        <v>0.5</v>
      </c>
      <c r="CD218">
        <v>7.4482975629492687E-2</v>
      </c>
      <c r="CE218">
        <v>5.3642639048360627E-2</v>
      </c>
      <c r="CF218">
        <v>7.9389297866365149</v>
      </c>
      <c r="CG218">
        <v>0.74518221625570469</v>
      </c>
      <c r="CH218" t="s">
        <v>192</v>
      </c>
      <c r="CI218" t="s">
        <v>192</v>
      </c>
    </row>
    <row r="219" spans="53:87" x14ac:dyDescent="0.35">
      <c r="BA219" t="s">
        <v>213</v>
      </c>
      <c r="BB219" t="s">
        <v>63</v>
      </c>
      <c r="BC219">
        <v>2.7877106817749113</v>
      </c>
      <c r="BD219">
        <v>0.56717918672043499</v>
      </c>
      <c r="BE219">
        <v>1.7631112414089769</v>
      </c>
      <c r="BF219">
        <v>1.45</v>
      </c>
      <c r="BG219">
        <v>0.6588235294117647</v>
      </c>
      <c r="BH219">
        <v>5.5</v>
      </c>
      <c r="BI219">
        <v>5</v>
      </c>
      <c r="BJ219">
        <v>0.5</v>
      </c>
      <c r="BK219">
        <v>-9.1644342691329705E-2</v>
      </c>
      <c r="BL219">
        <v>-6.6002255606295648E-2</v>
      </c>
      <c r="BM219">
        <v>0</v>
      </c>
      <c r="BN219">
        <v>0</v>
      </c>
      <c r="BO219" t="s">
        <v>193</v>
      </c>
      <c r="BP219">
        <v>0</v>
      </c>
      <c r="BT219" t="s">
        <v>213</v>
      </c>
      <c r="BU219" t="s">
        <v>68</v>
      </c>
      <c r="BV219">
        <v>3.6301140003196304</v>
      </c>
      <c r="BW219">
        <v>0.84010374105766217</v>
      </c>
      <c r="BX219">
        <v>1.1903291833232807</v>
      </c>
      <c r="BY219">
        <v>1.77</v>
      </c>
      <c r="BZ219">
        <v>0.54263565891472865</v>
      </c>
      <c r="CA219">
        <v>5.5</v>
      </c>
      <c r="CB219">
        <v>5</v>
      </c>
      <c r="CC219">
        <v>0.5</v>
      </c>
      <c r="CD219">
        <v>0.29746808214293352</v>
      </c>
      <c r="CE219">
        <v>0.21423651275934072</v>
      </c>
      <c r="CF219">
        <v>46.537636457379037</v>
      </c>
      <c r="CG219">
        <v>22.663066746072236</v>
      </c>
      <c r="CH219" t="s">
        <v>192</v>
      </c>
      <c r="CI219" t="s">
        <v>192</v>
      </c>
    </row>
    <row r="220" spans="53:87" x14ac:dyDescent="0.35">
      <c r="BA220" t="s">
        <v>153</v>
      </c>
      <c r="BB220" t="s">
        <v>45</v>
      </c>
      <c r="BC220">
        <v>2.3920304660692571</v>
      </c>
      <c r="BD220">
        <v>0.43262130346245842</v>
      </c>
      <c r="BE220">
        <v>2.3114904236027227</v>
      </c>
      <c r="BF220">
        <v>2.8</v>
      </c>
      <c r="BG220">
        <v>0.34117647058823525</v>
      </c>
      <c r="BK220">
        <v>9.144483287422317E-2</v>
      </c>
      <c r="BL220">
        <v>6.5858568636015524E-2</v>
      </c>
      <c r="BM220">
        <v>9.512963892301677</v>
      </c>
      <c r="BN220">
        <v>2.0104664565591106</v>
      </c>
      <c r="BO220" t="s">
        <v>192</v>
      </c>
      <c r="BP220">
        <v>0</v>
      </c>
      <c r="BT220" t="s">
        <v>213</v>
      </c>
      <c r="BU220" t="s">
        <v>61</v>
      </c>
      <c r="BV220">
        <v>4.3118398880043118</v>
      </c>
      <c r="BW220">
        <v>0.77313980779692493</v>
      </c>
      <c r="BX220">
        <v>1.2934271265238781</v>
      </c>
      <c r="BY220">
        <v>1.83</v>
      </c>
      <c r="BZ220">
        <v>0.5221932114882506</v>
      </c>
      <c r="CA220">
        <v>5.5</v>
      </c>
      <c r="CB220">
        <v>5</v>
      </c>
      <c r="CC220">
        <v>0.5</v>
      </c>
      <c r="CD220">
        <v>0.25094659630867433</v>
      </c>
      <c r="CE220">
        <v>0.18073173866150724</v>
      </c>
      <c r="CF220">
        <v>36.778104999589026</v>
      </c>
      <c r="CG220">
        <v>15.257244166257784</v>
      </c>
      <c r="CH220" t="s">
        <v>192</v>
      </c>
      <c r="CI220" t="s">
        <v>192</v>
      </c>
    </row>
    <row r="221" spans="53:87" x14ac:dyDescent="0.35">
      <c r="BA221" t="s">
        <v>213</v>
      </c>
      <c r="BB221" t="s">
        <v>50</v>
      </c>
      <c r="BC221">
        <v>3.6014719205940007</v>
      </c>
      <c r="BD221">
        <v>0.85794091477105794</v>
      </c>
      <c r="BE221">
        <v>1.1655814319880649</v>
      </c>
      <c r="BF221">
        <v>1.71</v>
      </c>
      <c r="BG221">
        <v>0.56265984654731449</v>
      </c>
      <c r="BH221">
        <v>5.5</v>
      </c>
      <c r="BI221">
        <v>5</v>
      </c>
      <c r="BJ221">
        <v>0.5</v>
      </c>
      <c r="BK221">
        <v>0.29528106822374345</v>
      </c>
      <c r="BL221">
        <v>0.21266142533474003</v>
      </c>
      <c r="BM221">
        <v>53.30148759883128</v>
      </c>
      <c r="BN221">
        <v>24.896003621099879</v>
      </c>
      <c r="BO221" t="s">
        <v>192</v>
      </c>
      <c r="BP221" t="s">
        <v>192</v>
      </c>
      <c r="BT221" t="s">
        <v>213</v>
      </c>
      <c r="BU221" t="s">
        <v>49</v>
      </c>
      <c r="BV221">
        <v>2.9266769404166499</v>
      </c>
      <c r="BW221">
        <v>0.80416433404116061</v>
      </c>
      <c r="BX221">
        <v>1.2435269231286445</v>
      </c>
      <c r="BY221">
        <v>1.74</v>
      </c>
      <c r="BZ221">
        <v>0.5526992287917738</v>
      </c>
      <c r="CA221">
        <v>5.5</v>
      </c>
      <c r="CB221">
        <v>5</v>
      </c>
      <c r="CC221">
        <v>0.5</v>
      </c>
      <c r="CD221">
        <v>0.25146510524938681</v>
      </c>
      <c r="CE221">
        <v>0.18110516880060837</v>
      </c>
      <c r="CF221">
        <v>39.699906385972874</v>
      </c>
      <c r="CG221">
        <v>15.850026491874921</v>
      </c>
      <c r="CH221" t="s">
        <v>192</v>
      </c>
      <c r="CI221" t="s">
        <v>192</v>
      </c>
    </row>
    <row r="222" spans="53:87" x14ac:dyDescent="0.35">
      <c r="BA222" t="s">
        <v>153</v>
      </c>
      <c r="BB222" t="s">
        <v>55</v>
      </c>
      <c r="BC222">
        <v>1.2381583882384855</v>
      </c>
      <c r="BD222">
        <v>0.14078364834964399</v>
      </c>
      <c r="BE222">
        <v>7.1030976375640202</v>
      </c>
      <c r="BF222">
        <v>2.2000000000000002</v>
      </c>
      <c r="BG222">
        <v>0.4373401534526854</v>
      </c>
      <c r="BK222">
        <v>-0.29655650510304143</v>
      </c>
      <c r="BL222">
        <v>-0.21357999497521044</v>
      </c>
      <c r="BM222">
        <v>0</v>
      </c>
      <c r="BN222">
        <v>0</v>
      </c>
      <c r="BO222" t="s">
        <v>193</v>
      </c>
      <c r="BP222">
        <v>0</v>
      </c>
      <c r="BT222" t="s">
        <v>213</v>
      </c>
      <c r="BU222" t="s">
        <v>56</v>
      </c>
      <c r="BV222">
        <v>3.7658638929940613</v>
      </c>
      <c r="BW222">
        <v>0.85422302791278981</v>
      </c>
      <c r="BX222">
        <v>1.170654462972512</v>
      </c>
      <c r="BY222">
        <v>1.56</v>
      </c>
      <c r="BZ222">
        <v>0.625</v>
      </c>
      <c r="CA222">
        <v>5.5</v>
      </c>
      <c r="CB222">
        <v>5</v>
      </c>
      <c r="CC222">
        <v>0.5</v>
      </c>
      <c r="CD222">
        <v>0.22922302791278981</v>
      </c>
      <c r="CE222">
        <v>0.16508642470279122</v>
      </c>
      <c r="CF222">
        <v>41.768675710898812</v>
      </c>
      <c r="CG222">
        <v>13.891757123868551</v>
      </c>
      <c r="CH222" t="s">
        <v>192</v>
      </c>
      <c r="CI222" t="s">
        <v>192</v>
      </c>
    </row>
    <row r="223" spans="53:87" x14ac:dyDescent="0.35">
      <c r="BA223" t="s">
        <v>213</v>
      </c>
      <c r="BB223" t="s">
        <v>43</v>
      </c>
      <c r="BC223">
        <v>1.7948193963959671</v>
      </c>
      <c r="BD223">
        <v>0.49531951994871132</v>
      </c>
      <c r="BE223">
        <v>2.0188988314119878</v>
      </c>
      <c r="BF223">
        <v>2.25</v>
      </c>
      <c r="BG223">
        <v>0.42893401015228422</v>
      </c>
      <c r="BH223">
        <v>5.5</v>
      </c>
      <c r="BI223">
        <v>5</v>
      </c>
      <c r="BJ223">
        <v>0.5</v>
      </c>
      <c r="BK223">
        <v>6.63855097964271E-2</v>
      </c>
      <c r="BL223">
        <v>4.7810844155386792E-2</v>
      </c>
      <c r="BM223">
        <v>7.4196760174636154</v>
      </c>
      <c r="BN223">
        <v>0.84932229961273364</v>
      </c>
      <c r="BO223" t="s">
        <v>192</v>
      </c>
      <c r="BP223">
        <v>0</v>
      </c>
      <c r="BT223" t="s">
        <v>213</v>
      </c>
      <c r="BU223" t="s">
        <v>64</v>
      </c>
      <c r="BV223">
        <v>3.8103044482438326</v>
      </c>
      <c r="BW223">
        <v>0.80572543893466175</v>
      </c>
      <c r="BX223">
        <v>1.2411175714176408</v>
      </c>
      <c r="BY223">
        <v>1.4</v>
      </c>
      <c r="BZ223">
        <v>0.68888888888888888</v>
      </c>
      <c r="CA223">
        <v>5.5</v>
      </c>
      <c r="CB223">
        <v>5</v>
      </c>
      <c r="CC223">
        <v>0.5</v>
      </c>
      <c r="CD223">
        <v>0.11683655004577287</v>
      </c>
      <c r="CE223">
        <v>8.4145683342965613E-2</v>
      </c>
      <c r="CF223">
        <v>22.507912145174522</v>
      </c>
      <c r="CG223">
        <v>2.8813642045684391</v>
      </c>
      <c r="CH223" t="s">
        <v>192</v>
      </c>
      <c r="CI223" t="s">
        <v>192</v>
      </c>
    </row>
    <row r="224" spans="53:87" x14ac:dyDescent="0.35">
      <c r="BA224" t="s">
        <v>153</v>
      </c>
      <c r="BB224" t="s">
        <v>47</v>
      </c>
      <c r="BC224">
        <v>1.8179587821614176</v>
      </c>
      <c r="BD224">
        <v>0.50467401109074272</v>
      </c>
      <c r="BE224">
        <v>1.9814771080419185</v>
      </c>
      <c r="BF224">
        <v>1.69</v>
      </c>
      <c r="BG224">
        <v>0.57106598984771573</v>
      </c>
      <c r="BK224">
        <v>-6.6391978756973002E-2</v>
      </c>
      <c r="BL224">
        <v>-4.7815503100771956E-2</v>
      </c>
      <c r="BM224">
        <v>0</v>
      </c>
      <c r="BN224">
        <v>0</v>
      </c>
      <c r="BO224" t="s">
        <v>193</v>
      </c>
      <c r="BP224">
        <v>0</v>
      </c>
    </row>
    <row r="225" spans="53:68" x14ac:dyDescent="0.35">
      <c r="BA225" t="s">
        <v>213</v>
      </c>
      <c r="BB225" t="s">
        <v>58</v>
      </c>
      <c r="BC225">
        <v>2.4108475614783318</v>
      </c>
      <c r="BD225">
        <v>0.45182626905208334</v>
      </c>
      <c r="BE225">
        <v>2.2132400625974387</v>
      </c>
      <c r="BF225">
        <v>2.65</v>
      </c>
      <c r="BG225">
        <v>0.36602870813397131</v>
      </c>
      <c r="BH225">
        <v>5.5</v>
      </c>
      <c r="BI225">
        <v>5</v>
      </c>
      <c r="BJ225">
        <v>0.5</v>
      </c>
      <c r="BK225">
        <v>8.5797560918112026E-2</v>
      </c>
      <c r="BL225">
        <v>6.179140337322428E-2</v>
      </c>
      <c r="BM225">
        <v>9.6903106131133878</v>
      </c>
      <c r="BN225">
        <v>1.9122821461255075</v>
      </c>
      <c r="BO225" t="s">
        <v>192</v>
      </c>
      <c r="BP225">
        <v>0</v>
      </c>
    </row>
    <row r="226" spans="53:68" x14ac:dyDescent="0.35">
      <c r="BA226" t="s">
        <v>153</v>
      </c>
      <c r="BB226" t="s">
        <v>44</v>
      </c>
      <c r="BC226">
        <v>2.6910749005359333</v>
      </c>
      <c r="BD226">
        <v>0.54801226020380123</v>
      </c>
      <c r="BE226">
        <v>1.8247766931858573</v>
      </c>
      <c r="BF226">
        <v>1.53</v>
      </c>
      <c r="BG226">
        <v>0.63397129186602874</v>
      </c>
      <c r="BK226">
        <v>-8.5959031662227514E-2</v>
      </c>
      <c r="BL226">
        <v>-6.1907694603136249E-2</v>
      </c>
      <c r="BM226">
        <v>0</v>
      </c>
      <c r="BN226">
        <v>0</v>
      </c>
      <c r="BO226" t="s">
        <v>193</v>
      </c>
      <c r="BP226">
        <v>0</v>
      </c>
    </row>
    <row r="227" spans="53:68" x14ac:dyDescent="0.35">
      <c r="BA227" t="s">
        <v>213</v>
      </c>
      <c r="BB227" t="s">
        <v>64</v>
      </c>
      <c r="BC227">
        <v>3.2680647639794738</v>
      </c>
      <c r="BD227">
        <v>0.7654253789307881</v>
      </c>
      <c r="BE227">
        <v>1.3064630825239762</v>
      </c>
      <c r="BF227">
        <v>1.63</v>
      </c>
      <c r="BG227">
        <v>0.59553349875930517</v>
      </c>
      <c r="BH227">
        <v>5.5</v>
      </c>
      <c r="BI227">
        <v>5</v>
      </c>
      <c r="BJ227">
        <v>0.5</v>
      </c>
      <c r="BK227">
        <v>0.16989188017148293</v>
      </c>
      <c r="BL227">
        <v>0.122356132099502</v>
      </c>
      <c r="BM227">
        <v>31.848832883694204</v>
      </c>
      <c r="BN227">
        <v>7.8871522312689102</v>
      </c>
      <c r="BO227" t="s">
        <v>192</v>
      </c>
      <c r="BP227" t="s">
        <v>192</v>
      </c>
    </row>
    <row r="228" spans="53:68" x14ac:dyDescent="0.35">
      <c r="BA228" t="s">
        <v>153</v>
      </c>
      <c r="BB228" t="s">
        <v>65</v>
      </c>
      <c r="BC228">
        <v>1.6380129728591519</v>
      </c>
      <c r="BD228">
        <v>0.23398362395480587</v>
      </c>
      <c r="BE228">
        <v>4.2738033675089619</v>
      </c>
      <c r="BF228">
        <v>2.4</v>
      </c>
      <c r="BG228">
        <v>0.40446650124069478</v>
      </c>
      <c r="BK228">
        <v>-0.1704828772858889</v>
      </c>
      <c r="BL228">
        <v>-0.12278176822129717</v>
      </c>
      <c r="BM228">
        <v>0</v>
      </c>
      <c r="BN228">
        <v>0</v>
      </c>
      <c r="BO228" t="s">
        <v>193</v>
      </c>
      <c r="BP228">
        <v>0</v>
      </c>
    </row>
    <row r="229" spans="53:68" x14ac:dyDescent="0.35">
      <c r="BA229" t="s">
        <v>213</v>
      </c>
      <c r="BB229" t="s">
        <v>67</v>
      </c>
      <c r="BC229">
        <v>2.3865106089539618</v>
      </c>
      <c r="BD229">
        <v>0.49942771100302252</v>
      </c>
      <c r="BE229">
        <v>2.0022917791078436</v>
      </c>
      <c r="BF229">
        <v>2.15</v>
      </c>
      <c r="BG229">
        <v>0.44730077120822626</v>
      </c>
      <c r="BH229">
        <v>5.5</v>
      </c>
      <c r="BI229">
        <v>5</v>
      </c>
      <c r="BJ229">
        <v>0.5</v>
      </c>
      <c r="BK229">
        <v>5.2126939794796268E-2</v>
      </c>
      <c r="BL229">
        <v>3.7541822040212267E-2</v>
      </c>
      <c r="BM229">
        <v>5.5909148424063408</v>
      </c>
      <c r="BN229">
        <v>0.41243943222867863</v>
      </c>
      <c r="BO229" t="s">
        <v>192</v>
      </c>
      <c r="BP229">
        <f>IF(AND(BA229="A",BF229&lt;2,BO229="BET"),"BET",)</f>
        <v>0</v>
      </c>
    </row>
    <row r="230" spans="53:68" x14ac:dyDescent="0.35">
      <c r="BA230" t="s">
        <v>153</v>
      </c>
      <c r="BB230" t="s">
        <v>40</v>
      </c>
      <c r="BC230">
        <v>2.3895032869996715</v>
      </c>
      <c r="BD230">
        <v>0.50048994728367591</v>
      </c>
      <c r="BE230">
        <v>1.9980421293720882</v>
      </c>
      <c r="BF230">
        <v>1.74</v>
      </c>
      <c r="BG230">
        <v>0.5526992287917738</v>
      </c>
      <c r="BK230">
        <v>-5.2209281508097893E-2</v>
      </c>
      <c r="BL230">
        <v>-3.7601124542132103E-2</v>
      </c>
      <c r="BM230">
        <v>0</v>
      </c>
      <c r="BN230">
        <v>0</v>
      </c>
      <c r="BO230" t="s">
        <v>193</v>
      </c>
      <c r="BP230">
        <f t="shared" ref="BP230:BP240" si="9">IF(AND(BA230="A",BF230&lt;2,BO230="BET"),"BET",)</f>
        <v>0</v>
      </c>
    </row>
    <row r="231" spans="53:68" x14ac:dyDescent="0.35">
      <c r="BA231" t="s">
        <v>213</v>
      </c>
      <c r="BB231" t="s">
        <v>63</v>
      </c>
      <c r="BC231">
        <v>2.6401624432503739</v>
      </c>
      <c r="BD231">
        <v>0.56312183034632701</v>
      </c>
      <c r="BE231">
        <v>1.7758146569899225</v>
      </c>
      <c r="BF231">
        <v>1.53</v>
      </c>
      <c r="BG231">
        <v>0.63397129186602874</v>
      </c>
      <c r="BH231">
        <v>5.5</v>
      </c>
      <c r="BI231">
        <v>5</v>
      </c>
      <c r="BJ231">
        <v>0.5</v>
      </c>
      <c r="BK231">
        <v>-7.0849461519701729E-2</v>
      </c>
      <c r="BL231">
        <v>-5.1025782186489184E-2</v>
      </c>
      <c r="BM231">
        <v>0</v>
      </c>
      <c r="BN231">
        <v>0</v>
      </c>
      <c r="BO231" t="s">
        <v>193</v>
      </c>
      <c r="BP231">
        <f t="shared" si="9"/>
        <v>0</v>
      </c>
    </row>
    <row r="232" spans="53:68" x14ac:dyDescent="0.35">
      <c r="BA232" t="s">
        <v>153</v>
      </c>
      <c r="BB232" t="s">
        <v>45</v>
      </c>
      <c r="BC232">
        <v>2.2778418025279965</v>
      </c>
      <c r="BD232">
        <v>0.43675212617822162</v>
      </c>
      <c r="BE232">
        <v>2.2896282354718034</v>
      </c>
      <c r="BF232">
        <v>2.65</v>
      </c>
      <c r="BG232">
        <v>0.36602870813397131</v>
      </c>
      <c r="BK232">
        <v>7.0723418044250308E-2</v>
      </c>
      <c r="BL232">
        <v>5.0935005675469068E-2</v>
      </c>
      <c r="BM232">
        <v>8.3139087719979177</v>
      </c>
      <c r="BN232">
        <v>1.3085521605100068</v>
      </c>
      <c r="BO232" t="s">
        <v>192</v>
      </c>
      <c r="BP232">
        <f t="shared" si="9"/>
        <v>0</v>
      </c>
    </row>
    <row r="233" spans="53:68" x14ac:dyDescent="0.35">
      <c r="BA233" t="s">
        <v>213</v>
      </c>
      <c r="BB233" t="s">
        <v>52</v>
      </c>
      <c r="BC233">
        <v>3.0598120580248374</v>
      </c>
      <c r="BD233">
        <v>0.73053433108689658</v>
      </c>
      <c r="BE233">
        <v>1.3688610616179935</v>
      </c>
      <c r="BF233">
        <v>1.71</v>
      </c>
      <c r="BG233">
        <v>0.56265984654731449</v>
      </c>
      <c r="BH233">
        <v>5.5</v>
      </c>
      <c r="BI233">
        <v>5</v>
      </c>
      <c r="BJ233">
        <v>0.5</v>
      </c>
      <c r="BK233">
        <v>0.16787448453958209</v>
      </c>
      <c r="BL233">
        <v>0.12090320376540702</v>
      </c>
      <c r="BM233">
        <v>30.592642375426443</v>
      </c>
      <c r="BN233">
        <v>7.6241057875644493</v>
      </c>
      <c r="BO233" t="s">
        <v>192</v>
      </c>
      <c r="BP233" t="str">
        <f t="shared" si="9"/>
        <v>BET</v>
      </c>
    </row>
    <row r="234" spans="53:68" x14ac:dyDescent="0.35">
      <c r="BA234" t="s">
        <v>153</v>
      </c>
      <c r="BB234" t="s">
        <v>39</v>
      </c>
      <c r="BC234">
        <v>1.693293204249416</v>
      </c>
      <c r="BD234">
        <v>0.26911960997985773</v>
      </c>
      <c r="BE234">
        <v>3.7158198916639522</v>
      </c>
      <c r="BF234">
        <v>2.2000000000000002</v>
      </c>
      <c r="BG234">
        <v>0.4373401534526854</v>
      </c>
      <c r="BK234">
        <v>-0.16822054347282767</v>
      </c>
      <c r="BL234">
        <v>-0.12115243540913048</v>
      </c>
      <c r="BM234">
        <v>0</v>
      </c>
      <c r="BN234">
        <v>0</v>
      </c>
      <c r="BO234" t="s">
        <v>193</v>
      </c>
      <c r="BP234">
        <f t="shared" si="9"/>
        <v>0</v>
      </c>
    </row>
    <row r="235" spans="53:68" x14ac:dyDescent="0.35">
      <c r="BA235" t="s">
        <v>213</v>
      </c>
      <c r="BB235" t="s">
        <v>38</v>
      </c>
      <c r="BC235">
        <v>2.0627674890053118</v>
      </c>
      <c r="BD235">
        <v>0.5527283778760208</v>
      </c>
      <c r="BE235">
        <v>1.8092069089029188</v>
      </c>
      <c r="BF235">
        <v>3.1</v>
      </c>
      <c r="BG235">
        <v>0.31111111111111106</v>
      </c>
      <c r="BH235">
        <v>5.5</v>
      </c>
      <c r="BI235">
        <v>5</v>
      </c>
      <c r="BJ235">
        <v>0.5</v>
      </c>
      <c r="BK235">
        <v>0.24161726676490974</v>
      </c>
      <c r="BL235">
        <v>0.17401275552408799</v>
      </c>
      <c r="BM235">
        <v>29.610961847346857</v>
      </c>
      <c r="BN235">
        <v>21.126176771274729</v>
      </c>
      <c r="BO235" t="s">
        <v>192</v>
      </c>
      <c r="BP235">
        <f t="shared" si="9"/>
        <v>0</v>
      </c>
    </row>
    <row r="236" spans="53:68" x14ac:dyDescent="0.35">
      <c r="BA236" t="s">
        <v>153</v>
      </c>
      <c r="BB236" t="s">
        <v>46</v>
      </c>
      <c r="BC236">
        <v>1.7932853955525785</v>
      </c>
      <c r="BD236">
        <v>0.44725757734968874</v>
      </c>
      <c r="BE236">
        <v>2.2358480898762934</v>
      </c>
      <c r="BF236">
        <v>1.4</v>
      </c>
      <c r="BG236">
        <v>0.68888888888888888</v>
      </c>
      <c r="BK236">
        <v>-0.24163131153920014</v>
      </c>
      <c r="BL236">
        <v>-0.17402287057053192</v>
      </c>
      <c r="BM236">
        <v>0</v>
      </c>
      <c r="BN236">
        <v>0</v>
      </c>
      <c r="BO236" t="s">
        <v>193</v>
      </c>
      <c r="BP236">
        <f t="shared" si="9"/>
        <v>0</v>
      </c>
    </row>
    <row r="237" spans="53:68" x14ac:dyDescent="0.35">
      <c r="BA237" t="s">
        <v>213</v>
      </c>
      <c r="BB237" t="s">
        <v>62</v>
      </c>
      <c r="BC237">
        <v>3.7900884227621519</v>
      </c>
      <c r="BD237">
        <v>0.72839243387432073</v>
      </c>
      <c r="BE237">
        <v>1.3728863089378869</v>
      </c>
      <c r="BF237">
        <v>1.74</v>
      </c>
      <c r="BG237">
        <v>0.5526992287917738</v>
      </c>
      <c r="BH237">
        <v>5.5</v>
      </c>
      <c r="BI237">
        <v>5</v>
      </c>
      <c r="BJ237">
        <v>0.5</v>
      </c>
      <c r="BK237">
        <v>0.17569320508254693</v>
      </c>
      <c r="BL237">
        <v>0.12653424630045029</v>
      </c>
      <c r="BM237">
        <v>31.494716420665057</v>
      </c>
      <c r="BN237">
        <v>8.4217764565587157</v>
      </c>
      <c r="BO237" t="s">
        <v>192</v>
      </c>
      <c r="BP237" t="str">
        <f t="shared" si="9"/>
        <v>BET</v>
      </c>
    </row>
    <row r="238" spans="53:68" x14ac:dyDescent="0.35">
      <c r="BA238" t="s">
        <v>153</v>
      </c>
      <c r="BB238" t="s">
        <v>51</v>
      </c>
      <c r="BC238">
        <v>2.2594526596192051</v>
      </c>
      <c r="BD238">
        <v>0.2696916223684413</v>
      </c>
      <c r="BE238">
        <v>3.7079386864818598</v>
      </c>
      <c r="BF238">
        <v>2.15</v>
      </c>
      <c r="BG238">
        <v>0.44730077120822626</v>
      </c>
      <c r="BK238">
        <v>-0.17760914883978496</v>
      </c>
      <c r="BL238">
        <v>-0.12791410899441311</v>
      </c>
      <c r="BM238">
        <v>0</v>
      </c>
      <c r="BN238">
        <v>0</v>
      </c>
      <c r="BO238" t="s">
        <v>193</v>
      </c>
      <c r="BP238">
        <f t="shared" si="9"/>
        <v>0</v>
      </c>
    </row>
    <row r="239" spans="53:68" x14ac:dyDescent="0.35">
      <c r="BA239" t="s">
        <v>213</v>
      </c>
      <c r="BB239" t="s">
        <v>68</v>
      </c>
      <c r="BC239">
        <v>3.0347101572630155</v>
      </c>
      <c r="BD239">
        <v>0.76915993167412611</v>
      </c>
      <c r="BE239">
        <v>1.300119726496199</v>
      </c>
      <c r="BF239">
        <v>1.48</v>
      </c>
      <c r="BG239">
        <v>0.65011820330969272</v>
      </c>
      <c r="BH239">
        <v>5.5</v>
      </c>
      <c r="BI239">
        <v>5</v>
      </c>
      <c r="BJ239">
        <v>0.5</v>
      </c>
      <c r="BK239">
        <v>0.11904172836443339</v>
      </c>
      <c r="BL239">
        <v>8.5733852768064917E-2</v>
      </c>
      <c r="BM239">
        <v>25.122471883000681</v>
      </c>
      <c r="BN239">
        <v>3.4758622773799779</v>
      </c>
      <c r="BO239" t="s">
        <v>192</v>
      </c>
      <c r="BP239" t="str">
        <f t="shared" si="9"/>
        <v>BET</v>
      </c>
    </row>
    <row r="240" spans="53:68" x14ac:dyDescent="0.35">
      <c r="BA240" t="s">
        <v>153</v>
      </c>
      <c r="BB240" t="s">
        <v>61</v>
      </c>
      <c r="BC240">
        <v>1.4500993873870613</v>
      </c>
      <c r="BD240">
        <v>0.23051804963500883</v>
      </c>
      <c r="BE240">
        <v>4.3380550962640534</v>
      </c>
      <c r="BF240">
        <v>2.75</v>
      </c>
      <c r="BG240">
        <v>0.34988179669030739</v>
      </c>
      <c r="BK240">
        <v>-0.11936374705529856</v>
      </c>
      <c r="BL240">
        <v>-8.5965770629226015E-2</v>
      </c>
      <c r="BM240">
        <v>0</v>
      </c>
      <c r="BN240">
        <v>0</v>
      </c>
      <c r="BO240" t="s">
        <v>193</v>
      </c>
      <c r="BP240">
        <f t="shared" si="9"/>
        <v>0</v>
      </c>
    </row>
    <row r="241" spans="53:68" x14ac:dyDescent="0.35">
      <c r="BA241" s="38" t="s">
        <v>213</v>
      </c>
      <c r="BB241" s="38" t="s">
        <v>57</v>
      </c>
      <c r="BC241" s="38">
        <v>3.4668661947180932</v>
      </c>
      <c r="BD241" s="38">
        <v>0.86140806604779641</v>
      </c>
      <c r="BE241" s="38">
        <v>1.1608899886299806</v>
      </c>
      <c r="BF241" s="38">
        <v>1.87</v>
      </c>
      <c r="BG241" s="38">
        <v>0.51047120418848169</v>
      </c>
      <c r="BH241" s="38">
        <v>5.5</v>
      </c>
      <c r="BI241" s="38">
        <v>5</v>
      </c>
      <c r="BJ241" s="38">
        <v>0.5</v>
      </c>
      <c r="BK241" s="38">
        <v>0.35093686185931472</v>
      </c>
      <c r="BL241" s="38">
        <v>0.25274472791107844</v>
      </c>
      <c r="BM241" s="38">
        <v>68.393779817413119</v>
      </c>
      <c r="BN241" s="38">
        <v>41.777183418732022</v>
      </c>
      <c r="BO241" s="38" t="s">
        <v>192</v>
      </c>
      <c r="BP241" s="38" t="str">
        <f>IF(AND(BA241="A",BF241&lt;2,BO241="BET"),"BET",)</f>
        <v>BET</v>
      </c>
    </row>
    <row r="242" spans="53:68" x14ac:dyDescent="0.35">
      <c r="BA242" t="s">
        <v>153</v>
      </c>
      <c r="BB242" t="s">
        <v>54</v>
      </c>
      <c r="BC242">
        <v>1.1341884023892639</v>
      </c>
      <c r="BD242">
        <v>0.13764626053663706</v>
      </c>
      <c r="BE242">
        <v>7.264999398467725</v>
      </c>
      <c r="BF242">
        <v>1.95</v>
      </c>
      <c r="BG242">
        <v>0.48952879581151842</v>
      </c>
      <c r="BK242">
        <v>-0.35188253527488134</v>
      </c>
      <c r="BL242">
        <v>-0.25342580190496949</v>
      </c>
      <c r="BM242">
        <v>0</v>
      </c>
      <c r="BN242">
        <v>0</v>
      </c>
      <c r="BO242" t="s">
        <v>193</v>
      </c>
      <c r="BP242">
        <f t="shared" ref="BP242:BP264" si="10">IF(AND(BA242="A",BF242&lt;2,BO242="BET"),"BET",)</f>
        <v>0</v>
      </c>
    </row>
    <row r="243" spans="53:68" x14ac:dyDescent="0.35">
      <c r="BA243" t="s">
        <v>213</v>
      </c>
      <c r="BB243" t="s">
        <v>41</v>
      </c>
      <c r="BC243">
        <v>1.7077295193649158</v>
      </c>
      <c r="BD243">
        <v>0.37090391395063377</v>
      </c>
      <c r="BE243">
        <v>2.6961160623748421</v>
      </c>
      <c r="BF243">
        <v>2.8</v>
      </c>
      <c r="BG243">
        <v>0.34117647058823525</v>
      </c>
      <c r="BH243">
        <v>5.5</v>
      </c>
      <c r="BI243">
        <v>5</v>
      </c>
      <c r="BJ243">
        <v>0.5</v>
      </c>
      <c r="BK243">
        <v>2.972744336239852E-2</v>
      </c>
      <c r="BL243">
        <v>2.1409704709599412E-2</v>
      </c>
      <c r="BM243">
        <v>2.0852139490505208</v>
      </c>
      <c r="BN243">
        <v>8.0345293305906784E-2</v>
      </c>
      <c r="BO243" t="s">
        <v>192</v>
      </c>
      <c r="BP243">
        <f t="shared" si="10"/>
        <v>0</v>
      </c>
    </row>
    <row r="244" spans="53:68" x14ac:dyDescent="0.35">
      <c r="BA244" t="s">
        <v>153</v>
      </c>
      <c r="BB244" t="s">
        <v>56</v>
      </c>
      <c r="BC244">
        <v>2.3950626714659875</v>
      </c>
      <c r="BD244">
        <v>0.6290519225644623</v>
      </c>
      <c r="BE244">
        <v>1.5896938935076932</v>
      </c>
      <c r="BF244">
        <v>1.45</v>
      </c>
      <c r="BG244">
        <v>0.6588235294117647</v>
      </c>
      <c r="BK244">
        <v>-2.9771606847302401E-2</v>
      </c>
      <c r="BL244">
        <v>-2.1441511251427188E-2</v>
      </c>
      <c r="BM244">
        <v>0</v>
      </c>
      <c r="BN244">
        <v>0</v>
      </c>
      <c r="BO244" t="s">
        <v>193</v>
      </c>
      <c r="BP244">
        <f t="shared" si="10"/>
        <v>0</v>
      </c>
    </row>
    <row r="245" spans="53:68" x14ac:dyDescent="0.35">
      <c r="BA245" s="38" t="s">
        <v>213</v>
      </c>
      <c r="BB245" s="38" t="s">
        <v>59</v>
      </c>
      <c r="BC245" s="38">
        <v>3.5261631590414857</v>
      </c>
      <c r="BD245" s="38">
        <v>0.52279657358276976</v>
      </c>
      <c r="BE245" s="38">
        <v>1.9127898890899653</v>
      </c>
      <c r="BF245" s="38">
        <v>1.95</v>
      </c>
      <c r="BG245" s="38">
        <v>0.48952879581151842</v>
      </c>
      <c r="BH245" s="38">
        <v>5.5</v>
      </c>
      <c r="BI245" s="38">
        <v>5</v>
      </c>
      <c r="BJ245" s="38">
        <v>0.5</v>
      </c>
      <c r="BK245" s="38">
        <v>3.3267777771251339E-2</v>
      </c>
      <c r="BL245" s="38">
        <v>2.3959453550855214E-2</v>
      </c>
      <c r="BM245" s="38">
        <v>1.9947266928267195</v>
      </c>
      <c r="BN245" s="38">
        <v>3.8804053648883619E-2</v>
      </c>
      <c r="BO245" s="38" t="s">
        <v>192</v>
      </c>
      <c r="BP245" s="38" t="str">
        <f t="shared" si="10"/>
        <v>BET</v>
      </c>
    </row>
    <row r="246" spans="53:68" x14ac:dyDescent="0.35">
      <c r="BA246" t="s">
        <v>153</v>
      </c>
      <c r="BB246" t="s">
        <v>60</v>
      </c>
      <c r="BC246">
        <v>3.3659599002013612</v>
      </c>
      <c r="BD246">
        <v>0.4753756617926842</v>
      </c>
      <c r="BE246">
        <v>2.1035994906195037</v>
      </c>
      <c r="BF246">
        <v>1.87</v>
      </c>
      <c r="BG246">
        <v>0.51047120418848169</v>
      </c>
      <c r="BK246">
        <v>-3.5095542395797485E-2</v>
      </c>
      <c r="BL246">
        <v>-2.5275809633453349E-2</v>
      </c>
      <c r="BM246">
        <v>0</v>
      </c>
      <c r="BN246">
        <v>0</v>
      </c>
      <c r="BO246" t="s">
        <v>193</v>
      </c>
      <c r="BP246">
        <f t="shared" si="10"/>
        <v>0</v>
      </c>
    </row>
    <row r="247" spans="53:68" x14ac:dyDescent="0.35">
      <c r="BA247" s="38" t="s">
        <v>213</v>
      </c>
      <c r="BB247" s="38" t="s">
        <v>50</v>
      </c>
      <c r="BC247" s="38">
        <v>3.8796512715858418</v>
      </c>
      <c r="BD247" s="38">
        <v>0.82945551429853714</v>
      </c>
      <c r="BE247" s="38">
        <v>1.2056101656587221</v>
      </c>
      <c r="BF247" s="38">
        <v>1.71</v>
      </c>
      <c r="BG247" s="38">
        <v>0.56265984654731449</v>
      </c>
      <c r="BH247" s="38">
        <v>5.5</v>
      </c>
      <c r="BI247" s="38">
        <v>5</v>
      </c>
      <c r="BJ247" s="38">
        <v>0.5</v>
      </c>
      <c r="BK247" s="38">
        <v>0.26679566775122265</v>
      </c>
      <c r="BL247" s="38">
        <v>0.19214623991443056</v>
      </c>
      <c r="BM247" s="38">
        <v>57.400329128699937</v>
      </c>
      <c r="BN247" s="38">
        <v>24.014514247680459</v>
      </c>
      <c r="BO247" s="38" t="s">
        <v>192</v>
      </c>
      <c r="BP247" s="38" t="str">
        <f t="shared" si="10"/>
        <v>BET</v>
      </c>
    </row>
    <row r="248" spans="53:68" x14ac:dyDescent="0.35">
      <c r="BA248" t="s">
        <v>153</v>
      </c>
      <c r="BB248" t="s">
        <v>55</v>
      </c>
      <c r="BC248">
        <v>1.6191895516608161</v>
      </c>
      <c r="BD248">
        <v>0.16828548263770146</v>
      </c>
      <c r="BE248">
        <v>5.9422832220939732</v>
      </c>
      <c r="BF248">
        <v>2.2000000000000002</v>
      </c>
      <c r="BG248">
        <v>0.4373401534526854</v>
      </c>
      <c r="BK248">
        <v>-0.26905467081498391</v>
      </c>
      <c r="BL248">
        <v>-0.19377317392095139</v>
      </c>
      <c r="BM248">
        <v>0</v>
      </c>
      <c r="BN248">
        <v>0</v>
      </c>
      <c r="BO248" t="s">
        <v>193</v>
      </c>
      <c r="BP248">
        <f t="shared" si="10"/>
        <v>0</v>
      </c>
    </row>
    <row r="249" spans="53:68" x14ac:dyDescent="0.35">
      <c r="BA249" s="38" t="s">
        <v>213</v>
      </c>
      <c r="BB249" s="38" t="s">
        <v>52</v>
      </c>
      <c r="BC249" s="38">
        <v>4.0240083869019383</v>
      </c>
      <c r="BD249" s="38">
        <v>0.84415311884599609</v>
      </c>
      <c r="BE249" s="38">
        <v>1.1846192090921315</v>
      </c>
      <c r="BF249" s="38">
        <v>1.71</v>
      </c>
      <c r="BG249" s="38">
        <v>0.56265984654731449</v>
      </c>
      <c r="BH249" s="38">
        <v>5.5</v>
      </c>
      <c r="BI249" s="38">
        <v>5</v>
      </c>
      <c r="BJ249" s="38">
        <v>0.5</v>
      </c>
      <c r="BK249" s="38">
        <v>0.2814932722986816</v>
      </c>
      <c r="BL249" s="38">
        <v>0.20273145470951048</v>
      </c>
      <c r="BM249" s="38">
        <v>60.848570255511277</v>
      </c>
      <c r="BN249" s="38">
        <v>26.986452457540054</v>
      </c>
      <c r="BO249" s="38" t="s">
        <v>192</v>
      </c>
      <c r="BP249" s="38" t="str">
        <f t="shared" si="10"/>
        <v>BET</v>
      </c>
    </row>
    <row r="250" spans="53:68" x14ac:dyDescent="0.35">
      <c r="BA250" t="s">
        <v>153</v>
      </c>
      <c r="BB250" t="s">
        <v>39</v>
      </c>
      <c r="BC250">
        <v>1.5956721116287296</v>
      </c>
      <c r="BD250">
        <v>0.1528767475902969</v>
      </c>
      <c r="BE250">
        <v>6.5412171292390191</v>
      </c>
      <c r="BF250">
        <v>2.2000000000000002</v>
      </c>
      <c r="BG250">
        <v>0.4373401534526854</v>
      </c>
      <c r="BK250">
        <v>-0.2844634058623885</v>
      </c>
      <c r="BL250">
        <v>-0.20487054490209219</v>
      </c>
      <c r="BM250">
        <v>0</v>
      </c>
      <c r="BN250">
        <v>0</v>
      </c>
      <c r="BO250" t="s">
        <v>193</v>
      </c>
      <c r="BP250">
        <f t="shared" si="10"/>
        <v>0</v>
      </c>
    </row>
    <row r="251" spans="53:68" x14ac:dyDescent="0.35">
      <c r="BA251" t="s">
        <v>213</v>
      </c>
      <c r="BB251" t="s">
        <v>66</v>
      </c>
      <c r="BC251">
        <v>3.3477038467861071</v>
      </c>
      <c r="BD251">
        <v>0.74107939059369088</v>
      </c>
      <c r="BE251">
        <v>1.3493830926790227</v>
      </c>
      <c r="BF251">
        <v>2.15</v>
      </c>
      <c r="BG251">
        <v>0.44730077120822626</v>
      </c>
      <c r="BH251">
        <v>5.5</v>
      </c>
      <c r="BI251">
        <v>5</v>
      </c>
      <c r="BJ251">
        <v>0.5</v>
      </c>
      <c r="BK251">
        <v>0.29377861938546462</v>
      </c>
      <c r="BL251">
        <v>0.21157936168141162</v>
      </c>
      <c r="BM251">
        <v>50.257972012164238</v>
      </c>
      <c r="BN251">
        <v>29.819094621022067</v>
      </c>
      <c r="BO251" t="s">
        <v>192</v>
      </c>
      <c r="BP251">
        <f t="shared" si="10"/>
        <v>0</v>
      </c>
    </row>
    <row r="252" spans="53:68" x14ac:dyDescent="0.35">
      <c r="BA252" t="s">
        <v>153</v>
      </c>
      <c r="BB252" t="s">
        <v>53</v>
      </c>
      <c r="BC252">
        <v>1.8458253509444336</v>
      </c>
      <c r="BD252">
        <v>0.25820086775431239</v>
      </c>
      <c r="BE252">
        <v>3.8729536763274428</v>
      </c>
      <c r="BF252">
        <v>1.74</v>
      </c>
      <c r="BG252">
        <v>0.5526992287917738</v>
      </c>
      <c r="BK252">
        <v>-0.29449836103746141</v>
      </c>
      <c r="BL252">
        <v>-0.2120977196191797</v>
      </c>
      <c r="BM252">
        <v>0</v>
      </c>
      <c r="BN252">
        <v>0</v>
      </c>
      <c r="BO252" t="s">
        <v>193</v>
      </c>
      <c r="BP252">
        <f t="shared" si="10"/>
        <v>0</v>
      </c>
    </row>
    <row r="253" spans="53:68" x14ac:dyDescent="0.35">
      <c r="BA253" s="38" t="s">
        <v>213</v>
      </c>
      <c r="BB253" s="38" t="s">
        <v>64</v>
      </c>
      <c r="BC253" s="38">
        <v>3.1830513699122247</v>
      </c>
      <c r="BD253" s="38">
        <v>0.79763107987711046</v>
      </c>
      <c r="BE253" s="38">
        <v>1.253712430756921</v>
      </c>
      <c r="BF253" s="38">
        <v>1.53</v>
      </c>
      <c r="BG253" s="38">
        <v>0.63397129186602874</v>
      </c>
      <c r="BH253" s="38">
        <v>5.5</v>
      </c>
      <c r="BI253" s="38">
        <v>5</v>
      </c>
      <c r="BJ253" s="38">
        <v>0.5</v>
      </c>
      <c r="BK253" s="38">
        <v>0.16365978801108172</v>
      </c>
      <c r="BL253" s="38">
        <v>0.11786777932558104</v>
      </c>
      <c r="BM253" s="38">
        <v>40.504273928690552</v>
      </c>
      <c r="BN253" s="38">
        <v>8.9261517339804435</v>
      </c>
      <c r="BO253" s="38" t="s">
        <v>192</v>
      </c>
      <c r="BP253" s="38" t="str">
        <f t="shared" si="10"/>
        <v>BET</v>
      </c>
    </row>
    <row r="254" spans="53:68" x14ac:dyDescent="0.35">
      <c r="BA254" t="s">
        <v>153</v>
      </c>
      <c r="BB254" t="s">
        <v>65</v>
      </c>
      <c r="BC254">
        <v>1.3807120807736764</v>
      </c>
      <c r="BD254">
        <v>0.20189255821105098</v>
      </c>
      <c r="BE254">
        <v>4.9531295698112716</v>
      </c>
      <c r="BF254">
        <v>2.65</v>
      </c>
      <c r="BG254">
        <v>0.36602870813397131</v>
      </c>
      <c r="BK254">
        <v>-0.16413614992292033</v>
      </c>
      <c r="BL254">
        <v>-0.11821085517448722</v>
      </c>
      <c r="BM254">
        <v>0</v>
      </c>
      <c r="BN254">
        <v>0</v>
      </c>
      <c r="BO254" t="s">
        <v>193</v>
      </c>
      <c r="BP254">
        <f t="shared" si="10"/>
        <v>0</v>
      </c>
    </row>
    <row r="255" spans="53:68" x14ac:dyDescent="0.35">
      <c r="BA255" t="s">
        <v>213</v>
      </c>
      <c r="BB255" t="s">
        <v>38</v>
      </c>
      <c r="BC255">
        <v>1.8349465467365307</v>
      </c>
      <c r="BD255">
        <v>0.51069901817635777</v>
      </c>
      <c r="BE255">
        <v>1.9581004944377507</v>
      </c>
      <c r="BF255">
        <v>2.85</v>
      </c>
      <c r="BG255">
        <v>0.33566433566433568</v>
      </c>
      <c r="BH255">
        <v>5.5</v>
      </c>
      <c r="BI255">
        <v>5</v>
      </c>
      <c r="BJ255">
        <v>0.5</v>
      </c>
      <c r="BK255">
        <v>0.17503468251202209</v>
      </c>
      <c r="BL255">
        <v>0.12605997834515831</v>
      </c>
      <c r="BM255">
        <v>23.984050240176611</v>
      </c>
      <c r="BN255">
        <v>10.924547852042691</v>
      </c>
      <c r="BO255" t="s">
        <v>192</v>
      </c>
      <c r="BP255">
        <f t="shared" si="10"/>
        <v>0</v>
      </c>
    </row>
    <row r="256" spans="53:68" x14ac:dyDescent="0.35">
      <c r="BA256" t="s">
        <v>153</v>
      </c>
      <c r="BB256" t="s">
        <v>46</v>
      </c>
      <c r="BC256">
        <v>1.7819678647905075</v>
      </c>
      <c r="BD256">
        <v>0.48929439969467742</v>
      </c>
      <c r="BE256">
        <v>2.0437593412555017</v>
      </c>
      <c r="BF256">
        <v>1.44</v>
      </c>
      <c r="BG256">
        <v>0.66433566433566438</v>
      </c>
      <c r="BK256">
        <v>-0.17504126464098696</v>
      </c>
      <c r="BL256">
        <v>-0.12606471879443881</v>
      </c>
      <c r="BM256">
        <v>0</v>
      </c>
      <c r="BN256">
        <v>0</v>
      </c>
      <c r="BO256" t="s">
        <v>193</v>
      </c>
      <c r="BP256">
        <f t="shared" si="10"/>
        <v>0</v>
      </c>
    </row>
    <row r="257" spans="53:68" x14ac:dyDescent="0.35">
      <c r="BA257" t="s">
        <v>213</v>
      </c>
      <c r="BB257" t="s">
        <v>43</v>
      </c>
      <c r="BC257">
        <v>1.9634070719561596</v>
      </c>
      <c r="BD257">
        <v>0.55145503161051679</v>
      </c>
      <c r="BE257">
        <v>1.8133844877242553</v>
      </c>
      <c r="BF257">
        <v>2.15</v>
      </c>
      <c r="BG257">
        <v>0.44730077120822626</v>
      </c>
      <c r="BH257">
        <v>5.5</v>
      </c>
      <c r="BI257">
        <v>5</v>
      </c>
      <c r="BJ257">
        <v>0.5</v>
      </c>
      <c r="BK257">
        <v>0.10415426040229053</v>
      </c>
      <c r="BL257">
        <v>7.5011898341729638E-2</v>
      </c>
      <c r="BM257">
        <v>15.723879125714179</v>
      </c>
      <c r="BN257">
        <v>2.918797233953736</v>
      </c>
      <c r="BO257" t="s">
        <v>192</v>
      </c>
      <c r="BP257">
        <f t="shared" si="10"/>
        <v>0</v>
      </c>
    </row>
    <row r="258" spans="53:68" x14ac:dyDescent="0.35">
      <c r="BA258" t="s">
        <v>153</v>
      </c>
      <c r="BB258" t="s">
        <v>47</v>
      </c>
      <c r="BC258">
        <v>1.7064141802653134</v>
      </c>
      <c r="BD258">
        <v>0.44853606963690029</v>
      </c>
      <c r="BE258">
        <v>2.2294751028819637</v>
      </c>
      <c r="BF258">
        <v>1.74</v>
      </c>
      <c r="BG258">
        <v>0.5526992287917738</v>
      </c>
      <c r="BK258">
        <v>-0.10416315915487351</v>
      </c>
      <c r="BL258">
        <v>-7.5018307223339895E-2</v>
      </c>
      <c r="BM258">
        <v>0</v>
      </c>
      <c r="BN258">
        <v>0</v>
      </c>
      <c r="BO258" t="s">
        <v>193</v>
      </c>
      <c r="BP258">
        <f t="shared" si="10"/>
        <v>0</v>
      </c>
    </row>
    <row r="259" spans="53:68" x14ac:dyDescent="0.35">
      <c r="BA259" s="38" t="s">
        <v>213</v>
      </c>
      <c r="BB259" s="38" t="s">
        <v>62</v>
      </c>
      <c r="BC259" s="38">
        <v>3.9359091622606863</v>
      </c>
      <c r="BD259" s="38">
        <v>0.82073139054588429</v>
      </c>
      <c r="BE259" s="38">
        <v>1.2184254331187219</v>
      </c>
      <c r="BF259" s="38">
        <v>1.71</v>
      </c>
      <c r="BG259" s="38">
        <v>0.56265984654731449</v>
      </c>
      <c r="BH259" s="38">
        <v>5.5</v>
      </c>
      <c r="BI259" s="38">
        <v>5</v>
      </c>
      <c r="BJ259" s="38">
        <v>0.5</v>
      </c>
      <c r="BK259" s="38">
        <v>0.2580715439985698</v>
      </c>
      <c r="BL259" s="38">
        <v>0.18586312598776997</v>
      </c>
      <c r="BM259" s="38">
        <v>55.353541012844005</v>
      </c>
      <c r="BN259" s="38">
        <v>22.332423642114257</v>
      </c>
      <c r="BO259" s="38" t="s">
        <v>192</v>
      </c>
      <c r="BP259" s="38" t="str">
        <f t="shared" si="10"/>
        <v>BET</v>
      </c>
    </row>
    <row r="260" spans="53:68" x14ac:dyDescent="0.35">
      <c r="BA260" t="s">
        <v>153</v>
      </c>
      <c r="BB260" t="s">
        <v>51</v>
      </c>
      <c r="BC260">
        <v>1.7197215493391758</v>
      </c>
      <c r="BD260">
        <v>0.17675008332799966</v>
      </c>
      <c r="BE260">
        <v>5.6577059607054014</v>
      </c>
      <c r="BF260">
        <v>2.2000000000000002</v>
      </c>
      <c r="BG260">
        <v>0.4373401534526854</v>
      </c>
      <c r="BK260">
        <v>-0.26059007012468571</v>
      </c>
      <c r="BL260">
        <v>-0.18767696850379864</v>
      </c>
      <c r="BM260">
        <v>0</v>
      </c>
      <c r="BN260">
        <v>0</v>
      </c>
      <c r="BO260" t="s">
        <v>193</v>
      </c>
      <c r="BP260">
        <f t="shared" si="10"/>
        <v>0</v>
      </c>
    </row>
    <row r="261" spans="53:68" x14ac:dyDescent="0.35">
      <c r="BA261" t="s">
        <v>213</v>
      </c>
      <c r="BB261" t="s">
        <v>44</v>
      </c>
      <c r="BC261">
        <v>2.700789853099463</v>
      </c>
      <c r="BD261">
        <v>0.51679245748536451</v>
      </c>
      <c r="BE261">
        <v>1.9350127609560166</v>
      </c>
      <c r="BF261">
        <v>2.0499999999999998</v>
      </c>
      <c r="BG261">
        <v>0.46753246753246758</v>
      </c>
      <c r="BH261">
        <v>5.5</v>
      </c>
      <c r="BI261">
        <v>5</v>
      </c>
      <c r="BJ261">
        <v>0.5</v>
      </c>
      <c r="BK261">
        <v>4.9259989952896932E-2</v>
      </c>
      <c r="BL261">
        <v>3.5477044764076371E-2</v>
      </c>
      <c r="BM261">
        <v>5.5130232155071432</v>
      </c>
      <c r="BN261">
        <v>0.32760885671025175</v>
      </c>
      <c r="BO261" t="s">
        <v>192</v>
      </c>
      <c r="BP261">
        <f t="shared" si="10"/>
        <v>0</v>
      </c>
    </row>
    <row r="262" spans="53:68" x14ac:dyDescent="0.35">
      <c r="BA262" t="s">
        <v>153</v>
      </c>
      <c r="BB262" t="s">
        <v>49</v>
      </c>
      <c r="BC262">
        <v>2.6006958181249153</v>
      </c>
      <c r="BD262">
        <v>0.48300028327603262</v>
      </c>
      <c r="BE262">
        <v>2.0703921604710618</v>
      </c>
      <c r="BF262">
        <v>1.8</v>
      </c>
      <c r="BG262">
        <v>0.53246753246753253</v>
      </c>
      <c r="BK262">
        <v>-4.9467249191499918E-2</v>
      </c>
      <c r="BL262">
        <v>-3.5626312867718238E-2</v>
      </c>
      <c r="BM262">
        <v>0</v>
      </c>
      <c r="BN262">
        <v>0</v>
      </c>
      <c r="BO262" t="s">
        <v>193</v>
      </c>
      <c r="BP262">
        <f t="shared" si="10"/>
        <v>0</v>
      </c>
    </row>
    <row r="263" spans="53:68" x14ac:dyDescent="0.35">
      <c r="BA263" s="38" t="s">
        <v>213</v>
      </c>
      <c r="BB263" s="38" t="s">
        <v>68</v>
      </c>
      <c r="BC263" s="38">
        <v>4.1603220223122204</v>
      </c>
      <c r="BD263" s="38">
        <v>0.8272532314756933</v>
      </c>
      <c r="BE263" s="38">
        <v>1.2088196962569162</v>
      </c>
      <c r="BF263" s="38">
        <v>1.48</v>
      </c>
      <c r="BG263" s="38">
        <v>0.65011820330969272</v>
      </c>
      <c r="BH263" s="38">
        <v>5.5</v>
      </c>
      <c r="BI263" s="38">
        <v>5</v>
      </c>
      <c r="BJ263" s="38">
        <v>0.5</v>
      </c>
      <c r="BK263" s="38">
        <v>0.17713502816600057</v>
      </c>
      <c r="BL263" s="38">
        <v>0.12757264728515361</v>
      </c>
      <c r="BM263" s="38">
        <v>45.526963507914516</v>
      </c>
      <c r="BN263" s="38">
        <v>10.213281460258894</v>
      </c>
      <c r="BO263" s="38" t="s">
        <v>192</v>
      </c>
      <c r="BP263" s="38" t="str">
        <f t="shared" si="10"/>
        <v>BET</v>
      </c>
    </row>
    <row r="264" spans="53:68" x14ac:dyDescent="0.35">
      <c r="BA264" t="s">
        <v>153</v>
      </c>
      <c r="BB264" t="s">
        <v>61</v>
      </c>
      <c r="BC264">
        <v>1.8117085172681724</v>
      </c>
      <c r="BD264">
        <v>0.16894713855117843</v>
      </c>
      <c r="BE264">
        <v>5.9190111686743618</v>
      </c>
      <c r="BF264">
        <v>2.75</v>
      </c>
      <c r="BG264">
        <v>0.34988179669030739</v>
      </c>
      <c r="BK264">
        <v>-0.18093465813912896</v>
      </c>
      <c r="BL264">
        <v>-0.13030914079180067</v>
      </c>
      <c r="BM264">
        <v>0</v>
      </c>
      <c r="BN264">
        <v>0</v>
      </c>
      <c r="BO264" t="s">
        <v>193</v>
      </c>
      <c r="BP264">
        <f t="shared" si="10"/>
        <v>0</v>
      </c>
    </row>
    <row r="265" spans="53:68" x14ac:dyDescent="0.35">
      <c r="BA265" t="s">
        <v>213</v>
      </c>
      <c r="BB265" t="s">
        <v>41</v>
      </c>
      <c r="BC265">
        <v>1.5047981980923901</v>
      </c>
      <c r="BD265">
        <v>0.22270362448348144</v>
      </c>
      <c r="BE265">
        <v>4.4902726766091448</v>
      </c>
      <c r="BF265">
        <v>2.9</v>
      </c>
      <c r="BG265">
        <v>0.33025404157043881</v>
      </c>
      <c r="BH265">
        <v>5.5</v>
      </c>
      <c r="BI265">
        <v>5</v>
      </c>
      <c r="BJ265">
        <v>0.5</v>
      </c>
      <c r="BK265">
        <v>-0.10755041708695737</v>
      </c>
      <c r="BL265">
        <v>-7.7457810386026685E-2</v>
      </c>
      <c r="BM265">
        <v>0</v>
      </c>
      <c r="BN265">
        <v>0</v>
      </c>
      <c r="BO265" t="s">
        <v>193</v>
      </c>
      <c r="BP265">
        <v>0</v>
      </c>
    </row>
    <row r="266" spans="53:68" x14ac:dyDescent="0.35">
      <c r="BA266" t="s">
        <v>153</v>
      </c>
      <c r="BB266" t="s">
        <v>56</v>
      </c>
      <c r="BC266">
        <v>3.1780376539224124</v>
      </c>
      <c r="BD266">
        <v>0.77682577489534488</v>
      </c>
      <c r="BE266">
        <v>1.2872899333633998</v>
      </c>
      <c r="BF266">
        <v>1.43</v>
      </c>
      <c r="BG266">
        <v>0.66974595842956119</v>
      </c>
      <c r="BK266">
        <v>0.10707981646578368</v>
      </c>
      <c r="BL266">
        <v>7.7118883818657405E-2</v>
      </c>
      <c r="BM266">
        <v>23.438759973070422</v>
      </c>
      <c r="BN266">
        <v>2.5984410434225635</v>
      </c>
      <c r="BO266" t="s">
        <v>192</v>
      </c>
      <c r="BP266">
        <v>0</v>
      </c>
    </row>
    <row r="267" spans="53:68" x14ac:dyDescent="0.35">
      <c r="BA267" t="s">
        <v>213</v>
      </c>
      <c r="BB267" t="s">
        <v>63</v>
      </c>
      <c r="BC267">
        <v>3.0815568238187039</v>
      </c>
      <c r="BD267">
        <v>0.71266338220887515</v>
      </c>
      <c r="BE267">
        <v>1.403187009413245</v>
      </c>
      <c r="BF267">
        <v>1.48</v>
      </c>
      <c r="BG267">
        <v>0.65011820330969272</v>
      </c>
      <c r="BH267">
        <v>5.5</v>
      </c>
      <c r="BI267">
        <v>5</v>
      </c>
      <c r="BJ267">
        <v>0.5</v>
      </c>
      <c r="BK267">
        <v>6.254517889918243E-2</v>
      </c>
      <c r="BL267">
        <v>4.504503784319118E-2</v>
      </c>
      <c r="BM267">
        <v>10.368184876627964</v>
      </c>
      <c r="BN267">
        <v>0.56757316165803529</v>
      </c>
      <c r="BO267" t="s">
        <v>192</v>
      </c>
      <c r="BP267" t="s">
        <v>192</v>
      </c>
    </row>
    <row r="268" spans="53:68" x14ac:dyDescent="0.35">
      <c r="BA268" t="s">
        <v>153</v>
      </c>
      <c r="BB268" t="s">
        <v>45</v>
      </c>
      <c r="BC268">
        <v>1.8134643972060234</v>
      </c>
      <c r="BD268">
        <v>0.28696824611766469</v>
      </c>
      <c r="BE268">
        <v>3.4847061078317814</v>
      </c>
      <c r="BF268">
        <v>2.75</v>
      </c>
      <c r="BG268">
        <v>0.34988179669030739</v>
      </c>
      <c r="BK268">
        <v>-6.2913550572642696E-2</v>
      </c>
      <c r="BL268">
        <v>-4.5310339122417269E-2</v>
      </c>
      <c r="BM268">
        <v>0</v>
      </c>
      <c r="BN268">
        <v>0</v>
      </c>
      <c r="BO268" t="s">
        <v>193</v>
      </c>
      <c r="BP268">
        <v>0</v>
      </c>
    </row>
    <row r="269" spans="53:68" x14ac:dyDescent="0.35">
      <c r="BA269" t="s">
        <v>213</v>
      </c>
      <c r="BB269" t="s">
        <v>50</v>
      </c>
      <c r="BC269">
        <v>3.093408498400132</v>
      </c>
      <c r="BD269">
        <v>0.64998727441400683</v>
      </c>
      <c r="BE269">
        <v>1.5384916587813902</v>
      </c>
      <c r="BF269">
        <v>2.2000000000000002</v>
      </c>
      <c r="BG269">
        <v>0.4373401534526854</v>
      </c>
      <c r="BH269">
        <v>5.5</v>
      </c>
      <c r="BI269">
        <v>5</v>
      </c>
      <c r="BJ269">
        <v>0.5</v>
      </c>
      <c r="BK269">
        <v>0.21264712096132143</v>
      </c>
      <c r="BL269">
        <v>0.15314845651634368</v>
      </c>
      <c r="BM269">
        <v>32.574951971388494</v>
      </c>
      <c r="BN269">
        <v>14.006317369921478</v>
      </c>
      <c r="BO269" t="s">
        <v>192</v>
      </c>
      <c r="BP269">
        <v>0</v>
      </c>
    </row>
    <row r="270" spans="53:68" x14ac:dyDescent="0.35">
      <c r="BA270" t="s">
        <v>153</v>
      </c>
      <c r="BB270" t="s">
        <v>42</v>
      </c>
      <c r="BC270">
        <v>2.1864472901390566</v>
      </c>
      <c r="BD270">
        <v>0.34961726616980338</v>
      </c>
      <c r="BE270">
        <v>2.8602706352446461</v>
      </c>
      <c r="BF270">
        <v>1.71</v>
      </c>
      <c r="BG270">
        <v>0.56265984654731449</v>
      </c>
      <c r="BK270">
        <v>-0.21304258037751111</v>
      </c>
      <c r="BL270">
        <v>-0.15343326638788349</v>
      </c>
      <c r="BM270">
        <v>0</v>
      </c>
      <c r="BN270">
        <v>0</v>
      </c>
      <c r="BO270" t="s">
        <v>193</v>
      </c>
      <c r="BP270">
        <v>0</v>
      </c>
    </row>
    <row r="271" spans="53:68" x14ac:dyDescent="0.35">
      <c r="BA271" t="s">
        <v>213</v>
      </c>
      <c r="BB271" t="s">
        <v>54</v>
      </c>
      <c r="BC271">
        <v>2.3063399827318238</v>
      </c>
      <c r="BD271">
        <v>0.4327447689682915</v>
      </c>
      <c r="BE271">
        <v>2.3108309370997224</v>
      </c>
      <c r="BF271">
        <v>3.15</v>
      </c>
      <c r="BG271">
        <v>0.30463576158940392</v>
      </c>
      <c r="BH271">
        <v>5.5</v>
      </c>
      <c r="BI271">
        <v>5</v>
      </c>
      <c r="BJ271">
        <v>0.5</v>
      </c>
      <c r="BK271">
        <v>0.12810900737888758</v>
      </c>
      <c r="BL271">
        <v>9.2264107114274838E-2</v>
      </c>
      <c r="BM271">
        <v>15.355631548497747</v>
      </c>
      <c r="BN271">
        <v>5.5763365159753793</v>
      </c>
      <c r="BO271" t="s">
        <v>192</v>
      </c>
      <c r="BP271">
        <v>0</v>
      </c>
    </row>
    <row r="272" spans="53:68" x14ac:dyDescent="0.35">
      <c r="BA272" t="s">
        <v>153</v>
      </c>
      <c r="BB272" t="s">
        <v>40</v>
      </c>
      <c r="BC272">
        <v>2.6948564542593894</v>
      </c>
      <c r="BD272">
        <v>0.56710690882125259</v>
      </c>
      <c r="BE272">
        <v>1.7633359503211268</v>
      </c>
      <c r="BF272">
        <v>1.38</v>
      </c>
      <c r="BG272">
        <v>0.69536423841059603</v>
      </c>
      <c r="BK272">
        <v>-0.12825732958934344</v>
      </c>
      <c r="BL272">
        <v>-9.2370928770245136E-2</v>
      </c>
      <c r="BM272">
        <v>0</v>
      </c>
      <c r="BN272">
        <v>0</v>
      </c>
      <c r="BO272" t="s">
        <v>193</v>
      </c>
      <c r="BP272">
        <v>0</v>
      </c>
    </row>
    <row r="273" spans="53:68" x14ac:dyDescent="0.35">
      <c r="BA273" t="s">
        <v>213</v>
      </c>
      <c r="BB273" t="s">
        <v>67</v>
      </c>
      <c r="BC273">
        <v>2.5838917067817966</v>
      </c>
      <c r="BD273">
        <v>0.49486554884232026</v>
      </c>
      <c r="BE273">
        <v>2.0207508935293279</v>
      </c>
      <c r="BF273">
        <v>1.91</v>
      </c>
      <c r="BG273">
        <v>0.5</v>
      </c>
      <c r="BH273">
        <v>5.5</v>
      </c>
      <c r="BI273">
        <v>5</v>
      </c>
      <c r="BJ273">
        <v>0.5</v>
      </c>
      <c r="BK273">
        <v>-5.1344511576797425E-3</v>
      </c>
      <c r="BL273">
        <v>-3.6978317237609504E-3</v>
      </c>
      <c r="BM273">
        <v>0</v>
      </c>
      <c r="BN273">
        <v>0</v>
      </c>
      <c r="BO273" t="s">
        <v>193</v>
      </c>
      <c r="BP273">
        <v>0</v>
      </c>
    </row>
    <row r="274" spans="53:68" x14ac:dyDescent="0.35">
      <c r="BA274" t="s">
        <v>153</v>
      </c>
      <c r="BB274" t="s">
        <v>59</v>
      </c>
      <c r="BC274">
        <v>2.6135060390087901</v>
      </c>
      <c r="BD274">
        <v>0.50496160107011812</v>
      </c>
      <c r="BE274">
        <v>1.9803486005288187</v>
      </c>
      <c r="BF274">
        <v>1.91</v>
      </c>
      <c r="BG274">
        <v>0.5</v>
      </c>
      <c r="BK274">
        <v>4.9616010701181157E-3</v>
      </c>
      <c r="BL274">
        <v>3.5733450906990667E-3</v>
      </c>
      <c r="BM274">
        <v>0</v>
      </c>
      <c r="BN274">
        <v>0</v>
      </c>
      <c r="BO274" t="s">
        <v>193</v>
      </c>
      <c r="BP274">
        <v>0</v>
      </c>
    </row>
    <row r="275" spans="53:68" x14ac:dyDescent="0.35">
      <c r="BA275" t="s">
        <v>213</v>
      </c>
      <c r="BB275" s="1" t="s">
        <v>68</v>
      </c>
      <c r="BC275">
        <v>3.0111596430858549</v>
      </c>
      <c r="BD275">
        <v>0.69497341841613602</v>
      </c>
      <c r="BE275">
        <v>1.4389039544548741</v>
      </c>
      <c r="BF275">
        <v>1.87</v>
      </c>
      <c r="BG275">
        <v>0.51047120418848169</v>
      </c>
      <c r="BH275">
        <v>5.5</v>
      </c>
      <c r="BI275">
        <v>5</v>
      </c>
      <c r="BJ275">
        <v>0.5</v>
      </c>
      <c r="BK275">
        <v>0.18450221422765434</v>
      </c>
      <c r="BL275">
        <v>0.13287849468675664</v>
      </c>
      <c r="BM275">
        <v>31.616553295786023</v>
      </c>
      <c r="BN275">
        <v>9.472328613304617</v>
      </c>
      <c r="BO275" t="s">
        <v>192</v>
      </c>
      <c r="BP275" t="str">
        <f t="shared" ref="BP275:BP334" si="11">IF(AND(BA275="A",BF275&lt;2,BO275="BET"),"BET",)</f>
        <v>BET</v>
      </c>
    </row>
    <row r="276" spans="53:68" x14ac:dyDescent="0.35">
      <c r="BA276" t="s">
        <v>153</v>
      </c>
      <c r="BB276" t="s">
        <v>52</v>
      </c>
      <c r="BC276">
        <v>1.8600740369425988</v>
      </c>
      <c r="BD276">
        <v>0.30472084078641354</v>
      </c>
      <c r="BE276">
        <v>3.2816921790424076</v>
      </c>
      <c r="BF276">
        <v>1.95</v>
      </c>
      <c r="BG276">
        <v>0.48952879581151842</v>
      </c>
      <c r="BK276">
        <v>-0.18480795502510489</v>
      </c>
      <c r="BL276">
        <v>-0.13309868920908052</v>
      </c>
      <c r="BM276">
        <v>0</v>
      </c>
      <c r="BN276">
        <v>0</v>
      </c>
      <c r="BO276" t="s">
        <v>193</v>
      </c>
      <c r="BP276">
        <f t="shared" si="11"/>
        <v>0</v>
      </c>
    </row>
    <row r="277" spans="53:68" x14ac:dyDescent="0.35">
      <c r="BA277" t="s">
        <v>213</v>
      </c>
      <c r="BB277" t="s">
        <v>39</v>
      </c>
      <c r="BC277">
        <v>2.4463783477775256</v>
      </c>
      <c r="BD277">
        <v>0.51274437119752025</v>
      </c>
      <c r="BE277">
        <v>1.9502895715158974</v>
      </c>
      <c r="BF277">
        <v>2.65</v>
      </c>
      <c r="BG277">
        <v>0.36602870813397131</v>
      </c>
      <c r="BH277">
        <v>5.5</v>
      </c>
      <c r="BI277">
        <v>5</v>
      </c>
      <c r="BJ277">
        <v>0.5</v>
      </c>
      <c r="BK277">
        <v>0.14671566306354894</v>
      </c>
      <c r="BL277">
        <v>0.10566462053836793</v>
      </c>
      <c r="BM277">
        <v>19.963047808162838</v>
      </c>
      <c r="BN277">
        <v>7.1621942401307557</v>
      </c>
      <c r="BO277" t="s">
        <v>192</v>
      </c>
      <c r="BP277">
        <f t="shared" si="11"/>
        <v>0</v>
      </c>
    </row>
    <row r="278" spans="53:68" x14ac:dyDescent="0.35">
      <c r="BA278" t="s">
        <v>153</v>
      </c>
      <c r="BB278" t="s">
        <v>46</v>
      </c>
      <c r="BC278">
        <v>2.373987236071188</v>
      </c>
      <c r="BD278">
        <v>0.48716560176072915</v>
      </c>
      <c r="BE278">
        <v>2.0526900839997091</v>
      </c>
      <c r="BF278">
        <v>1.53</v>
      </c>
      <c r="BG278">
        <v>0.63397129186602874</v>
      </c>
      <c r="BK278">
        <v>-0.14680569010529959</v>
      </c>
      <c r="BL278">
        <v>-0.10572945801383676</v>
      </c>
      <c r="BM278">
        <v>0</v>
      </c>
      <c r="BN278">
        <v>0</v>
      </c>
      <c r="BO278" t="s">
        <v>193</v>
      </c>
      <c r="BP278">
        <f t="shared" si="11"/>
        <v>0</v>
      </c>
    </row>
    <row r="279" spans="53:68" x14ac:dyDescent="0.35">
      <c r="BA279" t="s">
        <v>213</v>
      </c>
      <c r="BB279" t="s">
        <v>58</v>
      </c>
      <c r="BC279">
        <v>2.9643061923968328</v>
      </c>
      <c r="BD279">
        <v>0.43059039741157584</v>
      </c>
      <c r="BE279">
        <v>2.3223927101285522</v>
      </c>
      <c r="BF279">
        <v>2.8</v>
      </c>
      <c r="BG279">
        <v>0.34117647058823525</v>
      </c>
      <c r="BH279">
        <v>5.5</v>
      </c>
      <c r="BI279">
        <v>5</v>
      </c>
      <c r="BJ279">
        <v>0.5</v>
      </c>
      <c r="BK279">
        <v>8.9413926823340595E-2</v>
      </c>
      <c r="BL279">
        <v>6.439591009816989E-2</v>
      </c>
      <c r="BM279">
        <v>10.489488837451562</v>
      </c>
      <c r="BN279">
        <v>2.1571960306035978</v>
      </c>
      <c r="BO279" t="s">
        <v>192</v>
      </c>
      <c r="BP279">
        <f t="shared" si="11"/>
        <v>0</v>
      </c>
    </row>
    <row r="280" spans="53:68" x14ac:dyDescent="0.35">
      <c r="BA280" t="s">
        <v>153</v>
      </c>
      <c r="BB280" t="s">
        <v>49</v>
      </c>
      <c r="BC280">
        <v>3.413046612993202</v>
      </c>
      <c r="BD280">
        <v>0.56830997036220599</v>
      </c>
      <c r="BE280">
        <v>1.7596031253202564</v>
      </c>
      <c r="BF280">
        <v>1.45</v>
      </c>
      <c r="BG280">
        <v>0.6588235294117647</v>
      </c>
      <c r="BK280">
        <v>-9.0513559049558712E-2</v>
      </c>
      <c r="BL280">
        <v>-6.5187865227492175E-2</v>
      </c>
      <c r="BM280">
        <v>0</v>
      </c>
      <c r="BN280">
        <v>0</v>
      </c>
      <c r="BO280" t="s">
        <v>193</v>
      </c>
      <c r="BP280">
        <f t="shared" si="11"/>
        <v>0</v>
      </c>
    </row>
    <row r="281" spans="53:68" x14ac:dyDescent="0.35">
      <c r="BA281" t="s">
        <v>213</v>
      </c>
      <c r="BB281" t="s">
        <v>62</v>
      </c>
      <c r="BC281">
        <v>5.4377165064062973</v>
      </c>
      <c r="BD281">
        <v>0.87630816735840011</v>
      </c>
      <c r="BE281">
        <v>1.1411510667696554</v>
      </c>
      <c r="BF281">
        <v>1.65</v>
      </c>
      <c r="BG281">
        <v>0.58750000000000002</v>
      </c>
      <c r="BH281">
        <v>5.5</v>
      </c>
      <c r="BI281">
        <v>5</v>
      </c>
      <c r="BJ281">
        <v>0.5</v>
      </c>
      <c r="BK281">
        <v>0.28880816735840009</v>
      </c>
      <c r="BL281">
        <v>0.20799964213151972</v>
      </c>
      <c r="BM281">
        <v>62.983082806372174</v>
      </c>
      <c r="BN281">
        <v>28.084690476874524</v>
      </c>
      <c r="BO281" t="s">
        <v>192</v>
      </c>
      <c r="BP281" t="str">
        <f t="shared" si="11"/>
        <v>BET</v>
      </c>
    </row>
    <row r="282" spans="53:68" x14ac:dyDescent="0.35">
      <c r="BA282" t="s">
        <v>153</v>
      </c>
      <c r="BB282" t="s">
        <v>61</v>
      </c>
      <c r="BC282">
        <v>1.9848440749399898</v>
      </c>
      <c r="BD282">
        <v>0.10016485200539363</v>
      </c>
      <c r="BE282">
        <v>9.9835419309175695</v>
      </c>
      <c r="BF282">
        <v>2.35</v>
      </c>
      <c r="BG282">
        <v>0.41249999999999998</v>
      </c>
      <c r="BK282">
        <v>-0.31233514799460638</v>
      </c>
      <c r="BL282">
        <v>-0.22494377358571549</v>
      </c>
      <c r="BM282">
        <v>0</v>
      </c>
      <c r="BN282">
        <v>0</v>
      </c>
      <c r="BO282" t="s">
        <v>193</v>
      </c>
      <c r="BP282">
        <f t="shared" si="11"/>
        <v>0</v>
      </c>
    </row>
    <row r="283" spans="53:68" x14ac:dyDescent="0.35">
      <c r="BA283" t="s">
        <v>213</v>
      </c>
      <c r="BB283" t="s">
        <v>51</v>
      </c>
      <c r="BC283">
        <v>2.795471676761506</v>
      </c>
      <c r="BD283">
        <v>0.68292642241750079</v>
      </c>
      <c r="BE283">
        <v>1.4642865866283019</v>
      </c>
      <c r="BF283">
        <v>1.8</v>
      </c>
      <c r="BG283">
        <v>0.53246753246753253</v>
      </c>
      <c r="BH283">
        <v>5.5</v>
      </c>
      <c r="BI283">
        <v>5</v>
      </c>
      <c r="BJ283">
        <v>0.5</v>
      </c>
      <c r="BK283">
        <v>0.15045888994996826</v>
      </c>
      <c r="BL283">
        <v>0.10836049254196713</v>
      </c>
      <c r="BM283">
        <v>26.31141263338057</v>
      </c>
      <c r="BN283">
        <v>6.0323533838568384</v>
      </c>
      <c r="BO283" t="s">
        <v>192</v>
      </c>
      <c r="BP283" t="str">
        <f t="shared" si="11"/>
        <v>BET</v>
      </c>
    </row>
    <row r="284" spans="53:68" x14ac:dyDescent="0.35">
      <c r="BA284" t="s">
        <v>153</v>
      </c>
      <c r="BB284" t="s">
        <v>38</v>
      </c>
      <c r="BC284">
        <v>1.7554042236118319</v>
      </c>
      <c r="BD284">
        <v>0.31690961266987722</v>
      </c>
      <c r="BE284">
        <v>3.1554738639048283</v>
      </c>
      <c r="BF284">
        <v>2.0499999999999998</v>
      </c>
      <c r="BG284">
        <v>0.46753246753246758</v>
      </c>
      <c r="BK284">
        <v>-0.15062285486259036</v>
      </c>
      <c r="BL284">
        <v>-0.10847858007203758</v>
      </c>
      <c r="BM284">
        <v>0</v>
      </c>
      <c r="BN284">
        <v>0</v>
      </c>
      <c r="BO284" t="s">
        <v>193</v>
      </c>
      <c r="BP284">
        <f t="shared" si="11"/>
        <v>0</v>
      </c>
    </row>
    <row r="285" spans="53:68" x14ac:dyDescent="0.35">
      <c r="BA285" t="s">
        <v>213</v>
      </c>
      <c r="BB285" t="s">
        <v>53</v>
      </c>
      <c r="BC285">
        <v>2.8607533493516635</v>
      </c>
      <c r="BD285">
        <v>0.73722752627434884</v>
      </c>
      <c r="BE285">
        <v>1.3564333456912514</v>
      </c>
      <c r="BF285">
        <v>1.67</v>
      </c>
      <c r="BG285">
        <v>0.57934508816120911</v>
      </c>
      <c r="BH285">
        <v>5.5</v>
      </c>
      <c r="BI285">
        <v>5</v>
      </c>
      <c r="BJ285">
        <v>0.5</v>
      </c>
      <c r="BK285">
        <v>0.15788243811313973</v>
      </c>
      <c r="BL285">
        <v>0.11370693192908322</v>
      </c>
      <c r="BM285">
        <v>31.677299789720422</v>
      </c>
      <c r="BN285">
        <v>7.3228404065338939</v>
      </c>
      <c r="BO285" t="s">
        <v>192</v>
      </c>
      <c r="BP285" t="str">
        <f t="shared" si="11"/>
        <v>BET</v>
      </c>
    </row>
    <row r="286" spans="53:68" x14ac:dyDescent="0.35">
      <c r="BA286" t="s">
        <v>153</v>
      </c>
      <c r="BB286" t="s">
        <v>65</v>
      </c>
      <c r="BC286">
        <v>1.5068122239019386</v>
      </c>
      <c r="BD286">
        <v>0.26257555374536556</v>
      </c>
      <c r="BE286">
        <v>3.8084276534355395</v>
      </c>
      <c r="BF286">
        <v>2.2999999999999998</v>
      </c>
      <c r="BG286">
        <v>0.420654911838791</v>
      </c>
      <c r="BK286">
        <v>-0.15807935809342544</v>
      </c>
      <c r="BL286">
        <v>-0.11384875369888499</v>
      </c>
      <c r="BM286">
        <v>0</v>
      </c>
      <c r="BN286">
        <v>0</v>
      </c>
      <c r="BO286" t="s">
        <v>193</v>
      </c>
      <c r="BP286">
        <f t="shared" si="11"/>
        <v>0</v>
      </c>
    </row>
    <row r="287" spans="53:68" x14ac:dyDescent="0.35">
      <c r="BA287" t="s">
        <v>213</v>
      </c>
      <c r="BB287" t="s">
        <v>57</v>
      </c>
      <c r="BC287">
        <v>2.7558499296066845</v>
      </c>
      <c r="BD287">
        <v>0.43276908265904834</v>
      </c>
      <c r="BE287">
        <v>2.3107011107534161</v>
      </c>
      <c r="BF287">
        <v>2.4500000000000002</v>
      </c>
      <c r="BG287">
        <v>0.39655172413793105</v>
      </c>
      <c r="BH287">
        <v>5.5</v>
      </c>
      <c r="BI287">
        <v>5</v>
      </c>
      <c r="BJ287">
        <v>0.5</v>
      </c>
      <c r="BK287">
        <v>3.6217358521117293E-2</v>
      </c>
      <c r="BL287">
        <v>2.6083741606908673E-2</v>
      </c>
      <c r="BM287">
        <v>2.6739983598355104</v>
      </c>
      <c r="BN287">
        <v>0.16119999234813331</v>
      </c>
      <c r="BO287" t="s">
        <v>192</v>
      </c>
      <c r="BP287">
        <f t="shared" si="11"/>
        <v>0</v>
      </c>
    </row>
    <row r="288" spans="53:68" x14ac:dyDescent="0.35">
      <c r="BA288" t="s">
        <v>153</v>
      </c>
      <c r="BB288" t="s">
        <v>60</v>
      </c>
      <c r="BC288">
        <v>3.1763185855500522</v>
      </c>
      <c r="BD288">
        <v>0.56661999892082471</v>
      </c>
      <c r="BE288">
        <v>1.7648512264032046</v>
      </c>
      <c r="BF288">
        <v>1.61</v>
      </c>
      <c r="BG288">
        <v>0.60344827586206906</v>
      </c>
      <c r="BK288">
        <v>-3.6828276941244353E-2</v>
      </c>
      <c r="BL288">
        <v>-2.6523725053084181E-2</v>
      </c>
      <c r="BM288">
        <v>0</v>
      </c>
      <c r="BN288">
        <v>0</v>
      </c>
      <c r="BO288" t="s">
        <v>193</v>
      </c>
      <c r="BP288">
        <f t="shared" si="11"/>
        <v>0</v>
      </c>
    </row>
    <row r="289" spans="53:68" x14ac:dyDescent="0.35">
      <c r="BA289" t="s">
        <v>213</v>
      </c>
      <c r="BB289" t="s">
        <v>55</v>
      </c>
      <c r="BC289">
        <v>1.8198027156568668</v>
      </c>
      <c r="BD289">
        <v>0.35396680854721152</v>
      </c>
      <c r="BE289">
        <v>2.8251236439492931</v>
      </c>
      <c r="BF289">
        <v>2.7</v>
      </c>
      <c r="BG289">
        <v>0.35714285714285715</v>
      </c>
      <c r="BH289">
        <v>5.5</v>
      </c>
      <c r="BI289">
        <v>5</v>
      </c>
      <c r="BJ289">
        <v>0.5</v>
      </c>
      <c r="BK289">
        <v>-3.1760485956456308E-3</v>
      </c>
      <c r="BL289">
        <v>-2.2873901985839833E-3</v>
      </c>
      <c r="BM289">
        <v>0</v>
      </c>
      <c r="BN289">
        <v>0</v>
      </c>
      <c r="BO289" t="s">
        <v>193</v>
      </c>
      <c r="BP289">
        <f t="shared" si="11"/>
        <v>0</v>
      </c>
    </row>
    <row r="290" spans="53:68" x14ac:dyDescent="0.35">
      <c r="BA290" t="s">
        <v>153</v>
      </c>
      <c r="BB290" t="s">
        <v>42</v>
      </c>
      <c r="BC290">
        <v>2.6310985699555949</v>
      </c>
      <c r="BD290">
        <v>0.64593362376434627</v>
      </c>
      <c r="BE290">
        <v>1.5481466875377068</v>
      </c>
      <c r="BF290">
        <v>1.5</v>
      </c>
      <c r="BG290">
        <v>0.6428571428571429</v>
      </c>
      <c r="BK290">
        <v>3.0764809072033605E-3</v>
      </c>
      <c r="BL290">
        <v>2.21568154936786E-3</v>
      </c>
      <c r="BM290">
        <v>0</v>
      </c>
      <c r="BN290">
        <v>0</v>
      </c>
      <c r="BO290" t="s">
        <v>193</v>
      </c>
      <c r="BP290">
        <f t="shared" si="11"/>
        <v>0</v>
      </c>
    </row>
    <row r="291" spans="53:68" x14ac:dyDescent="0.35">
      <c r="BA291" t="s">
        <v>213</v>
      </c>
      <c r="BB291" t="s">
        <v>40</v>
      </c>
      <c r="BC291">
        <v>2.032994858584809</v>
      </c>
      <c r="BD291">
        <v>0.29672397681567358</v>
      </c>
      <c r="BE291">
        <v>3.3701354731478439</v>
      </c>
      <c r="BF291">
        <v>1.87</v>
      </c>
      <c r="BG291">
        <v>0.51047120418848169</v>
      </c>
      <c r="BH291">
        <v>5.5</v>
      </c>
      <c r="BI291">
        <v>5</v>
      </c>
      <c r="BJ291">
        <v>0.5</v>
      </c>
      <c r="BK291">
        <v>-0.2137472273728081</v>
      </c>
      <c r="BL291">
        <v>-0.15394075315389638</v>
      </c>
      <c r="BM291">
        <v>0</v>
      </c>
      <c r="BN291">
        <v>0</v>
      </c>
      <c r="BO291" t="s">
        <v>193</v>
      </c>
      <c r="BP291">
        <f t="shared" si="11"/>
        <v>0</v>
      </c>
    </row>
    <row r="292" spans="53:68" x14ac:dyDescent="0.35">
      <c r="BA292" t="s">
        <v>153</v>
      </c>
      <c r="BB292" t="s">
        <v>56</v>
      </c>
      <c r="BC292">
        <v>3.2868994873700754</v>
      </c>
      <c r="BD292">
        <v>0.70264865418090372</v>
      </c>
      <c r="BE292">
        <v>1.423186387748407</v>
      </c>
      <c r="BF292">
        <v>1.95</v>
      </c>
      <c r="BG292">
        <v>0.48952879581151842</v>
      </c>
      <c r="BK292">
        <v>0.2131198583693853</v>
      </c>
      <c r="BL292">
        <v>0.15348892199763128</v>
      </c>
      <c r="BM292">
        <v>25.060911338834071</v>
      </c>
      <c r="BN292">
        <v>9.2766691294844108</v>
      </c>
      <c r="BO292" t="s">
        <v>192</v>
      </c>
      <c r="BP292">
        <f t="shared" si="11"/>
        <v>0</v>
      </c>
    </row>
    <row r="293" spans="53:68" x14ac:dyDescent="0.35">
      <c r="BA293" t="s">
        <v>213</v>
      </c>
      <c r="BB293" t="s">
        <v>41</v>
      </c>
      <c r="BC293">
        <v>2.1432714585944912</v>
      </c>
      <c r="BD293">
        <v>0.42877192277657517</v>
      </c>
      <c r="BE293">
        <v>2.3322422641957385</v>
      </c>
      <c r="BF293">
        <v>3.1</v>
      </c>
      <c r="BG293">
        <v>0.31111111111111106</v>
      </c>
      <c r="BH293">
        <v>5.5</v>
      </c>
      <c r="BI293">
        <v>5</v>
      </c>
      <c r="BJ293">
        <v>0.5</v>
      </c>
      <c r="BK293">
        <v>0.1176608116654641</v>
      </c>
      <c r="BL293">
        <v>8.4739316561467243E-2</v>
      </c>
      <c r="BM293">
        <v>10.082227747801639</v>
      </c>
      <c r="BN293">
        <v>3.3189984018167298</v>
      </c>
      <c r="BO293" t="s">
        <v>192</v>
      </c>
      <c r="BP293">
        <f t="shared" si="11"/>
        <v>0</v>
      </c>
    </row>
    <row r="294" spans="53:68" x14ac:dyDescent="0.35">
      <c r="BA294" t="s">
        <v>153</v>
      </c>
      <c r="BB294" t="s">
        <v>59</v>
      </c>
      <c r="BC294">
        <v>2.5425863514444544</v>
      </c>
      <c r="BD294">
        <v>0.57114103052600684</v>
      </c>
      <c r="BE294">
        <v>1.7508810373490844</v>
      </c>
      <c r="BF294">
        <v>1.4</v>
      </c>
      <c r="BG294">
        <v>0.68888888888888888</v>
      </c>
      <c r="BK294">
        <v>-0.11774785836288204</v>
      </c>
      <c r="BL294">
        <v>-8.4802007592947634E-2</v>
      </c>
      <c r="BM294">
        <v>0</v>
      </c>
      <c r="BN294">
        <v>0</v>
      </c>
      <c r="BO294" t="s">
        <v>193</v>
      </c>
      <c r="BP294">
        <f t="shared" si="11"/>
        <v>0</v>
      </c>
    </row>
    <row r="295" spans="53:68" x14ac:dyDescent="0.35">
      <c r="BA295" t="s">
        <v>213</v>
      </c>
      <c r="BB295" t="s">
        <v>54</v>
      </c>
      <c r="BC295">
        <v>3.5052737269006009</v>
      </c>
      <c r="BD295">
        <v>0.7391038181539199</v>
      </c>
      <c r="BE295">
        <v>1.3529898986284874</v>
      </c>
      <c r="BF295">
        <v>2.65</v>
      </c>
      <c r="BG295">
        <v>0.36602870813397131</v>
      </c>
      <c r="BH295">
        <v>5.5</v>
      </c>
      <c r="BI295">
        <v>5</v>
      </c>
      <c r="BJ295">
        <v>0.5</v>
      </c>
      <c r="BK295">
        <v>0.37307511001994859</v>
      </c>
      <c r="BL295">
        <v>0.26868869423636693</v>
      </c>
      <c r="BM295">
        <v>37.367162316571687</v>
      </c>
      <c r="BN295">
        <v>35.821100389080136</v>
      </c>
      <c r="BO295" t="s">
        <v>192</v>
      </c>
      <c r="BP295">
        <f t="shared" si="11"/>
        <v>0</v>
      </c>
    </row>
    <row r="296" spans="53:68" x14ac:dyDescent="0.35">
      <c r="BA296" t="s">
        <v>153</v>
      </c>
      <c r="BB296" t="s">
        <v>67</v>
      </c>
      <c r="BC296">
        <v>1.9757393971771791</v>
      </c>
      <c r="BD296">
        <v>0.25985720406966789</v>
      </c>
      <c r="BE296">
        <v>3.8482673727679275</v>
      </c>
      <c r="BF296">
        <v>1.53</v>
      </c>
      <c r="BG296">
        <v>0.63397129186602874</v>
      </c>
      <c r="BK296">
        <v>-0.37411408779636085</v>
      </c>
      <c r="BL296">
        <v>-0.26943696603093908</v>
      </c>
      <c r="BM296">
        <v>0</v>
      </c>
      <c r="BN296">
        <v>0</v>
      </c>
      <c r="BO296" t="s">
        <v>193</v>
      </c>
      <c r="BP296">
        <f t="shared" si="11"/>
        <v>0</v>
      </c>
    </row>
    <row r="297" spans="53:68" x14ac:dyDescent="0.35">
      <c r="BA297" t="s">
        <v>213</v>
      </c>
      <c r="BB297" t="s">
        <v>50</v>
      </c>
      <c r="BC297">
        <v>4.0450227284101032</v>
      </c>
      <c r="BD297">
        <v>0.79712080621948422</v>
      </c>
      <c r="BE297">
        <v>1.2545149896948666</v>
      </c>
      <c r="BF297">
        <v>1.71</v>
      </c>
      <c r="BG297">
        <v>0.56265984654731449</v>
      </c>
      <c r="BH297">
        <v>5.5</v>
      </c>
      <c r="BI297">
        <v>5</v>
      </c>
      <c r="BJ297">
        <v>0.5</v>
      </c>
      <c r="BK297">
        <v>0.23446095967216973</v>
      </c>
      <c r="BL297">
        <v>0.16885878315589664</v>
      </c>
      <c r="BM297">
        <v>32.890096224011003</v>
      </c>
      <c r="BN297">
        <v>11.941623608000306</v>
      </c>
      <c r="BO297" t="s">
        <v>192</v>
      </c>
      <c r="BP297" t="str">
        <f t="shared" si="11"/>
        <v>BET</v>
      </c>
    </row>
    <row r="298" spans="53:68" x14ac:dyDescent="0.35">
      <c r="BA298" t="s">
        <v>153</v>
      </c>
      <c r="BB298" t="s">
        <v>43</v>
      </c>
      <c r="BC298">
        <v>1.965021282222853</v>
      </c>
      <c r="BD298">
        <v>0.19978592779017634</v>
      </c>
      <c r="BE298">
        <v>5.0053575397474566</v>
      </c>
      <c r="BF298">
        <v>2.2000000000000002</v>
      </c>
      <c r="BG298">
        <v>0.4373401534526854</v>
      </c>
      <c r="BK298">
        <v>-0.23755422566250906</v>
      </c>
      <c r="BL298">
        <v>-0.17108655332213901</v>
      </c>
      <c r="BM298">
        <v>0</v>
      </c>
      <c r="BN298">
        <v>0</v>
      </c>
      <c r="BO298" t="s">
        <v>193</v>
      </c>
      <c r="BP298">
        <f t="shared" si="11"/>
        <v>0</v>
      </c>
    </row>
    <row r="299" spans="53:68" x14ac:dyDescent="0.35">
      <c r="BA299" t="s">
        <v>213</v>
      </c>
      <c r="BB299" t="s">
        <v>66</v>
      </c>
      <c r="BC299">
        <v>2.3189746077044213</v>
      </c>
      <c r="BD299">
        <v>0.35466714186146092</v>
      </c>
      <c r="BE299">
        <v>2.819545094455401</v>
      </c>
      <c r="BF299">
        <v>2.64</v>
      </c>
      <c r="BG299">
        <v>0.36992840095465396</v>
      </c>
      <c r="BH299">
        <v>5.5</v>
      </c>
      <c r="BI299">
        <v>5</v>
      </c>
      <c r="BJ299">
        <v>0.5</v>
      </c>
      <c r="BK299">
        <v>-1.5261259093193036E-2</v>
      </c>
      <c r="BL299">
        <v>-1.0991158798917624E-2</v>
      </c>
      <c r="BM299">
        <v>0</v>
      </c>
      <c r="BN299">
        <v>0</v>
      </c>
      <c r="BO299" t="s">
        <v>193</v>
      </c>
      <c r="BP299">
        <f t="shared" si="11"/>
        <v>0</v>
      </c>
    </row>
    <row r="300" spans="53:68" x14ac:dyDescent="0.35">
      <c r="BA300" t="s">
        <v>153</v>
      </c>
      <c r="BB300" t="s">
        <v>64</v>
      </c>
      <c r="BC300">
        <v>3.2138932927948494</v>
      </c>
      <c r="BD300">
        <v>0.64478614492774466</v>
      </c>
      <c r="BE300">
        <v>1.5509018111920827</v>
      </c>
      <c r="BF300">
        <v>1.55</v>
      </c>
      <c r="BG300">
        <v>0.63007159904534604</v>
      </c>
      <c r="BK300">
        <v>1.4714545882398622E-2</v>
      </c>
      <c r="BL300">
        <v>1.0597415944503486E-2</v>
      </c>
      <c r="BM300">
        <v>0</v>
      </c>
      <c r="BN300">
        <v>0</v>
      </c>
      <c r="BO300" t="s">
        <v>193</v>
      </c>
      <c r="BP300">
        <f t="shared" si="11"/>
        <v>0</v>
      </c>
    </row>
    <row r="301" spans="53:68" x14ac:dyDescent="0.35">
      <c r="BA301" t="s">
        <v>213</v>
      </c>
      <c r="BB301" t="s">
        <v>63</v>
      </c>
      <c r="BC301">
        <v>3.3512297459855582</v>
      </c>
      <c r="BD301">
        <v>0.81999084654814391</v>
      </c>
      <c r="BE301">
        <v>1.219525808378993</v>
      </c>
      <c r="BF301">
        <v>1.29</v>
      </c>
      <c r="BG301">
        <v>0.74148296593186369</v>
      </c>
      <c r="BH301">
        <v>5.5</v>
      </c>
      <c r="BI301">
        <v>5</v>
      </c>
      <c r="BJ301">
        <v>0.5</v>
      </c>
      <c r="BK301">
        <v>7.8507880616280223E-2</v>
      </c>
      <c r="BL301">
        <v>5.6541375619845013E-2</v>
      </c>
      <c r="BM301">
        <v>12.816409286506508</v>
      </c>
      <c r="BN301">
        <v>0.74063712120294545</v>
      </c>
      <c r="BO301" t="s">
        <v>192</v>
      </c>
      <c r="BP301" t="str">
        <f t="shared" si="11"/>
        <v>BET</v>
      </c>
    </row>
    <row r="302" spans="53:68" x14ac:dyDescent="0.35">
      <c r="BA302" t="s">
        <v>153</v>
      </c>
      <c r="BB302" t="s">
        <v>48</v>
      </c>
      <c r="BC302">
        <v>1.3485293016318018</v>
      </c>
      <c r="BD302">
        <v>0.17928710276059881</v>
      </c>
      <c r="BE302">
        <v>5.5776460470516671</v>
      </c>
      <c r="BF302">
        <v>3.7</v>
      </c>
      <c r="BG302">
        <v>0.25851703406813625</v>
      </c>
      <c r="BK302">
        <v>-7.9229931307537443E-2</v>
      </c>
      <c r="BL302">
        <v>-5.7061396527688463E-2</v>
      </c>
      <c r="BM302">
        <v>0</v>
      </c>
      <c r="BN302">
        <v>0</v>
      </c>
      <c r="BO302" t="s">
        <v>193</v>
      </c>
      <c r="BP302">
        <f t="shared" si="11"/>
        <v>0</v>
      </c>
    </row>
    <row r="303" spans="53:68" x14ac:dyDescent="0.35">
      <c r="BA303" t="s">
        <v>213</v>
      </c>
      <c r="BB303" t="s">
        <v>45</v>
      </c>
      <c r="BC303">
        <v>2.2290719428441741</v>
      </c>
      <c r="BD303">
        <v>0.61404804770166765</v>
      </c>
      <c r="BE303">
        <v>1.6285370562497827</v>
      </c>
      <c r="BF303">
        <v>2.25</v>
      </c>
      <c r="BG303">
        <v>0.42893401015228422</v>
      </c>
      <c r="BH303">
        <v>5.5</v>
      </c>
      <c r="BI303">
        <v>5</v>
      </c>
      <c r="BJ303">
        <v>0.5</v>
      </c>
      <c r="BK303">
        <v>0.18511403754938344</v>
      </c>
      <c r="BL303">
        <v>0.13331912984306593</v>
      </c>
      <c r="BM303">
        <v>19.635087377164083</v>
      </c>
      <c r="BN303">
        <v>7.4929085312342627</v>
      </c>
      <c r="BO303" t="s">
        <v>192</v>
      </c>
      <c r="BP303">
        <f t="shared" si="11"/>
        <v>0</v>
      </c>
    </row>
    <row r="304" spans="53:68" x14ac:dyDescent="0.35">
      <c r="BA304" t="s">
        <v>153</v>
      </c>
      <c r="BB304" t="s">
        <v>47</v>
      </c>
      <c r="BC304">
        <v>1.6400398730125543</v>
      </c>
      <c r="BD304">
        <v>0.38592838317726386</v>
      </c>
      <c r="BE304">
        <v>2.5911543270469486</v>
      </c>
      <c r="BF304">
        <v>1.69</v>
      </c>
      <c r="BG304">
        <v>0.57106598984771573</v>
      </c>
      <c r="BK304">
        <v>-0.18513760667045187</v>
      </c>
      <c r="BL304">
        <v>-0.13333610432405943</v>
      </c>
      <c r="BM304">
        <v>0</v>
      </c>
      <c r="BN304">
        <v>0</v>
      </c>
      <c r="BO304" t="s">
        <v>193</v>
      </c>
      <c r="BP304">
        <f t="shared" si="11"/>
        <v>0</v>
      </c>
    </row>
    <row r="305" spans="53:68" x14ac:dyDescent="0.35">
      <c r="BA305" t="s">
        <v>213</v>
      </c>
      <c r="BB305" t="s">
        <v>68</v>
      </c>
      <c r="BC305">
        <v>2.345288622924687</v>
      </c>
      <c r="BD305">
        <v>0.59352468865504737</v>
      </c>
      <c r="BE305">
        <v>1.6848498792291915</v>
      </c>
      <c r="BF305">
        <v>1.87</v>
      </c>
      <c r="BG305">
        <v>0.51047120418848169</v>
      </c>
      <c r="BH305">
        <v>5.5</v>
      </c>
      <c r="BI305">
        <v>5</v>
      </c>
      <c r="BJ305">
        <v>0.5</v>
      </c>
      <c r="BK305">
        <v>8.3053484466565686E-2</v>
      </c>
      <c r="BL305">
        <v>5.9815119512820605E-2</v>
      </c>
      <c r="BM305">
        <v>8.7432822879500307</v>
      </c>
      <c r="BN305">
        <v>0.96080950089619988</v>
      </c>
      <c r="BO305" t="s">
        <v>192</v>
      </c>
      <c r="BP305" t="str">
        <f t="shared" si="11"/>
        <v>BET</v>
      </c>
    </row>
    <row r="306" spans="53:68" x14ac:dyDescent="0.35">
      <c r="BA306" t="s">
        <v>153</v>
      </c>
      <c r="BB306" t="s">
        <v>52</v>
      </c>
      <c r="BC306">
        <v>1.8457528141946695</v>
      </c>
      <c r="BD306">
        <v>0.40643628038039131</v>
      </c>
      <c r="BE306">
        <v>2.4604102740633325</v>
      </c>
      <c r="BF306">
        <v>1.95</v>
      </c>
      <c r="BG306">
        <v>0.48952879581151842</v>
      </c>
      <c r="BK306">
        <v>-8.3092515431127112E-2</v>
      </c>
      <c r="BL306">
        <v>-5.9843229613497743E-2</v>
      </c>
      <c r="BM306">
        <v>0</v>
      </c>
      <c r="BN306">
        <v>0</v>
      </c>
      <c r="BO306" t="s">
        <v>193</v>
      </c>
      <c r="BP306">
        <f t="shared" si="11"/>
        <v>0</v>
      </c>
    </row>
    <row r="307" spans="53:68" x14ac:dyDescent="0.35">
      <c r="BA307" t="s">
        <v>213</v>
      </c>
      <c r="BB307" t="s">
        <v>58</v>
      </c>
      <c r="BC307">
        <v>2.7997112002040345</v>
      </c>
      <c r="BD307">
        <v>0.46234760123766278</v>
      </c>
      <c r="BE307">
        <v>2.1628748528663073</v>
      </c>
      <c r="BF307">
        <v>2.9</v>
      </c>
      <c r="BG307">
        <v>0.33025404157043881</v>
      </c>
      <c r="BH307">
        <v>5.5</v>
      </c>
      <c r="BI307">
        <v>5</v>
      </c>
      <c r="BJ307">
        <v>0.5</v>
      </c>
      <c r="BK307">
        <v>0.13209355966722397</v>
      </c>
      <c r="BL307">
        <v>9.5133781672334702E-2</v>
      </c>
      <c r="BM307">
        <v>12.41615711979216</v>
      </c>
      <c r="BN307">
        <v>4.2315262168927568</v>
      </c>
      <c r="BO307" t="s">
        <v>192</v>
      </c>
      <c r="BP307">
        <f t="shared" si="11"/>
        <v>0</v>
      </c>
    </row>
    <row r="308" spans="53:68" x14ac:dyDescent="0.35">
      <c r="BA308" t="s">
        <v>153</v>
      </c>
      <c r="BB308" t="s">
        <v>49</v>
      </c>
      <c r="BC308">
        <v>3.0320982296958836</v>
      </c>
      <c r="BD308">
        <v>0.53716952786375205</v>
      </c>
      <c r="BE308">
        <v>1.8616096932691992</v>
      </c>
      <c r="BF308">
        <v>1.43</v>
      </c>
      <c r="BG308">
        <v>0.66974595842956119</v>
      </c>
      <c r="BK308">
        <v>-0.13257643056580914</v>
      </c>
      <c r="BL308">
        <v>-9.5481545293495743E-2</v>
      </c>
      <c r="BM308">
        <v>0</v>
      </c>
      <c r="BN308">
        <v>0</v>
      </c>
      <c r="BO308" t="s">
        <v>193</v>
      </c>
      <c r="BP308">
        <f t="shared" si="11"/>
        <v>0</v>
      </c>
    </row>
    <row r="309" spans="53:68" x14ac:dyDescent="0.35">
      <c r="BA309" t="s">
        <v>213</v>
      </c>
      <c r="BB309" t="s">
        <v>39</v>
      </c>
      <c r="BC309">
        <v>2.2023029910769609</v>
      </c>
      <c r="BD309">
        <v>0.45943953493778039</v>
      </c>
      <c r="BE309">
        <v>2.1765649752701952</v>
      </c>
      <c r="BF309">
        <v>2.8</v>
      </c>
      <c r="BG309">
        <v>0.34117647058823525</v>
      </c>
      <c r="BH309">
        <v>5.5</v>
      </c>
      <c r="BI309">
        <v>5</v>
      </c>
      <c r="BJ309">
        <v>0.5</v>
      </c>
      <c r="BK309">
        <v>0.11826306434954514</v>
      </c>
      <c r="BL309">
        <v>8.5173058944542412E-2</v>
      </c>
      <c r="BM309">
        <v>11.014835621407306</v>
      </c>
      <c r="BN309">
        <v>3.1549870534760096</v>
      </c>
      <c r="BO309" t="s">
        <v>192</v>
      </c>
      <c r="BP309">
        <f t="shared" si="11"/>
        <v>0</v>
      </c>
    </row>
    <row r="310" spans="53:68" x14ac:dyDescent="0.35">
      <c r="BA310" t="s">
        <v>153</v>
      </c>
      <c r="BB310" t="s">
        <v>46</v>
      </c>
      <c r="BC310">
        <v>2.4276581411394251</v>
      </c>
      <c r="BD310">
        <v>0.54049287226607767</v>
      </c>
      <c r="BE310">
        <v>1.8501631590577441</v>
      </c>
      <c r="BF310">
        <v>1.45</v>
      </c>
      <c r="BG310">
        <v>0.6588235294117647</v>
      </c>
      <c r="BK310">
        <v>-0.11833065714568702</v>
      </c>
      <c r="BL310">
        <v>-8.5221739276323788E-2</v>
      </c>
      <c r="BM310">
        <v>0</v>
      </c>
      <c r="BN310">
        <v>0</v>
      </c>
      <c r="BO310" t="s">
        <v>193</v>
      </c>
      <c r="BP310">
        <f t="shared" si="11"/>
        <v>0</v>
      </c>
    </row>
    <row r="311" spans="53:68" x14ac:dyDescent="0.35">
      <c r="BA311" t="s">
        <v>213</v>
      </c>
      <c r="BB311" t="s">
        <v>51</v>
      </c>
      <c r="BC311">
        <v>3.5799277360812547</v>
      </c>
      <c r="BD311">
        <v>0.70051029882555405</v>
      </c>
      <c r="BE311">
        <v>1.4275307610417116</v>
      </c>
      <c r="BF311">
        <v>1.71</v>
      </c>
      <c r="BG311">
        <v>0.56265984654731449</v>
      </c>
      <c r="BH311">
        <v>5.5</v>
      </c>
      <c r="BI311">
        <v>5</v>
      </c>
      <c r="BJ311">
        <v>0.5</v>
      </c>
      <c r="BK311">
        <v>0.13785045227823955</v>
      </c>
      <c r="BL311">
        <v>9.9279895730788117E-2</v>
      </c>
      <c r="BM311">
        <v>19.291158095152102</v>
      </c>
      <c r="BN311">
        <v>3.8171918213413649</v>
      </c>
      <c r="BO311" t="s">
        <v>192</v>
      </c>
      <c r="BP311" t="str">
        <f t="shared" si="11"/>
        <v>BET</v>
      </c>
    </row>
    <row r="312" spans="53:68" x14ac:dyDescent="0.35">
      <c r="BA312" t="s">
        <v>153</v>
      </c>
      <c r="BB312" t="s">
        <v>38</v>
      </c>
      <c r="BC312">
        <v>2.2773980912864156</v>
      </c>
      <c r="BD312">
        <v>0.29824572442475339</v>
      </c>
      <c r="BE312">
        <v>3.3529399354467437</v>
      </c>
      <c r="BF312">
        <v>2.2000000000000002</v>
      </c>
      <c r="BG312">
        <v>0.4373401534526854</v>
      </c>
      <c r="BK312">
        <v>-0.13909442902793201</v>
      </c>
      <c r="BL312">
        <v>-0.10017580778591663</v>
      </c>
      <c r="BM312">
        <v>0</v>
      </c>
      <c r="BN312">
        <v>0</v>
      </c>
      <c r="BO312" t="s">
        <v>193</v>
      </c>
      <c r="BP312">
        <f t="shared" si="11"/>
        <v>0</v>
      </c>
    </row>
    <row r="313" spans="53:68" x14ac:dyDescent="0.35">
      <c r="BA313" t="s">
        <v>213</v>
      </c>
      <c r="BB313" t="s">
        <v>53</v>
      </c>
      <c r="BC313">
        <v>2.631033500646264</v>
      </c>
      <c r="BD313">
        <v>0.7331317250876862</v>
      </c>
      <c r="BE313">
        <v>1.3640113580958388</v>
      </c>
      <c r="BF313">
        <v>1.67</v>
      </c>
      <c r="BG313">
        <v>0.57934508816120911</v>
      </c>
      <c r="BH313">
        <v>5.5</v>
      </c>
      <c r="BI313">
        <v>5</v>
      </c>
      <c r="BJ313">
        <v>0.5</v>
      </c>
      <c r="BK313">
        <v>0.15378663692647709</v>
      </c>
      <c r="BL313">
        <v>0.1107571359144488</v>
      </c>
      <c r="BM313">
        <v>23.176266766447778</v>
      </c>
      <c r="BN313">
        <v>5.1991314809679299</v>
      </c>
      <c r="BO313" t="s">
        <v>192</v>
      </c>
      <c r="BP313" t="str">
        <f t="shared" si="11"/>
        <v>BET</v>
      </c>
    </row>
    <row r="314" spans="53:68" x14ac:dyDescent="0.35">
      <c r="BA314" t="s">
        <v>153</v>
      </c>
      <c r="BB314" t="s">
        <v>65</v>
      </c>
      <c r="BC314">
        <v>1.3595850114606551</v>
      </c>
      <c r="BD314">
        <v>0.26677197578575068</v>
      </c>
      <c r="BE314">
        <v>3.7485196751067953</v>
      </c>
      <c r="BF314">
        <v>2.2999999999999998</v>
      </c>
      <c r="BG314">
        <v>0.420654911838791</v>
      </c>
      <c r="BK314">
        <v>-0.15388293605304032</v>
      </c>
      <c r="BL314">
        <v>-0.11082649054539963</v>
      </c>
      <c r="BM314">
        <v>0</v>
      </c>
      <c r="BN314">
        <v>0</v>
      </c>
      <c r="BO314" t="s">
        <v>193</v>
      </c>
      <c r="BP314">
        <f t="shared" si="11"/>
        <v>0</v>
      </c>
    </row>
    <row r="315" spans="53:68" x14ac:dyDescent="0.35">
      <c r="BA315" t="s">
        <v>213</v>
      </c>
      <c r="BB315" t="s">
        <v>57</v>
      </c>
      <c r="BC315">
        <v>1.9599624567162752</v>
      </c>
      <c r="BD315">
        <v>0.41849274537411929</v>
      </c>
      <c r="BE315">
        <v>2.3895276825074507</v>
      </c>
      <c r="BF315">
        <v>2.6</v>
      </c>
      <c r="BG315">
        <v>0.375</v>
      </c>
      <c r="BH315">
        <v>5.5</v>
      </c>
      <c r="BI315">
        <v>5</v>
      </c>
      <c r="BJ315">
        <v>0.5</v>
      </c>
      <c r="BK315">
        <v>4.349274537411929E-2</v>
      </c>
      <c r="BL315">
        <v>3.1323475218440713E-2</v>
      </c>
      <c r="BM315">
        <v>4.003310337307302</v>
      </c>
      <c r="BN315">
        <v>0.35261613016794158</v>
      </c>
      <c r="BO315" t="s">
        <v>192</v>
      </c>
      <c r="BP315">
        <f t="shared" si="11"/>
        <v>0</v>
      </c>
    </row>
    <row r="316" spans="53:68" x14ac:dyDescent="0.35">
      <c r="BA316" t="s">
        <v>153</v>
      </c>
      <c r="BB316" t="s">
        <v>40</v>
      </c>
      <c r="BC316">
        <v>2.4025071120309338</v>
      </c>
      <c r="BD316">
        <v>0.58145692329408638</v>
      </c>
      <c r="BE316">
        <v>1.7198178574171434</v>
      </c>
      <c r="BF316">
        <v>1.56</v>
      </c>
      <c r="BG316">
        <v>0.625</v>
      </c>
      <c r="BK316">
        <v>-4.3543076705913619E-2</v>
      </c>
      <c r="BL316">
        <v>-3.1359723843598988E-2</v>
      </c>
      <c r="BM316">
        <v>0</v>
      </c>
      <c r="BN316">
        <v>0</v>
      </c>
      <c r="BO316" t="s">
        <v>193</v>
      </c>
      <c r="BP316">
        <f t="shared" si="11"/>
        <v>0</v>
      </c>
    </row>
    <row r="317" spans="53:68" x14ac:dyDescent="0.35">
      <c r="BA317" t="s">
        <v>213</v>
      </c>
      <c r="BB317" t="s">
        <v>60</v>
      </c>
      <c r="BC317">
        <v>2.6867148839574302</v>
      </c>
      <c r="BD317">
        <v>0.86504288319458644</v>
      </c>
      <c r="BE317">
        <v>1.1560120537689642</v>
      </c>
      <c r="BF317">
        <v>1.45</v>
      </c>
      <c r="BG317">
        <v>0.6588235294117647</v>
      </c>
      <c r="BH317">
        <v>5.5</v>
      </c>
      <c r="BI317">
        <v>5</v>
      </c>
      <c r="BJ317">
        <v>0.5</v>
      </c>
      <c r="BK317">
        <v>0.20621935378282175</v>
      </c>
      <c r="BL317">
        <v>0.14851917859438821</v>
      </c>
      <c r="BM317">
        <v>41.097080565503312</v>
      </c>
      <c r="BN317">
        <v>10.45148817622831</v>
      </c>
      <c r="BO317" t="s">
        <v>192</v>
      </c>
      <c r="BP317" t="str">
        <f t="shared" si="11"/>
        <v>BET</v>
      </c>
    </row>
    <row r="318" spans="53:68" x14ac:dyDescent="0.35">
      <c r="BA318" t="s">
        <v>153</v>
      </c>
      <c r="BB318" t="s">
        <v>41</v>
      </c>
      <c r="BC318">
        <v>0.67113398594909435</v>
      </c>
      <c r="BD318">
        <v>0.13484203948397389</v>
      </c>
      <c r="BE318">
        <v>7.4160848043154299</v>
      </c>
      <c r="BF318">
        <v>2.8</v>
      </c>
      <c r="BG318">
        <v>0.34117647058823525</v>
      </c>
      <c r="BK318">
        <v>-0.20633443110426136</v>
      </c>
      <c r="BL318">
        <v>-0.14860205728128903</v>
      </c>
      <c r="BM318">
        <v>0</v>
      </c>
      <c r="BN318">
        <v>0</v>
      </c>
      <c r="BO318" t="s">
        <v>193</v>
      </c>
      <c r="BP318">
        <f t="shared" si="11"/>
        <v>0</v>
      </c>
    </row>
    <row r="319" spans="53:68" x14ac:dyDescent="0.35">
      <c r="BA319" t="s">
        <v>213</v>
      </c>
      <c r="BB319" t="s">
        <v>55</v>
      </c>
      <c r="BC319">
        <v>1.9965508248016568</v>
      </c>
      <c r="BD319">
        <v>0.38941972601919961</v>
      </c>
      <c r="BE319">
        <v>2.5679233310094234</v>
      </c>
      <c r="BF319">
        <v>3</v>
      </c>
      <c r="BG319">
        <v>0.32126696832579182</v>
      </c>
      <c r="BH319">
        <v>5.5</v>
      </c>
      <c r="BI319">
        <v>5</v>
      </c>
      <c r="BJ319">
        <v>0.5</v>
      </c>
      <c r="BK319">
        <v>6.8152757693407784E-2</v>
      </c>
      <c r="BL319">
        <v>4.908361609079228E-2</v>
      </c>
      <c r="BM319">
        <v>6.1179382770782258</v>
      </c>
      <c r="BN319">
        <v>1.0293992659083049</v>
      </c>
      <c r="BO319" t="s">
        <v>192</v>
      </c>
      <c r="BP319">
        <f t="shared" si="11"/>
        <v>0</v>
      </c>
    </row>
    <row r="320" spans="53:68" x14ac:dyDescent="0.35">
      <c r="BA320" t="s">
        <v>153</v>
      </c>
      <c r="BB320" t="s">
        <v>42</v>
      </c>
      <c r="BC320">
        <v>2.6160040835592873</v>
      </c>
      <c r="BD320">
        <v>0.61048065236796178</v>
      </c>
      <c r="BE320">
        <v>1.6380535502986897</v>
      </c>
      <c r="BF320">
        <v>1.42</v>
      </c>
      <c r="BG320">
        <v>0.67873303167420818</v>
      </c>
      <c r="BK320">
        <v>-6.8252379306246391E-2</v>
      </c>
      <c r="BL320">
        <v>-4.9155363576358649E-2</v>
      </c>
      <c r="BM320">
        <v>0</v>
      </c>
      <c r="BN320">
        <v>0</v>
      </c>
      <c r="BO320" t="s">
        <v>193</v>
      </c>
      <c r="BP320">
        <f t="shared" si="11"/>
        <v>0</v>
      </c>
    </row>
    <row r="321" spans="53:70" x14ac:dyDescent="0.35">
      <c r="BA321" t="s">
        <v>213</v>
      </c>
      <c r="BB321" t="s">
        <v>54</v>
      </c>
      <c r="BC321">
        <v>2.2274102277587589</v>
      </c>
      <c r="BD321">
        <v>0.40133350353168518</v>
      </c>
      <c r="BE321">
        <v>2.4916932954765145</v>
      </c>
      <c r="BF321">
        <v>2.75</v>
      </c>
      <c r="BG321">
        <v>0.34988179669030739</v>
      </c>
      <c r="BH321">
        <v>5.5</v>
      </c>
      <c r="BI321">
        <v>5</v>
      </c>
      <c r="BJ321">
        <v>0.5</v>
      </c>
      <c r="BK321">
        <v>5.1451706841377787E-2</v>
      </c>
      <c r="BL321">
        <v>3.7055519267160282E-2</v>
      </c>
      <c r="BM321">
        <v>4.3078380718671019</v>
      </c>
      <c r="BN321">
        <v>0.44658122971430769</v>
      </c>
      <c r="BO321" t="s">
        <v>192</v>
      </c>
      <c r="BP321">
        <f t="shared" si="11"/>
        <v>0</v>
      </c>
    </row>
    <row r="322" spans="53:70" x14ac:dyDescent="0.35">
      <c r="BA322" t="s">
        <v>153</v>
      </c>
      <c r="BB322" t="s">
        <v>56</v>
      </c>
      <c r="BC322">
        <v>2.8017533444533509</v>
      </c>
      <c r="BD322">
        <v>0.59847977305088418</v>
      </c>
      <c r="BE322">
        <v>1.6709002459720181</v>
      </c>
      <c r="BF322">
        <v>1.48</v>
      </c>
      <c r="BG322">
        <v>0.65011820330969272</v>
      </c>
      <c r="BK322">
        <v>-5.1638430258808543E-2</v>
      </c>
      <c r="BL322">
        <v>-3.7189997472393911E-2</v>
      </c>
      <c r="BM322">
        <v>0</v>
      </c>
      <c r="BN322">
        <v>0</v>
      </c>
      <c r="BO322" t="s">
        <v>193</v>
      </c>
      <c r="BP322">
        <f t="shared" si="11"/>
        <v>0</v>
      </c>
    </row>
    <row r="323" spans="53:70" x14ac:dyDescent="0.35">
      <c r="BA323" t="s">
        <v>213</v>
      </c>
      <c r="BB323" t="s">
        <v>67</v>
      </c>
      <c r="BC323">
        <v>3.0330071072078049</v>
      </c>
      <c r="BD323">
        <v>0.6482271841988736</v>
      </c>
      <c r="BE323">
        <v>1.5426690277358128</v>
      </c>
      <c r="BF323">
        <v>2.0499999999999998</v>
      </c>
      <c r="BG323">
        <v>0.46753246753246758</v>
      </c>
      <c r="BH323">
        <v>5.5</v>
      </c>
      <c r="BI323">
        <v>5</v>
      </c>
      <c r="BJ323">
        <v>0.5</v>
      </c>
      <c r="BK323">
        <v>0.18069471666640602</v>
      </c>
      <c r="BL323">
        <v>0.13013633494314561</v>
      </c>
      <c r="BM323">
        <v>22.776429351735857</v>
      </c>
      <c r="BN323">
        <v>7.490387011063774</v>
      </c>
      <c r="BO323" t="s">
        <v>192</v>
      </c>
      <c r="BP323">
        <f t="shared" si="11"/>
        <v>0</v>
      </c>
    </row>
    <row r="324" spans="53:70" x14ac:dyDescent="0.35">
      <c r="BA324" t="s">
        <v>153</v>
      </c>
      <c r="BB324" t="s">
        <v>59</v>
      </c>
      <c r="BC324">
        <v>2.1456933889519942</v>
      </c>
      <c r="BD324">
        <v>0.35143690521441551</v>
      </c>
      <c r="BE324">
        <v>2.8454609779524693</v>
      </c>
      <c r="BF324">
        <v>1.8</v>
      </c>
      <c r="BG324">
        <v>0.53246753246753253</v>
      </c>
      <c r="BK324">
        <v>-0.18103062725311703</v>
      </c>
      <c r="BL324">
        <v>-0.13037825774769488</v>
      </c>
      <c r="BM324">
        <v>0</v>
      </c>
      <c r="BN324">
        <v>0</v>
      </c>
      <c r="BO324" t="s">
        <v>193</v>
      </c>
      <c r="BP324">
        <f t="shared" si="11"/>
        <v>0</v>
      </c>
    </row>
    <row r="325" spans="53:70" x14ac:dyDescent="0.35">
      <c r="BA325" t="s">
        <v>213</v>
      </c>
      <c r="BB325" t="s">
        <v>50</v>
      </c>
      <c r="BC325">
        <v>4.4089258761982961</v>
      </c>
      <c r="BD325">
        <v>0.81354037007651558</v>
      </c>
      <c r="BE325">
        <v>1.2291953009116774</v>
      </c>
      <c r="BF325">
        <v>1.77</v>
      </c>
      <c r="BG325">
        <v>0.54263565891472865</v>
      </c>
      <c r="BH325">
        <v>5.5</v>
      </c>
      <c r="BI325">
        <v>5</v>
      </c>
      <c r="BJ325">
        <v>0.5</v>
      </c>
      <c r="BK325">
        <v>0.27090471116178694</v>
      </c>
      <c r="BL325">
        <v>0.19510557297871894</v>
      </c>
      <c r="BM325">
        <v>41.551352417281912</v>
      </c>
      <c r="BN325">
        <v>18.281201224959482</v>
      </c>
      <c r="BO325" t="s">
        <v>192</v>
      </c>
      <c r="BP325" t="str">
        <f t="shared" si="11"/>
        <v>BET</v>
      </c>
    </row>
    <row r="326" spans="53:70" x14ac:dyDescent="0.35">
      <c r="BA326" t="s">
        <v>153</v>
      </c>
      <c r="BB326" t="s">
        <v>43</v>
      </c>
      <c r="BC326">
        <v>2.0750109884027901</v>
      </c>
      <c r="BD326">
        <v>0.18067721343878837</v>
      </c>
      <c r="BE326">
        <v>5.5347322496690481</v>
      </c>
      <c r="BF326">
        <v>2.1</v>
      </c>
      <c r="BG326">
        <v>0.4573643410852713</v>
      </c>
      <c r="BK326">
        <v>-0.27668712764648296</v>
      </c>
      <c r="BL326">
        <v>-0.199270069330997</v>
      </c>
      <c r="BM326">
        <v>0</v>
      </c>
      <c r="BN326">
        <v>0</v>
      </c>
      <c r="BO326" t="s">
        <v>193</v>
      </c>
      <c r="BP326">
        <f t="shared" si="11"/>
        <v>0</v>
      </c>
    </row>
    <row r="327" spans="53:70" x14ac:dyDescent="0.35">
      <c r="BA327" t="s">
        <v>213</v>
      </c>
      <c r="BB327" t="s">
        <v>66</v>
      </c>
      <c r="BC327">
        <v>2.9112362861616439</v>
      </c>
      <c r="BD327">
        <v>0.456610767828043</v>
      </c>
      <c r="BE327">
        <v>2.1900490975206135</v>
      </c>
      <c r="BF327">
        <v>2.6</v>
      </c>
      <c r="BG327">
        <v>0.375</v>
      </c>
      <c r="BH327">
        <v>5.5</v>
      </c>
      <c r="BI327">
        <v>5</v>
      </c>
      <c r="BJ327">
        <v>0.5</v>
      </c>
      <c r="BK327">
        <v>8.1610767828042996E-2</v>
      </c>
      <c r="BL327">
        <v>5.8776074989756559E-2</v>
      </c>
      <c r="BM327">
        <v>8.5077424981910141</v>
      </c>
      <c r="BN327">
        <v>1.5925472717228928</v>
      </c>
      <c r="BO327" t="s">
        <v>192</v>
      </c>
      <c r="BP327">
        <f t="shared" si="11"/>
        <v>0</v>
      </c>
    </row>
    <row r="328" spans="53:70" x14ac:dyDescent="0.35">
      <c r="BA328" t="s">
        <v>153</v>
      </c>
      <c r="BB328" t="s">
        <v>64</v>
      </c>
      <c r="BC328">
        <v>3.1846176290716368</v>
      </c>
      <c r="BD328">
        <v>0.54268383773481088</v>
      </c>
      <c r="BE328">
        <v>1.8426935362107877</v>
      </c>
      <c r="BF328">
        <v>1.56</v>
      </c>
      <c r="BG328">
        <v>0.625</v>
      </c>
      <c r="BK328">
        <v>-8.2316162265189119E-2</v>
      </c>
      <c r="BL328">
        <v>-5.9284100063389203E-2</v>
      </c>
      <c r="BM328">
        <v>0</v>
      </c>
      <c r="BN328">
        <v>0</v>
      </c>
      <c r="BO328" t="s">
        <v>193</v>
      </c>
      <c r="BP328">
        <f t="shared" si="11"/>
        <v>0</v>
      </c>
    </row>
    <row r="329" spans="53:70" x14ac:dyDescent="0.35">
      <c r="BA329" t="s">
        <v>213</v>
      </c>
      <c r="BB329" t="s">
        <v>63</v>
      </c>
      <c r="BC329">
        <v>3.4011332380038475</v>
      </c>
      <c r="BD329">
        <v>0.85217401925485481</v>
      </c>
      <c r="BE329">
        <v>1.1734692414988255</v>
      </c>
      <c r="BF329">
        <v>1.28</v>
      </c>
      <c r="BG329">
        <v>0.74803149606299213</v>
      </c>
      <c r="BH329">
        <v>5.5</v>
      </c>
      <c r="BI329">
        <v>5</v>
      </c>
      <c r="BJ329">
        <v>0.5</v>
      </c>
      <c r="BK329">
        <v>0.10414252319186268</v>
      </c>
      <c r="BL329">
        <v>7.5003445202779503E-2</v>
      </c>
      <c r="BM329">
        <v>23.577708881743533</v>
      </c>
      <c r="BN329">
        <v>2.1404491247541002</v>
      </c>
      <c r="BO329" t="s">
        <v>192</v>
      </c>
      <c r="BP329" t="str">
        <f t="shared" si="11"/>
        <v>BET</v>
      </c>
    </row>
    <row r="330" spans="53:70" x14ac:dyDescent="0.35">
      <c r="BA330" t="s">
        <v>153</v>
      </c>
      <c r="BB330" t="s">
        <v>48</v>
      </c>
      <c r="BC330">
        <v>1.1613117130038904</v>
      </c>
      <c r="BD330">
        <v>0.1470136116897417</v>
      </c>
      <c r="BE330">
        <v>6.8020912383977432</v>
      </c>
      <c r="BF330">
        <v>3.8</v>
      </c>
      <c r="BG330">
        <v>0.25196850393700787</v>
      </c>
      <c r="BK330">
        <v>-0.10495489224726617</v>
      </c>
      <c r="BL330">
        <v>-7.5588513396481094E-2</v>
      </c>
      <c r="BM330">
        <v>0</v>
      </c>
      <c r="BN330">
        <v>0</v>
      </c>
      <c r="BO330" t="s">
        <v>193</v>
      </c>
      <c r="BP330">
        <f t="shared" si="11"/>
        <v>0</v>
      </c>
    </row>
    <row r="331" spans="53:70" x14ac:dyDescent="0.35">
      <c r="BA331" t="s">
        <v>213</v>
      </c>
      <c r="BB331" t="s">
        <v>45</v>
      </c>
      <c r="BC331">
        <v>1.8675011270612154</v>
      </c>
      <c r="BD331">
        <v>0.4596589673209579</v>
      </c>
      <c r="BE331">
        <v>2.1755259248575647</v>
      </c>
      <c r="BF331">
        <v>2.35</v>
      </c>
      <c r="BG331">
        <v>0.41249999999999998</v>
      </c>
      <c r="BH331">
        <v>5.5</v>
      </c>
      <c r="BI331">
        <v>5</v>
      </c>
      <c r="BJ331">
        <v>0.5</v>
      </c>
      <c r="BK331">
        <v>4.7158967320957923E-2</v>
      </c>
      <c r="BL331">
        <v>3.3963888264553897E-2</v>
      </c>
      <c r="BM331">
        <v>4.32005421580772</v>
      </c>
      <c r="BN331">
        <v>0.3464621842727893</v>
      </c>
      <c r="BO331" t="s">
        <v>192</v>
      </c>
      <c r="BP331">
        <f t="shared" si="11"/>
        <v>0</v>
      </c>
    </row>
    <row r="332" spans="53:70" x14ac:dyDescent="0.35">
      <c r="BA332" t="s">
        <v>153</v>
      </c>
      <c r="BB332" t="s">
        <v>47</v>
      </c>
      <c r="BC332">
        <v>2.075539807938839</v>
      </c>
      <c r="BD332">
        <v>0.54032495867308628</v>
      </c>
      <c r="BE332">
        <v>1.8507381233244709</v>
      </c>
      <c r="BF332">
        <v>1.65</v>
      </c>
      <c r="BG332">
        <v>0.58750000000000002</v>
      </c>
      <c r="BK332">
        <v>-4.7175041326913747E-2</v>
      </c>
      <c r="BL332">
        <v>-3.3975464763643277E-2</v>
      </c>
      <c r="BM332">
        <v>0</v>
      </c>
      <c r="BN332">
        <v>0</v>
      </c>
      <c r="BO332" t="s">
        <v>193</v>
      </c>
      <c r="BP332">
        <f t="shared" si="11"/>
        <v>0</v>
      </c>
    </row>
    <row r="333" spans="53:70" x14ac:dyDescent="0.35">
      <c r="BA333" t="s">
        <v>213</v>
      </c>
      <c r="BB333" t="s">
        <v>53</v>
      </c>
      <c r="BC333">
        <v>2.9840545441651232</v>
      </c>
      <c r="BD333">
        <v>0.6615832725329146</v>
      </c>
      <c r="BE333">
        <v>1.5115255199416318</v>
      </c>
      <c r="BF333">
        <v>1.95</v>
      </c>
      <c r="BG333">
        <v>0.48952879581151842</v>
      </c>
      <c r="BH333">
        <v>5.5</v>
      </c>
      <c r="BI333">
        <v>5</v>
      </c>
      <c r="BJ333">
        <v>0.5</v>
      </c>
      <c r="BK333">
        <v>0.17205447672139618</v>
      </c>
      <c r="BL333">
        <v>0.12391363413474951</v>
      </c>
      <c r="BM333">
        <v>22.205551110174991</v>
      </c>
      <c r="BN333">
        <v>6.4415501749646147</v>
      </c>
      <c r="BO333" t="s">
        <v>192</v>
      </c>
      <c r="BP333" t="str">
        <f t="shared" si="11"/>
        <v>BET</v>
      </c>
    </row>
    <row r="334" spans="53:70" x14ac:dyDescent="0.35">
      <c r="BA334" t="s">
        <v>153</v>
      </c>
      <c r="BB334" t="s">
        <v>44</v>
      </c>
      <c r="BC334">
        <v>2.0282795728810812</v>
      </c>
      <c r="BD334">
        <v>0.33812762214960596</v>
      </c>
      <c r="BE334">
        <v>2.9574632017420508</v>
      </c>
      <c r="BF334">
        <v>1.87</v>
      </c>
      <c r="BG334">
        <v>0.51047120418848169</v>
      </c>
      <c r="BK334">
        <v>-0.17234358203887573</v>
      </c>
      <c r="BL334">
        <v>-0.12412184778439829</v>
      </c>
      <c r="BM334">
        <v>0</v>
      </c>
      <c r="BN334">
        <v>0</v>
      </c>
      <c r="BO334" t="s">
        <v>193</v>
      </c>
      <c r="BP334">
        <f t="shared" si="11"/>
        <v>0</v>
      </c>
    </row>
    <row r="335" spans="53:70" x14ac:dyDescent="0.35">
      <c r="BA335" t="s">
        <v>213</v>
      </c>
      <c r="BB335" t="s">
        <v>60</v>
      </c>
      <c r="BC335">
        <v>3.1571359376188486</v>
      </c>
      <c r="BD335">
        <v>0.89252330179458539</v>
      </c>
      <c r="BE335">
        <v>1.1204189268664611</v>
      </c>
      <c r="BF335">
        <v>1.43</v>
      </c>
      <c r="BG335">
        <v>0.66974595842956119</v>
      </c>
      <c r="BH335">
        <v>5.5</v>
      </c>
      <c r="BI335">
        <v>5</v>
      </c>
      <c r="BJ335">
        <v>0.5</v>
      </c>
      <c r="BK335">
        <v>0.22277734336502419</v>
      </c>
      <c r="BL335">
        <v>0.16044424269149041</v>
      </c>
      <c r="BM335">
        <v>47.283128259266107</v>
      </c>
      <c r="BN335">
        <v>13.064721807719877</v>
      </c>
      <c r="BO335" t="s">
        <v>192</v>
      </c>
      <c r="BP335" t="s">
        <v>192</v>
      </c>
      <c r="BQ335">
        <v>1.31</v>
      </c>
      <c r="BR335">
        <v>47.302812920592203</v>
      </c>
    </row>
    <row r="336" spans="53:70" x14ac:dyDescent="0.35">
      <c r="BA336" t="s">
        <v>153</v>
      </c>
      <c r="BB336" t="s">
        <v>41</v>
      </c>
      <c r="BC336">
        <v>0.74022273314262277</v>
      </c>
      <c r="BD336">
        <v>0.10703133008271953</v>
      </c>
      <c r="BE336">
        <v>9.343058702784937</v>
      </c>
      <c r="BF336">
        <v>2.9</v>
      </c>
      <c r="BG336">
        <v>0.33025404157043881</v>
      </c>
      <c r="BK336">
        <v>-0.22322271148771927</v>
      </c>
      <c r="BL336">
        <v>-0.16076499681345541</v>
      </c>
      <c r="BM336">
        <v>0</v>
      </c>
      <c r="BN336">
        <v>0</v>
      </c>
      <c r="BO336" t="s">
        <v>193</v>
      </c>
      <c r="BP336">
        <v>0</v>
      </c>
    </row>
    <row r="337" spans="53:70" x14ac:dyDescent="0.35">
      <c r="BA337" t="s">
        <v>213</v>
      </c>
      <c r="BB337" t="s">
        <v>56</v>
      </c>
      <c r="BC337">
        <v>3.2247030640303174</v>
      </c>
      <c r="BD337">
        <v>0.81561422528349392</v>
      </c>
      <c r="BE337">
        <v>1.2260698366956715</v>
      </c>
      <c r="BF337">
        <v>1.57</v>
      </c>
      <c r="BG337">
        <v>0.6189320388349514</v>
      </c>
      <c r="BH337">
        <v>5.5</v>
      </c>
      <c r="BI337">
        <v>5</v>
      </c>
      <c r="BJ337">
        <v>0.5</v>
      </c>
      <c r="BK337">
        <v>0.19668218644854252</v>
      </c>
      <c r="BL337">
        <v>0.14165051068024032</v>
      </c>
      <c r="BM337">
        <v>36.212698989743956</v>
      </c>
      <c r="BN337">
        <v>10.158181128408721</v>
      </c>
      <c r="BO337" t="s">
        <v>192</v>
      </c>
      <c r="BP337" t="s">
        <v>192</v>
      </c>
      <c r="BQ337">
        <v>1</v>
      </c>
      <c r="BR337">
        <v>36.109017496635268</v>
      </c>
    </row>
    <row r="338" spans="53:70" x14ac:dyDescent="0.35">
      <c r="BA338" t="s">
        <v>153</v>
      </c>
      <c r="BB338" t="s">
        <v>54</v>
      </c>
      <c r="BC338">
        <v>1.2953277650984076</v>
      </c>
      <c r="BD338">
        <v>0.18385640086304397</v>
      </c>
      <c r="BE338">
        <v>5.4390273893423355</v>
      </c>
      <c r="BF338">
        <v>2.5499999999999998</v>
      </c>
      <c r="BG338">
        <v>0.3810679611650486</v>
      </c>
      <c r="BK338">
        <v>-0.19721156030200462</v>
      </c>
      <c r="BL338">
        <v>-0.14203176572950371</v>
      </c>
      <c r="BM338">
        <v>0</v>
      </c>
      <c r="BN338">
        <v>0</v>
      </c>
      <c r="BO338" t="s">
        <v>193</v>
      </c>
      <c r="BP338">
        <v>0</v>
      </c>
    </row>
    <row r="339" spans="53:70" x14ac:dyDescent="0.35">
      <c r="BA339" t="s">
        <v>213</v>
      </c>
      <c r="BB339" t="s">
        <v>53</v>
      </c>
      <c r="BC339">
        <v>2.6264902482588637</v>
      </c>
      <c r="BD339">
        <v>0.58495417981797437</v>
      </c>
      <c r="BE339">
        <v>1.709535608944925</v>
      </c>
      <c r="BF339">
        <v>1.87</v>
      </c>
      <c r="BG339">
        <v>0.51047120418848169</v>
      </c>
      <c r="BH339">
        <v>5.5</v>
      </c>
      <c r="BI339">
        <v>5</v>
      </c>
      <c r="BJ339">
        <v>0.5</v>
      </c>
      <c r="BK339">
        <v>7.4482975629492687E-2</v>
      </c>
      <c r="BL339">
        <v>5.3642639048360627E-2</v>
      </c>
      <c r="BM339">
        <v>7.9389297866365149</v>
      </c>
      <c r="BN339">
        <v>0.74518221625570469</v>
      </c>
      <c r="BO339" t="s">
        <v>192</v>
      </c>
      <c r="BP339" t="s">
        <v>192</v>
      </c>
      <c r="BQ339">
        <v>0.22</v>
      </c>
      <c r="BR339">
        <v>7.9439838492597588</v>
      </c>
    </row>
    <row r="340" spans="53:70" x14ac:dyDescent="0.35">
      <c r="BA340" t="s">
        <v>153</v>
      </c>
      <c r="BB340" t="s">
        <v>44</v>
      </c>
      <c r="BC340">
        <v>2.1445829302448858</v>
      </c>
      <c r="BD340">
        <v>0.414935445929564</v>
      </c>
      <c r="BE340">
        <v>2.4100134365714125</v>
      </c>
      <c r="BF340">
        <v>1.95</v>
      </c>
      <c r="BG340">
        <v>0.48952879581151842</v>
      </c>
      <c r="BK340">
        <v>-7.4593349881954429E-2</v>
      </c>
      <c r="BL340">
        <v>-5.3722130584983575E-2</v>
      </c>
      <c r="BM340">
        <v>0</v>
      </c>
      <c r="BN340">
        <v>0</v>
      </c>
      <c r="BO340" t="s">
        <v>193</v>
      </c>
      <c r="BP340">
        <v>0</v>
      </c>
    </row>
    <row r="341" spans="53:70" x14ac:dyDescent="0.35">
      <c r="BA341" t="s">
        <v>213</v>
      </c>
      <c r="BB341" t="s">
        <v>68</v>
      </c>
      <c r="BC341">
        <v>3.6301140003196304</v>
      </c>
      <c r="BD341">
        <v>0.84010374105766217</v>
      </c>
      <c r="BE341">
        <v>1.1903291833232807</v>
      </c>
      <c r="BF341">
        <v>1.77</v>
      </c>
      <c r="BG341">
        <v>0.54263565891472865</v>
      </c>
      <c r="BH341">
        <v>5.5</v>
      </c>
      <c r="BI341">
        <v>5</v>
      </c>
      <c r="BJ341">
        <v>0.5</v>
      </c>
      <c r="BK341">
        <v>0.29746808214293352</v>
      </c>
      <c r="BL341">
        <v>0.21423651275934072</v>
      </c>
      <c r="BM341">
        <v>46.537636457379037</v>
      </c>
      <c r="BN341">
        <v>22.663066746072236</v>
      </c>
      <c r="BO341" t="s">
        <v>192</v>
      </c>
      <c r="BP341" t="s">
        <v>192</v>
      </c>
      <c r="BQ341">
        <v>1.29</v>
      </c>
      <c r="BR341">
        <v>46.580632570659496</v>
      </c>
    </row>
    <row r="342" spans="53:70" x14ac:dyDescent="0.35">
      <c r="BA342" t="s">
        <v>153</v>
      </c>
      <c r="BB342" t="s">
        <v>62</v>
      </c>
      <c r="BC342">
        <v>1.3856993497138708</v>
      </c>
      <c r="BD342">
        <v>0.15853955637414774</v>
      </c>
      <c r="BE342">
        <v>6.3075741024532412</v>
      </c>
      <c r="BF342">
        <v>2.1</v>
      </c>
      <c r="BG342">
        <v>0.4573643410852713</v>
      </c>
      <c r="BK342">
        <v>-0.29882478471112356</v>
      </c>
      <c r="BL342">
        <v>-0.21521360994895117</v>
      </c>
      <c r="BM342">
        <v>0</v>
      </c>
      <c r="BN342">
        <v>0</v>
      </c>
      <c r="BO342" t="s">
        <v>193</v>
      </c>
      <c r="BP342">
        <v>0</v>
      </c>
    </row>
    <row r="343" spans="53:70" x14ac:dyDescent="0.35">
      <c r="BA343" t="s">
        <v>213</v>
      </c>
      <c r="BB343" t="s">
        <v>61</v>
      </c>
      <c r="BC343">
        <v>4.3118398880043118</v>
      </c>
      <c r="BD343">
        <v>0.77313980779692493</v>
      </c>
      <c r="BE343">
        <v>1.2934271265238781</v>
      </c>
      <c r="BF343">
        <v>1.83</v>
      </c>
      <c r="BG343">
        <v>0.5221932114882506</v>
      </c>
      <c r="BH343">
        <v>5.5</v>
      </c>
      <c r="BI343">
        <v>5</v>
      </c>
      <c r="BJ343">
        <v>0.5</v>
      </c>
      <c r="BK343">
        <v>0.25094659630867433</v>
      </c>
      <c r="BL343">
        <v>0.18073173866150724</v>
      </c>
      <c r="BM343">
        <v>36.778104999589026</v>
      </c>
      <c r="BN343">
        <v>15.257244166257784</v>
      </c>
      <c r="BO343" t="s">
        <v>192</v>
      </c>
      <c r="BP343" t="s">
        <v>192</v>
      </c>
      <c r="BQ343">
        <v>1.02</v>
      </c>
      <c r="BR343">
        <v>36.831197846567974</v>
      </c>
    </row>
    <row r="344" spans="53:70" x14ac:dyDescent="0.35">
      <c r="BA344" t="s">
        <v>153</v>
      </c>
      <c r="BB344" t="s">
        <v>38</v>
      </c>
      <c r="BC344">
        <v>2.3224326314819095</v>
      </c>
      <c r="BD344">
        <v>0.22190681859099362</v>
      </c>
      <c r="BE344">
        <v>4.5063960014817965</v>
      </c>
      <c r="BF344">
        <v>2</v>
      </c>
      <c r="BG344">
        <v>0.47780678851174935</v>
      </c>
      <c r="BK344">
        <v>-0.2558999699207557</v>
      </c>
      <c r="BL344">
        <v>-0.18429915833692825</v>
      </c>
      <c r="BM344">
        <v>0</v>
      </c>
      <c r="BN344">
        <v>0</v>
      </c>
      <c r="BO344" t="s">
        <v>193</v>
      </c>
      <c r="BP344">
        <v>0</v>
      </c>
    </row>
    <row r="345" spans="53:70" x14ac:dyDescent="0.35">
      <c r="BA345" t="s">
        <v>213</v>
      </c>
      <c r="BB345" t="s">
        <v>49</v>
      </c>
      <c r="BC345">
        <v>2.9266769404166499</v>
      </c>
      <c r="BD345">
        <v>0.80416433404116061</v>
      </c>
      <c r="BE345">
        <v>1.2435269231286445</v>
      </c>
      <c r="BF345">
        <v>1.74</v>
      </c>
      <c r="BG345">
        <v>0.5526992287917738</v>
      </c>
      <c r="BH345">
        <v>5.5</v>
      </c>
      <c r="BI345">
        <v>5</v>
      </c>
      <c r="BJ345">
        <v>0.5</v>
      </c>
      <c r="BK345">
        <v>0.25146510524938681</v>
      </c>
      <c r="BL345">
        <v>0.18110516880060837</v>
      </c>
      <c r="BM345">
        <v>39.699906385972874</v>
      </c>
      <c r="BN345">
        <v>15.850026491874921</v>
      </c>
      <c r="BO345" t="s">
        <v>192</v>
      </c>
      <c r="BP345" t="s">
        <v>192</v>
      </c>
      <c r="BQ345">
        <v>1.1000000000000001</v>
      </c>
      <c r="BR345">
        <v>39.719919246298801</v>
      </c>
    </row>
    <row r="346" spans="53:70" x14ac:dyDescent="0.35">
      <c r="BA346" t="s">
        <v>153</v>
      </c>
      <c r="BB346" t="s">
        <v>65</v>
      </c>
      <c r="BC346">
        <v>1.1717677432758649</v>
      </c>
      <c r="BD346">
        <v>0.19559782628720854</v>
      </c>
      <c r="BE346">
        <v>5.1125312534487852</v>
      </c>
      <c r="BF346">
        <v>2.15</v>
      </c>
      <c r="BG346">
        <v>0.44730077120822626</v>
      </c>
      <c r="BK346">
        <v>-0.25170294492101775</v>
      </c>
      <c r="BL346">
        <v>-0.18127646093211697</v>
      </c>
      <c r="BM346">
        <v>0</v>
      </c>
      <c r="BN346">
        <v>0</v>
      </c>
      <c r="BO346" t="s">
        <v>193</v>
      </c>
      <c r="BP346">
        <v>0</v>
      </c>
    </row>
    <row r="347" spans="53:70" x14ac:dyDescent="0.35">
      <c r="BA347" t="s">
        <v>213</v>
      </c>
      <c r="BB347" t="s">
        <v>42</v>
      </c>
      <c r="BC347">
        <v>3.257975521014477</v>
      </c>
      <c r="BD347">
        <v>0.61364529472168505</v>
      </c>
      <c r="BE347">
        <v>1.6296059117564712</v>
      </c>
      <c r="BF347">
        <v>1.42</v>
      </c>
      <c r="BG347">
        <v>0.67873303167420818</v>
      </c>
      <c r="BH347">
        <v>5.5</v>
      </c>
      <c r="BI347">
        <v>5</v>
      </c>
      <c r="BJ347">
        <v>0.5</v>
      </c>
      <c r="BK347">
        <v>-6.5087736952523123E-2</v>
      </c>
      <c r="BL347">
        <v>-4.6876188153207148E-2</v>
      </c>
      <c r="BM347">
        <v>0</v>
      </c>
      <c r="BN347">
        <v>0</v>
      </c>
      <c r="BO347" t="s">
        <v>193</v>
      </c>
      <c r="BP347">
        <v>0</v>
      </c>
    </row>
    <row r="348" spans="53:70" x14ac:dyDescent="0.35">
      <c r="BA348" t="s">
        <v>153</v>
      </c>
      <c r="BB348" t="s">
        <v>48</v>
      </c>
      <c r="BC348">
        <v>2.5439240721129428</v>
      </c>
      <c r="BD348">
        <v>0.38570784181882561</v>
      </c>
      <c r="BE348">
        <v>2.5926359061937849</v>
      </c>
      <c r="BF348">
        <v>3</v>
      </c>
      <c r="BG348">
        <v>0.32126696832579182</v>
      </c>
      <c r="BK348">
        <v>6.444087349303379E-2</v>
      </c>
      <c r="BL348">
        <v>4.6410317089682934E-2</v>
      </c>
      <c r="BM348">
        <v>5.5251424140590748</v>
      </c>
      <c r="BN348">
        <v>0.86812985474607007</v>
      </c>
      <c r="BO348" t="s">
        <v>192</v>
      </c>
      <c r="BP348">
        <v>0</v>
      </c>
    </row>
    <row r="349" spans="53:70" x14ac:dyDescent="0.35">
      <c r="BA349" t="s">
        <v>213</v>
      </c>
      <c r="BB349" t="s">
        <v>56</v>
      </c>
      <c r="BC349">
        <v>3.7658638929940613</v>
      </c>
      <c r="BD349">
        <v>0.85422302791278981</v>
      </c>
      <c r="BE349">
        <v>1.170654462972512</v>
      </c>
      <c r="BF349">
        <v>1.56</v>
      </c>
      <c r="BG349">
        <v>0.625</v>
      </c>
      <c r="BH349">
        <v>5.5</v>
      </c>
      <c r="BI349">
        <v>5</v>
      </c>
      <c r="BJ349">
        <v>0.5</v>
      </c>
      <c r="BK349">
        <v>0.22922302791278981</v>
      </c>
      <c r="BL349">
        <v>0.16508642470279122</v>
      </c>
      <c r="BM349">
        <v>41.768675710898812</v>
      </c>
      <c r="BN349">
        <v>13.891757123868551</v>
      </c>
      <c r="BO349" t="s">
        <v>192</v>
      </c>
      <c r="BP349" t="s">
        <v>192</v>
      </c>
    </row>
    <row r="350" spans="53:70" x14ac:dyDescent="0.35">
      <c r="BA350" t="s">
        <v>153</v>
      </c>
      <c r="BB350" t="s">
        <v>54</v>
      </c>
      <c r="BC350">
        <v>1.363156270103369</v>
      </c>
      <c r="BD350">
        <v>0.14397635098697448</v>
      </c>
      <c r="BE350">
        <v>6.945585112727783</v>
      </c>
      <c r="BF350">
        <v>2.6</v>
      </c>
      <c r="BG350">
        <v>0.375</v>
      </c>
      <c r="BK350">
        <v>-0.23102364901302552</v>
      </c>
      <c r="BL350">
        <v>-0.16638323201918098</v>
      </c>
      <c r="BM350">
        <v>0</v>
      </c>
      <c r="BN350">
        <v>0</v>
      </c>
      <c r="BO350" t="s">
        <v>193</v>
      </c>
      <c r="BP350">
        <v>0</v>
      </c>
    </row>
    <row r="351" spans="53:70" x14ac:dyDescent="0.35">
      <c r="BA351" t="s">
        <v>213</v>
      </c>
      <c r="BB351" t="s">
        <v>47</v>
      </c>
      <c r="BC351">
        <v>2.8656833600498164</v>
      </c>
      <c r="BD351">
        <v>0.56165800805384181</v>
      </c>
      <c r="BE351">
        <v>1.7804428774460521</v>
      </c>
      <c r="BF351">
        <v>1.69</v>
      </c>
      <c r="BG351">
        <v>0.57106598984771573</v>
      </c>
      <c r="BH351">
        <v>5.5</v>
      </c>
      <c r="BI351">
        <v>5</v>
      </c>
      <c r="BJ351">
        <v>0.5</v>
      </c>
      <c r="BK351">
        <v>-9.4079817938739208E-3</v>
      </c>
      <c r="BL351">
        <v>-6.7756284879479977E-3</v>
      </c>
      <c r="BM351">
        <v>0</v>
      </c>
      <c r="BN351">
        <v>0</v>
      </c>
      <c r="BO351" t="s">
        <v>193</v>
      </c>
      <c r="BP351">
        <v>0</v>
      </c>
    </row>
    <row r="352" spans="53:70" x14ac:dyDescent="0.35">
      <c r="BA352" t="s">
        <v>153</v>
      </c>
      <c r="BB352" t="s">
        <v>43</v>
      </c>
      <c r="BC352">
        <v>2.4964300659823393</v>
      </c>
      <c r="BD352">
        <v>0.43808192767480636</v>
      </c>
      <c r="BE352">
        <v>2.2826780490755882</v>
      </c>
      <c r="BF352">
        <v>2.25</v>
      </c>
      <c r="BG352">
        <v>0.42893401015228422</v>
      </c>
      <c r="BK352">
        <v>9.1479175225221421E-3</v>
      </c>
      <c r="BL352">
        <v>6.5883301997204467E-3</v>
      </c>
      <c r="BM352">
        <v>0</v>
      </c>
      <c r="BN352">
        <v>0</v>
      </c>
      <c r="BO352" t="s">
        <v>193</v>
      </c>
      <c r="BP352">
        <v>0</v>
      </c>
    </row>
    <row r="353" spans="53:68" x14ac:dyDescent="0.35">
      <c r="BA353" t="s">
        <v>213</v>
      </c>
      <c r="BB353" t="s">
        <v>51</v>
      </c>
      <c r="BC353">
        <v>2.0246631785735043</v>
      </c>
      <c r="BD353">
        <v>0.57154386687835979</v>
      </c>
      <c r="BE353">
        <v>1.749646978913042</v>
      </c>
      <c r="BF353">
        <v>3</v>
      </c>
      <c r="BG353">
        <v>0.32126696832579182</v>
      </c>
      <c r="BH353">
        <v>5.5</v>
      </c>
      <c r="BI353">
        <v>5</v>
      </c>
      <c r="BJ353">
        <v>0.5</v>
      </c>
      <c r="BK353">
        <v>0.25027689855256796</v>
      </c>
      <c r="BL353">
        <v>0.18024942233755945</v>
      </c>
      <c r="BM353">
        <v>25.129536494453962</v>
      </c>
      <c r="BN353">
        <v>17.958360888249278</v>
      </c>
      <c r="BO353" t="s">
        <v>192</v>
      </c>
      <c r="BP353">
        <v>0</v>
      </c>
    </row>
    <row r="354" spans="53:68" x14ac:dyDescent="0.35">
      <c r="BA354" t="s">
        <v>153</v>
      </c>
      <c r="BB354" t="s">
        <v>46</v>
      </c>
      <c r="BC354">
        <v>1.6656625433727907</v>
      </c>
      <c r="BD354">
        <v>0.428445332167954</v>
      </c>
      <c r="BE354">
        <v>2.3340200602488812</v>
      </c>
      <c r="BF354">
        <v>1.42</v>
      </c>
      <c r="BG354">
        <v>0.67873303167420818</v>
      </c>
      <c r="BK354">
        <v>-0.25028769950625418</v>
      </c>
      <c r="BL354">
        <v>-0.18025720118440425</v>
      </c>
      <c r="BM354">
        <v>0</v>
      </c>
      <c r="BN354">
        <v>0</v>
      </c>
      <c r="BO354" t="s">
        <v>193</v>
      </c>
      <c r="BP354">
        <v>0</v>
      </c>
    </row>
    <row r="355" spans="53:68" x14ac:dyDescent="0.35">
      <c r="BA355" t="s">
        <v>213</v>
      </c>
      <c r="BB355" t="s">
        <v>64</v>
      </c>
      <c r="BC355">
        <v>3.8103044482438326</v>
      </c>
      <c r="BD355">
        <v>0.80572543893466175</v>
      </c>
      <c r="BE355">
        <v>1.2411175714176408</v>
      </c>
      <c r="BF355">
        <v>1.4</v>
      </c>
      <c r="BG355">
        <v>0.68888888888888888</v>
      </c>
      <c r="BH355">
        <v>5.5</v>
      </c>
      <c r="BI355">
        <v>5</v>
      </c>
      <c r="BJ355">
        <v>0.5</v>
      </c>
      <c r="BK355">
        <v>0.11683655004577287</v>
      </c>
      <c r="BL355">
        <v>8.4145683342965613E-2</v>
      </c>
      <c r="BM355">
        <v>22.507912145174522</v>
      </c>
      <c r="BN355">
        <v>2.8813642045684391</v>
      </c>
      <c r="BO355" t="s">
        <v>192</v>
      </c>
      <c r="BP355" t="s">
        <v>192</v>
      </c>
    </row>
    <row r="356" spans="53:68" x14ac:dyDescent="0.35">
      <c r="BA356" t="s">
        <v>153</v>
      </c>
      <c r="BB356" t="s">
        <v>58</v>
      </c>
      <c r="BC356">
        <v>1.7466464647262354</v>
      </c>
      <c r="BD356">
        <v>0.19230309802806761</v>
      </c>
      <c r="BE356">
        <v>5.2001242322889931</v>
      </c>
      <c r="BF356">
        <v>3.1</v>
      </c>
      <c r="BG356">
        <v>0.31111111111111106</v>
      </c>
      <c r="BK356">
        <v>-0.11880801308304345</v>
      </c>
      <c r="BL356">
        <v>-8.5565531022407881E-2</v>
      </c>
      <c r="BM356">
        <v>0</v>
      </c>
      <c r="BN356">
        <v>0</v>
      </c>
      <c r="BO356" t="s">
        <v>193</v>
      </c>
      <c r="BP356">
        <v>0</v>
      </c>
    </row>
    <row r="357" spans="53:68" x14ac:dyDescent="0.35">
      <c r="BA357" t="s">
        <v>213</v>
      </c>
      <c r="BB357" t="s">
        <v>59</v>
      </c>
      <c r="BC357">
        <v>3.1242982250488036</v>
      </c>
      <c r="BD357">
        <v>0.61912252989510153</v>
      </c>
      <c r="BE357">
        <v>1.615189161617864</v>
      </c>
      <c r="BF357">
        <v>1.74</v>
      </c>
      <c r="BG357">
        <v>0.5526992287917738</v>
      </c>
      <c r="BH357">
        <v>5.5</v>
      </c>
      <c r="BI357">
        <v>5</v>
      </c>
      <c r="BJ357">
        <v>0.5</v>
      </c>
      <c r="BK357">
        <v>6.6423301103327725E-2</v>
      </c>
      <c r="BL357">
        <v>4.7838061454616623E-2</v>
      </c>
      <c r="BM357">
        <v>7.3439455185846354</v>
      </c>
      <c r="BN357">
        <v>0.56749018566293286</v>
      </c>
      <c r="BO357" t="s">
        <v>192</v>
      </c>
      <c r="BP357" t="str">
        <f t="shared" ref="BP357:BP392" si="12">IF(AND(BA357="A",BF357&lt;2,BO357="BET"),"BET",)</f>
        <v>BET</v>
      </c>
    </row>
    <row r="358" spans="53:68" x14ac:dyDescent="0.35">
      <c r="BA358" t="s">
        <v>153</v>
      </c>
      <c r="BB358" t="s">
        <v>57</v>
      </c>
      <c r="BC358">
        <v>2.3938543463087827</v>
      </c>
      <c r="BD358">
        <v>0.3804266053324824</v>
      </c>
      <c r="BE358">
        <v>2.6286279297580344</v>
      </c>
      <c r="BF358">
        <v>2.15</v>
      </c>
      <c r="BG358">
        <v>0.44730077120822626</v>
      </c>
      <c r="BK358">
        <v>-6.6874165875743852E-2</v>
      </c>
      <c r="BL358">
        <v>-4.8162774263710718E-2</v>
      </c>
      <c r="BM358">
        <v>0</v>
      </c>
      <c r="BN358">
        <v>0</v>
      </c>
      <c r="BO358" t="s">
        <v>193</v>
      </c>
      <c r="BP358">
        <f t="shared" si="12"/>
        <v>0</v>
      </c>
    </row>
    <row r="359" spans="53:68" x14ac:dyDescent="0.35">
      <c r="BA359" t="s">
        <v>213</v>
      </c>
      <c r="BB359" t="s">
        <v>40</v>
      </c>
      <c r="BC359">
        <v>2.0793154969443695</v>
      </c>
      <c r="BD359">
        <v>0.33291081488882224</v>
      </c>
      <c r="BE359">
        <v>3.0038074922076552</v>
      </c>
      <c r="BF359">
        <v>1.83</v>
      </c>
      <c r="BG359">
        <v>0.5221932114882506</v>
      </c>
      <c r="BH359">
        <v>5.5</v>
      </c>
      <c r="BI359">
        <v>5</v>
      </c>
      <c r="BJ359">
        <v>0.5</v>
      </c>
      <c r="BK359">
        <v>-0.18928239659942836</v>
      </c>
      <c r="BL359">
        <v>-0.13632118203090829</v>
      </c>
      <c r="BM359">
        <v>0</v>
      </c>
      <c r="BN359">
        <v>0</v>
      </c>
      <c r="BO359" t="s">
        <v>193</v>
      </c>
      <c r="BP359">
        <f t="shared" si="12"/>
        <v>0</v>
      </c>
    </row>
    <row r="360" spans="53:68" x14ac:dyDescent="0.35">
      <c r="BA360" t="s">
        <v>153</v>
      </c>
      <c r="BB360" t="s">
        <v>60</v>
      </c>
      <c r="BC360">
        <v>3.0813762828343214</v>
      </c>
      <c r="BD360">
        <v>0.66671247955853175</v>
      </c>
      <c r="BE360">
        <v>1.4998969280763379</v>
      </c>
      <c r="BF360">
        <v>2</v>
      </c>
      <c r="BG360">
        <v>0.47780678851174935</v>
      </c>
      <c r="BK360">
        <v>0.1889056910467824</v>
      </c>
      <c r="BL360">
        <v>0.13604987869189267</v>
      </c>
      <c r="BM360">
        <v>23.449325976763348</v>
      </c>
      <c r="BN360">
        <v>7.8185905551250139</v>
      </c>
      <c r="BO360" t="s">
        <v>192</v>
      </c>
      <c r="BP360">
        <f t="shared" si="12"/>
        <v>0</v>
      </c>
    </row>
    <row r="361" spans="53:68" x14ac:dyDescent="0.35">
      <c r="BA361" t="s">
        <v>213</v>
      </c>
      <c r="BB361" t="s">
        <v>65</v>
      </c>
      <c r="BC361">
        <v>2.6104225969182262</v>
      </c>
      <c r="BD361">
        <v>0.43396497635489883</v>
      </c>
      <c r="BE361">
        <v>2.3043334243226918</v>
      </c>
      <c r="BF361">
        <v>1.57</v>
      </c>
      <c r="BG361">
        <v>0.6189320388349514</v>
      </c>
      <c r="BH361">
        <v>5.5</v>
      </c>
      <c r="BI361">
        <v>5</v>
      </c>
      <c r="BJ361">
        <v>0.5</v>
      </c>
      <c r="BK361">
        <v>-0.18496706248005257</v>
      </c>
      <c r="BL361">
        <v>-0.13321327839813385</v>
      </c>
      <c r="BM361">
        <v>0</v>
      </c>
      <c r="BN361">
        <v>0</v>
      </c>
      <c r="BO361" t="s">
        <v>193</v>
      </c>
      <c r="BP361">
        <f t="shared" si="12"/>
        <v>0</v>
      </c>
    </row>
    <row r="362" spans="53:68" x14ac:dyDescent="0.35">
      <c r="BA362" t="s">
        <v>153</v>
      </c>
      <c r="BB362" t="s">
        <v>58</v>
      </c>
      <c r="BC362">
        <v>3.0132858607972337</v>
      </c>
      <c r="BD362">
        <v>0.56564201150052096</v>
      </c>
      <c r="BE362">
        <v>1.7679026304061558</v>
      </c>
      <c r="BF362">
        <v>2.5499999999999998</v>
      </c>
      <c r="BG362">
        <v>0.3810679611650486</v>
      </c>
      <c r="BK362">
        <v>0.18457405033547236</v>
      </c>
      <c r="BL362">
        <v>0.13293023105160717</v>
      </c>
      <c r="BM362">
        <v>20.072572833698167</v>
      </c>
      <c r="BN362">
        <v>8.8798478740933735</v>
      </c>
      <c r="BO362" t="s">
        <v>192</v>
      </c>
      <c r="BP362">
        <f t="shared" si="12"/>
        <v>0</v>
      </c>
    </row>
    <row r="363" spans="53:68" x14ac:dyDescent="0.35">
      <c r="BA363" t="s">
        <v>213</v>
      </c>
      <c r="BB363" t="s">
        <v>67</v>
      </c>
      <c r="BC363">
        <v>4.1333453181711226</v>
      </c>
      <c r="BD363">
        <v>0.95425203374443113</v>
      </c>
      <c r="BE363">
        <v>1.0479411776321361</v>
      </c>
      <c r="BF363">
        <v>1.45</v>
      </c>
      <c r="BG363">
        <v>0.6588235294117647</v>
      </c>
      <c r="BH363">
        <v>5.5</v>
      </c>
      <c r="BI363">
        <v>5</v>
      </c>
      <c r="BJ363">
        <v>0.5</v>
      </c>
      <c r="BK363">
        <v>0.29542850433266643</v>
      </c>
      <c r="BL363">
        <v>0.21276760882038634</v>
      </c>
      <c r="BM363">
        <v>59.961492463560461</v>
      </c>
      <c r="BN363">
        <v>23.005152924510259</v>
      </c>
      <c r="BO363" t="s">
        <v>192</v>
      </c>
      <c r="BP363" t="str">
        <f t="shared" si="12"/>
        <v>BET</v>
      </c>
    </row>
    <row r="364" spans="53:68" x14ac:dyDescent="0.35">
      <c r="BA364" t="s">
        <v>153</v>
      </c>
      <c r="BB364" t="s">
        <v>41</v>
      </c>
      <c r="BC364">
        <v>0.58268989673068994</v>
      </c>
      <c r="BD364">
        <v>4.2128435600561537E-2</v>
      </c>
      <c r="BE364">
        <v>23.73693648350595</v>
      </c>
      <c r="BF364">
        <v>2.8</v>
      </c>
      <c r="BG364">
        <v>0.34117647058823525</v>
      </c>
      <c r="BK364">
        <v>-0.29904803498767374</v>
      </c>
      <c r="BL364">
        <v>-0.21537439479812262</v>
      </c>
      <c r="BM364">
        <v>0</v>
      </c>
      <c r="BN364">
        <v>0</v>
      </c>
      <c r="BO364" t="s">
        <v>193</v>
      </c>
      <c r="BP364">
        <f t="shared" si="12"/>
        <v>0</v>
      </c>
    </row>
    <row r="365" spans="53:68" x14ac:dyDescent="0.35">
      <c r="BA365" t="s">
        <v>213</v>
      </c>
      <c r="BB365" t="s">
        <v>53</v>
      </c>
      <c r="BC365">
        <v>1.8157577713109212</v>
      </c>
      <c r="BD365">
        <v>0.48197250293957472</v>
      </c>
      <c r="BE365">
        <v>2.0748071599540414</v>
      </c>
      <c r="BF365">
        <v>1.87</v>
      </c>
      <c r="BG365">
        <v>0.51047120418848169</v>
      </c>
      <c r="BH365">
        <v>5.5</v>
      </c>
      <c r="BI365">
        <v>5</v>
      </c>
      <c r="BJ365">
        <v>0.5</v>
      </c>
      <c r="BK365">
        <v>-2.8498701248906966E-2</v>
      </c>
      <c r="BL365">
        <v>-2.0524764639462796E-2</v>
      </c>
      <c r="BM365">
        <v>0</v>
      </c>
      <c r="BN365">
        <v>0</v>
      </c>
      <c r="BO365" t="s">
        <v>193</v>
      </c>
      <c r="BP365">
        <f t="shared" si="12"/>
        <v>0</v>
      </c>
    </row>
    <row r="366" spans="53:68" x14ac:dyDescent="0.35">
      <c r="BA366" t="s">
        <v>153</v>
      </c>
      <c r="BB366" t="s">
        <v>66</v>
      </c>
      <c r="BC366">
        <v>1.9061739545604546</v>
      </c>
      <c r="BD366">
        <v>0.51801877665678719</v>
      </c>
      <c r="BE366">
        <v>1.9304319554859475</v>
      </c>
      <c r="BF366">
        <v>1.95</v>
      </c>
      <c r="BG366">
        <v>0.48952879581151842</v>
      </c>
      <c r="BK366">
        <v>2.848998084526877E-2</v>
      </c>
      <c r="BL366">
        <v>2.0518484204762568E-2</v>
      </c>
      <c r="BM366">
        <v>0.75041512974906432</v>
      </c>
      <c r="BN366">
        <v>7.6066688707769892E-3</v>
      </c>
      <c r="BO366" t="s">
        <v>192</v>
      </c>
      <c r="BP366">
        <f t="shared" si="12"/>
        <v>0</v>
      </c>
    </row>
    <row r="367" spans="53:68" x14ac:dyDescent="0.35">
      <c r="BA367" t="s">
        <v>213</v>
      </c>
      <c r="BB367" t="s">
        <v>40</v>
      </c>
      <c r="BC367">
        <v>1.6392969912465585</v>
      </c>
      <c r="BD367">
        <v>0.23973486323847182</v>
      </c>
      <c r="BE367">
        <v>4.1712748262453117</v>
      </c>
      <c r="BF367">
        <v>1.95</v>
      </c>
      <c r="BG367">
        <v>0.48952879581151842</v>
      </c>
      <c r="BH367">
        <v>5.5</v>
      </c>
      <c r="BI367">
        <v>5</v>
      </c>
      <c r="BJ367">
        <v>0.5</v>
      </c>
      <c r="BK367">
        <v>-0.24979393257304661</v>
      </c>
      <c r="BL367">
        <v>-0.17990159023910815</v>
      </c>
      <c r="BM367">
        <v>0</v>
      </c>
      <c r="BN367">
        <v>0</v>
      </c>
      <c r="BO367" t="s">
        <v>193</v>
      </c>
      <c r="BP367">
        <f t="shared" si="12"/>
        <v>0</v>
      </c>
    </row>
    <row r="368" spans="53:68" x14ac:dyDescent="0.35">
      <c r="BA368" t="s">
        <v>153</v>
      </c>
      <c r="BB368" t="s">
        <v>60</v>
      </c>
      <c r="BC368">
        <v>3.2214573505878139</v>
      </c>
      <c r="BD368">
        <v>0.759738914364673</v>
      </c>
      <c r="BE368">
        <v>1.3162416470877287</v>
      </c>
      <c r="BF368">
        <v>1.87</v>
      </c>
      <c r="BG368">
        <v>0.51047120418848169</v>
      </c>
      <c r="BK368">
        <v>0.24926771017619131</v>
      </c>
      <c r="BL368">
        <v>0.17952260486889296</v>
      </c>
      <c r="BM368">
        <v>36.771457239113055</v>
      </c>
      <c r="BN368">
        <v>15.470184855469848</v>
      </c>
      <c r="BO368" t="s">
        <v>192</v>
      </c>
      <c r="BP368">
        <f t="shared" si="12"/>
        <v>0</v>
      </c>
    </row>
    <row r="369" spans="53:68" x14ac:dyDescent="0.35">
      <c r="BA369" t="s">
        <v>213</v>
      </c>
      <c r="BB369" t="s">
        <v>41</v>
      </c>
      <c r="BC369">
        <v>3.1165925771994045</v>
      </c>
      <c r="BD369">
        <v>0.73408410229530596</v>
      </c>
      <c r="BE369">
        <v>1.3622417334379513</v>
      </c>
      <c r="BF369">
        <v>2.5499999999999998</v>
      </c>
      <c r="BG369">
        <v>0.3810679611650486</v>
      </c>
      <c r="BH369">
        <v>5.5</v>
      </c>
      <c r="BI369">
        <v>5</v>
      </c>
      <c r="BJ369">
        <v>0.5</v>
      </c>
      <c r="BK369">
        <v>0.35301614113025737</v>
      </c>
      <c r="BL369">
        <v>0.25424222484201131</v>
      </c>
      <c r="BM369">
        <v>42.774763214055859</v>
      </c>
      <c r="BN369">
        <v>37.295934605899539</v>
      </c>
      <c r="BO369" t="s">
        <v>192</v>
      </c>
      <c r="BP369">
        <f t="shared" si="12"/>
        <v>0</v>
      </c>
    </row>
    <row r="370" spans="53:68" x14ac:dyDescent="0.35">
      <c r="BA370" t="s">
        <v>153</v>
      </c>
      <c r="BB370" t="s">
        <v>54</v>
      </c>
      <c r="BC370">
        <v>1.7152232123939033</v>
      </c>
      <c r="BD370">
        <v>0.26551330811027829</v>
      </c>
      <c r="BE370">
        <v>3.7662895585808451</v>
      </c>
      <c r="BF370">
        <v>1.57</v>
      </c>
      <c r="BG370">
        <v>0.6189320388349514</v>
      </c>
      <c r="BK370">
        <v>-0.35341873072467311</v>
      </c>
      <c r="BL370">
        <v>-0.25453216986790955</v>
      </c>
      <c r="BM370">
        <v>0</v>
      </c>
      <c r="BN370">
        <v>0</v>
      </c>
      <c r="BO370" t="s">
        <v>193</v>
      </c>
      <c r="BP370">
        <f t="shared" si="12"/>
        <v>0</v>
      </c>
    </row>
    <row r="371" spans="53:68" x14ac:dyDescent="0.35">
      <c r="BA371" t="s">
        <v>213</v>
      </c>
      <c r="BB371" t="s">
        <v>56</v>
      </c>
      <c r="BC371">
        <v>2.7932851857858894</v>
      </c>
      <c r="BD371">
        <v>0.67860705275812139</v>
      </c>
      <c r="BE371">
        <v>1.4736068479330025</v>
      </c>
      <c r="BF371">
        <v>1.87</v>
      </c>
      <c r="BG371">
        <v>0.51047120418848169</v>
      </c>
      <c r="BH371">
        <v>5.5</v>
      </c>
      <c r="BI371">
        <v>5</v>
      </c>
      <c r="BJ371">
        <v>0.5</v>
      </c>
      <c r="BK371">
        <v>0.1681358485696397</v>
      </c>
      <c r="BL371">
        <v>0.1210914381398545</v>
      </c>
      <c r="BM371">
        <v>23.510977790089516</v>
      </c>
      <c r="BN371">
        <v>6.3243399061718222</v>
      </c>
      <c r="BP371">
        <f t="shared" si="12"/>
        <v>0</v>
      </c>
    </row>
    <row r="372" spans="53:68" x14ac:dyDescent="0.35">
      <c r="BA372" t="s">
        <v>153</v>
      </c>
      <c r="BB372" t="s">
        <v>67</v>
      </c>
      <c r="BC372">
        <v>1.7772471979761462</v>
      </c>
      <c r="BD372">
        <v>0.32122974774984137</v>
      </c>
      <c r="BE372">
        <v>3.1130367190611281</v>
      </c>
      <c r="BF372">
        <v>1.95</v>
      </c>
      <c r="BG372">
        <v>0.48952879581151842</v>
      </c>
      <c r="BK372">
        <v>-0.16829904806167706</v>
      </c>
      <c r="BL372">
        <v>-0.12120897441401982</v>
      </c>
      <c r="BM372">
        <v>0</v>
      </c>
      <c r="BN372">
        <v>0</v>
      </c>
      <c r="BO372" t="s">
        <v>193</v>
      </c>
      <c r="BP372">
        <f t="shared" si="12"/>
        <v>0</v>
      </c>
    </row>
    <row r="373" spans="53:68" x14ac:dyDescent="0.35">
      <c r="BA373" t="s">
        <v>213</v>
      </c>
      <c r="BB373" t="s">
        <v>42</v>
      </c>
      <c r="BC373">
        <v>2.6801557875915138</v>
      </c>
      <c r="BD373">
        <v>0.60053751410725054</v>
      </c>
      <c r="BE373">
        <v>1.6651749083262251</v>
      </c>
      <c r="BF373">
        <v>1.43</v>
      </c>
      <c r="BG373">
        <v>0.67351598173515981</v>
      </c>
      <c r="BH373">
        <v>5.5</v>
      </c>
      <c r="BI373">
        <v>5</v>
      </c>
      <c r="BJ373">
        <v>0.5</v>
      </c>
      <c r="BK373">
        <v>-7.2978467627909271E-2</v>
      </c>
      <c r="BL373">
        <v>-5.2559092385620253E-2</v>
      </c>
      <c r="BM373">
        <v>0</v>
      </c>
      <c r="BN373">
        <v>0</v>
      </c>
      <c r="BO373" t="s">
        <v>193</v>
      </c>
      <c r="BP373">
        <f t="shared" si="12"/>
        <v>0</v>
      </c>
    </row>
    <row r="374" spans="53:68" x14ac:dyDescent="0.35">
      <c r="BA374" t="s">
        <v>153</v>
      </c>
      <c r="BB374" t="s">
        <v>48</v>
      </c>
      <c r="BC374">
        <v>2.1074039246665377</v>
      </c>
      <c r="BD374">
        <v>0.3993363957718799</v>
      </c>
      <c r="BE374">
        <v>2.5041544186502049</v>
      </c>
      <c r="BF374">
        <v>2.95</v>
      </c>
      <c r="BG374">
        <v>0.32648401826484014</v>
      </c>
      <c r="BK374">
        <v>7.2852377507039767E-2</v>
      </c>
      <c r="BL374">
        <v>5.2468282280570037E-2</v>
      </c>
      <c r="BM374">
        <v>6.942792426645104</v>
      </c>
      <c r="BN374">
        <v>1.2361112008887369</v>
      </c>
      <c r="BO374" t="s">
        <v>192</v>
      </c>
      <c r="BP374">
        <f t="shared" si="12"/>
        <v>0</v>
      </c>
    </row>
    <row r="375" spans="53:68" x14ac:dyDescent="0.35">
      <c r="BA375" t="s">
        <v>213</v>
      </c>
      <c r="BB375" t="s">
        <v>39</v>
      </c>
      <c r="BC375">
        <v>1.6745185111890928</v>
      </c>
      <c r="BD375">
        <v>0.23242141496524443</v>
      </c>
      <c r="BE375">
        <v>4.3025295244396338</v>
      </c>
      <c r="BF375">
        <v>2.7</v>
      </c>
      <c r="BG375">
        <v>0.35714285714285715</v>
      </c>
      <c r="BH375">
        <v>5.5</v>
      </c>
      <c r="BI375">
        <v>5</v>
      </c>
      <c r="BJ375">
        <v>0.5</v>
      </c>
      <c r="BK375">
        <v>-0.12472144217761272</v>
      </c>
      <c r="BL375">
        <v>-8.9824382656316676E-2</v>
      </c>
      <c r="BM375">
        <v>0</v>
      </c>
      <c r="BN375">
        <v>0</v>
      </c>
      <c r="BO375" t="s">
        <v>193</v>
      </c>
      <c r="BP375">
        <f t="shared" si="12"/>
        <v>0</v>
      </c>
    </row>
    <row r="376" spans="53:68" x14ac:dyDescent="0.35">
      <c r="BA376" t="s">
        <v>153</v>
      </c>
      <c r="BB376" t="s">
        <v>52</v>
      </c>
      <c r="BC376">
        <v>3.331893039822976</v>
      </c>
      <c r="BD376">
        <v>0.76688787845865747</v>
      </c>
      <c r="BE376">
        <v>1.303971581882174</v>
      </c>
      <c r="BF376">
        <v>1.5</v>
      </c>
      <c r="BG376">
        <v>0.6428571428571429</v>
      </c>
      <c r="BK376">
        <v>0.12403073560151456</v>
      </c>
      <c r="BL376">
        <v>8.9326935780210781E-2</v>
      </c>
      <c r="BM376">
        <v>22.862637794123032</v>
      </c>
      <c r="BN376">
        <v>3.4369818967325658</v>
      </c>
      <c r="BO376" t="s">
        <v>192</v>
      </c>
      <c r="BP376">
        <f t="shared" si="12"/>
        <v>0</v>
      </c>
    </row>
    <row r="377" spans="53:68" x14ac:dyDescent="0.35">
      <c r="BA377" t="s">
        <v>213</v>
      </c>
      <c r="BB377" t="s">
        <v>63</v>
      </c>
      <c r="BC377">
        <v>2.788730201420706</v>
      </c>
      <c r="BD377">
        <v>0.62955983310660923</v>
      </c>
      <c r="BE377">
        <v>1.5884113747623105</v>
      </c>
      <c r="BF377">
        <v>1.67</v>
      </c>
      <c r="BG377">
        <v>0.57934508816120911</v>
      </c>
      <c r="BH377">
        <v>5.5</v>
      </c>
      <c r="BI377">
        <v>5</v>
      </c>
      <c r="BJ377">
        <v>0.5</v>
      </c>
      <c r="BK377">
        <v>5.0214744945400125E-2</v>
      </c>
      <c r="BL377">
        <v>3.6164659309677168E-2</v>
      </c>
      <c r="BM377">
        <v>5.8295798577125035</v>
      </c>
      <c r="BN377">
        <v>0.29943591053373098</v>
      </c>
      <c r="BP377">
        <f t="shared" si="12"/>
        <v>0</v>
      </c>
    </row>
    <row r="378" spans="53:68" x14ac:dyDescent="0.35">
      <c r="BA378" t="s">
        <v>153</v>
      </c>
      <c r="BB378" t="s">
        <v>47</v>
      </c>
      <c r="BC378">
        <v>2.0427452709890179</v>
      </c>
      <c r="BD378">
        <v>0.37027186306735493</v>
      </c>
      <c r="BE378">
        <v>2.7007183092875011</v>
      </c>
      <c r="BF378">
        <v>2.2999999999999998</v>
      </c>
      <c r="BG378">
        <v>0.420654911838791</v>
      </c>
      <c r="BK378">
        <v>-5.0383048771436068E-2</v>
      </c>
      <c r="BL378">
        <v>-3.6285871725188254E-2</v>
      </c>
      <c r="BM378">
        <v>0</v>
      </c>
      <c r="BN378">
        <v>0</v>
      </c>
      <c r="BO378" t="s">
        <v>193</v>
      </c>
      <c r="BP378">
        <f t="shared" si="12"/>
        <v>0</v>
      </c>
    </row>
    <row r="379" spans="53:68" x14ac:dyDescent="0.35">
      <c r="BA379" t="s">
        <v>213</v>
      </c>
      <c r="BB379" t="s">
        <v>38</v>
      </c>
      <c r="BC379">
        <v>2.0405575270073117</v>
      </c>
      <c r="BD379">
        <v>0.51903617743351171</v>
      </c>
      <c r="BE379">
        <v>1.9266479746069329</v>
      </c>
      <c r="BF379">
        <v>3.5</v>
      </c>
      <c r="BG379">
        <v>0.27536231884057966</v>
      </c>
      <c r="BH379">
        <v>5.5</v>
      </c>
      <c r="BI379">
        <v>5</v>
      </c>
      <c r="BJ379">
        <v>0.5</v>
      </c>
      <c r="BK379">
        <v>0.24367385859293206</v>
      </c>
      <c r="BL379">
        <v>0.17549391295862965</v>
      </c>
      <c r="BM379">
        <v>24.838705387181566</v>
      </c>
      <c r="BN379">
        <v>20.283948050778065</v>
      </c>
      <c r="BO379" t="s">
        <v>192</v>
      </c>
      <c r="BP379">
        <f t="shared" si="12"/>
        <v>0</v>
      </c>
    </row>
    <row r="380" spans="53:68" x14ac:dyDescent="0.35">
      <c r="BA380" t="s">
        <v>153</v>
      </c>
      <c r="BB380" t="s">
        <v>46</v>
      </c>
      <c r="BC380">
        <v>1.9419786907916992</v>
      </c>
      <c r="BD380">
        <v>0.48094750060036739</v>
      </c>
      <c r="BE380">
        <v>2.0792290192831833</v>
      </c>
      <c r="BF380">
        <v>1.33</v>
      </c>
      <c r="BG380">
        <v>0.72463768115942018</v>
      </c>
      <c r="BK380">
        <v>-0.24369018055905278</v>
      </c>
      <c r="BL380">
        <v>-0.1755056680386298</v>
      </c>
      <c r="BM380">
        <v>0</v>
      </c>
      <c r="BN380">
        <v>0</v>
      </c>
      <c r="BO380" t="s">
        <v>193</v>
      </c>
      <c r="BP380">
        <f t="shared" si="12"/>
        <v>0</v>
      </c>
    </row>
    <row r="381" spans="53:68" x14ac:dyDescent="0.35">
      <c r="BA381" t="s">
        <v>213</v>
      </c>
      <c r="BB381" t="s">
        <v>65</v>
      </c>
      <c r="BC381">
        <v>2.6770750896145779</v>
      </c>
      <c r="BD381">
        <v>0.46395330316054412</v>
      </c>
      <c r="BE381">
        <v>2.1553893316154813</v>
      </c>
      <c r="BF381">
        <v>1.65</v>
      </c>
      <c r="BG381">
        <v>0.58750000000000002</v>
      </c>
      <c r="BH381">
        <v>5.5</v>
      </c>
      <c r="BI381">
        <v>5</v>
      </c>
      <c r="BJ381">
        <v>0.5</v>
      </c>
      <c r="BK381">
        <v>-0.12354669683945591</v>
      </c>
      <c r="BL381">
        <v>-8.8978331063776131E-2</v>
      </c>
      <c r="BM381">
        <v>0</v>
      </c>
      <c r="BN381">
        <v>0</v>
      </c>
      <c r="BO381" t="s">
        <v>193</v>
      </c>
      <c r="BP381">
        <f t="shared" si="12"/>
        <v>0</v>
      </c>
    </row>
    <row r="382" spans="53:68" x14ac:dyDescent="0.35">
      <c r="BA382" t="s">
        <v>153</v>
      </c>
      <c r="BB382" t="s">
        <v>58</v>
      </c>
      <c r="BC382">
        <v>2.8950308621558416</v>
      </c>
      <c r="BD382">
        <v>0.53571808663578047</v>
      </c>
      <c r="BE382">
        <v>1.8666534226608473</v>
      </c>
      <c r="BF382">
        <v>2.35</v>
      </c>
      <c r="BG382">
        <v>0.41249999999999998</v>
      </c>
      <c r="BK382">
        <v>0.12321808663578049</v>
      </c>
      <c r="BL382">
        <v>8.8741665995089106E-2</v>
      </c>
      <c r="BM382">
        <v>14.585006261068109</v>
      </c>
      <c r="BN382">
        <v>3.7766051111450647</v>
      </c>
      <c r="BO382" t="s">
        <v>193</v>
      </c>
      <c r="BP382">
        <f t="shared" si="12"/>
        <v>0</v>
      </c>
    </row>
    <row r="383" spans="53:68" x14ac:dyDescent="0.35">
      <c r="BA383" t="s">
        <v>213</v>
      </c>
      <c r="BB383" t="s">
        <v>59</v>
      </c>
      <c r="BC383">
        <v>3.4918074598246118</v>
      </c>
      <c r="BD383">
        <v>0.63953359851310609</v>
      </c>
      <c r="BE383">
        <v>1.5636395059227006</v>
      </c>
      <c r="BF383">
        <v>1.83</v>
      </c>
      <c r="BG383">
        <v>0.5221932114882506</v>
      </c>
      <c r="BH383">
        <v>5.5</v>
      </c>
      <c r="BI383">
        <v>5</v>
      </c>
      <c r="BJ383">
        <v>0.5</v>
      </c>
      <c r="BK383">
        <v>0.1173403870248555</v>
      </c>
      <c r="BL383">
        <v>8.4508546735300921E-2</v>
      </c>
      <c r="BM383">
        <v>15.606320322265054</v>
      </c>
      <c r="BN383">
        <v>2.6584818150358345</v>
      </c>
      <c r="BO383" t="s">
        <v>193</v>
      </c>
      <c r="BP383">
        <f t="shared" si="12"/>
        <v>0</v>
      </c>
    </row>
    <row r="384" spans="53:68" x14ac:dyDescent="0.35">
      <c r="BA384" t="s">
        <v>153</v>
      </c>
      <c r="BB384" t="s">
        <v>57</v>
      </c>
      <c r="BC384">
        <v>2.5875197494261828</v>
      </c>
      <c r="BD384">
        <v>0.35938258261070499</v>
      </c>
      <c r="BE384">
        <v>2.7825499854099296</v>
      </c>
      <c r="BF384">
        <v>2</v>
      </c>
      <c r="BG384">
        <v>0.47780678851174935</v>
      </c>
      <c r="BK384">
        <v>-0.11842420590104435</v>
      </c>
      <c r="BL384">
        <v>-8.5289113089932145E-2</v>
      </c>
      <c r="BM384">
        <v>0</v>
      </c>
      <c r="BN384">
        <v>0</v>
      </c>
      <c r="BO384" t="s">
        <v>193</v>
      </c>
      <c r="BP384">
        <f t="shared" si="12"/>
        <v>0</v>
      </c>
    </row>
    <row r="385" spans="53:70" x14ac:dyDescent="0.35">
      <c r="BA385" t="s">
        <v>213</v>
      </c>
      <c r="BB385" t="s">
        <v>53</v>
      </c>
      <c r="BC385">
        <v>1.9233994355828579</v>
      </c>
      <c r="BD385">
        <v>0.49037146594066849</v>
      </c>
      <c r="BE385">
        <v>2.039270368396584</v>
      </c>
      <c r="BF385">
        <v>1.87</v>
      </c>
      <c r="BG385">
        <v>0.51047120418848169</v>
      </c>
      <c r="BH385">
        <v>5.5</v>
      </c>
      <c r="BI385">
        <v>5</v>
      </c>
      <c r="BJ385">
        <v>0.5</v>
      </c>
      <c r="BK385">
        <v>-2.0099738247813193E-2</v>
      </c>
      <c r="BL385">
        <v>-1.447583148607506E-2</v>
      </c>
      <c r="BM385">
        <v>0</v>
      </c>
      <c r="BN385">
        <v>0</v>
      </c>
      <c r="BO385" t="s">
        <v>193</v>
      </c>
      <c r="BP385">
        <f t="shared" si="12"/>
        <v>0</v>
      </c>
    </row>
    <row r="386" spans="53:70" x14ac:dyDescent="0.35">
      <c r="BA386" t="s">
        <v>153</v>
      </c>
      <c r="BB386" t="s">
        <v>66</v>
      </c>
      <c r="BC386">
        <v>1.9726900141966948</v>
      </c>
      <c r="BD386">
        <v>0.50961541924433806</v>
      </c>
      <c r="BE386">
        <v>1.9622640176052919</v>
      </c>
      <c r="BF386">
        <v>1.95</v>
      </c>
      <c r="BG386">
        <v>0.48952879581151842</v>
      </c>
      <c r="BK386">
        <v>2.0086623432819639E-2</v>
      </c>
      <c r="BL386">
        <v>1.4466386196316704E-2</v>
      </c>
      <c r="BM386">
        <v>0</v>
      </c>
      <c r="BN386">
        <v>0</v>
      </c>
      <c r="BO386" t="s">
        <v>193</v>
      </c>
      <c r="BP386">
        <f t="shared" si="12"/>
        <v>0</v>
      </c>
    </row>
    <row r="387" spans="53:70" x14ac:dyDescent="0.35">
      <c r="BA387" t="s">
        <v>213</v>
      </c>
      <c r="BB387" t="s">
        <v>49</v>
      </c>
      <c r="BC387">
        <v>3.0259364698313367</v>
      </c>
      <c r="BD387">
        <v>0.57350568261450996</v>
      </c>
      <c r="BE387">
        <v>1.7436618856873025</v>
      </c>
      <c r="BF387">
        <v>2</v>
      </c>
      <c r="BG387">
        <v>0.47780678851174935</v>
      </c>
      <c r="BH387">
        <v>5.5</v>
      </c>
      <c r="BI387">
        <v>5</v>
      </c>
      <c r="BJ387">
        <v>0.5</v>
      </c>
      <c r="BK387">
        <v>9.5698894102760612E-2</v>
      </c>
      <c r="BL387">
        <v>6.8922343532808183E-2</v>
      </c>
      <c r="BM387">
        <v>11.178829759866648</v>
      </c>
      <c r="BN387">
        <v>1.6434150246607935</v>
      </c>
      <c r="BO387" t="s">
        <v>193</v>
      </c>
      <c r="BP387">
        <f t="shared" si="12"/>
        <v>0</v>
      </c>
    </row>
    <row r="388" spans="53:70" x14ac:dyDescent="0.35">
      <c r="BA388" t="s">
        <v>153</v>
      </c>
      <c r="BB388" t="s">
        <v>44</v>
      </c>
      <c r="BC388">
        <v>2.5753652283013855</v>
      </c>
      <c r="BD388">
        <v>0.42610050589936771</v>
      </c>
      <c r="BE388">
        <v>2.3468641462635822</v>
      </c>
      <c r="BF388">
        <v>1.83</v>
      </c>
      <c r="BG388">
        <v>0.5221932114882506</v>
      </c>
      <c r="BK388">
        <v>-9.6092705588882887E-2</v>
      </c>
      <c r="BL388">
        <v>-6.920596656511345E-2</v>
      </c>
      <c r="BM388">
        <v>0</v>
      </c>
      <c r="BN388">
        <v>0</v>
      </c>
      <c r="BO388" t="s">
        <v>193</v>
      </c>
      <c r="BP388">
        <f t="shared" si="12"/>
        <v>0</v>
      </c>
    </row>
    <row r="389" spans="53:70" x14ac:dyDescent="0.35">
      <c r="BA389" t="s">
        <v>213</v>
      </c>
      <c r="BB389" t="s">
        <v>62</v>
      </c>
      <c r="BC389">
        <v>2.9499624188686471</v>
      </c>
      <c r="BD389">
        <v>0.67509296254831364</v>
      </c>
      <c r="BE389">
        <v>1.4812774765496597</v>
      </c>
      <c r="BF389">
        <v>1.69</v>
      </c>
      <c r="BG389">
        <v>0.57106598984771573</v>
      </c>
      <c r="BH389">
        <v>5.5</v>
      </c>
      <c r="BI389">
        <v>5</v>
      </c>
      <c r="BJ389">
        <v>0.5</v>
      </c>
      <c r="BK389">
        <v>0.10402697270059791</v>
      </c>
      <c r="BL389">
        <v>7.4920225738970614E-2</v>
      </c>
      <c r="BM389">
        <v>15.528490419821912</v>
      </c>
      <c r="BN389">
        <v>2.1880746565790377</v>
      </c>
      <c r="BO389" t="s">
        <v>193</v>
      </c>
      <c r="BP389">
        <f t="shared" si="12"/>
        <v>0</v>
      </c>
    </row>
    <row r="390" spans="53:70" x14ac:dyDescent="0.35">
      <c r="BA390" t="s">
        <v>153</v>
      </c>
      <c r="BB390" t="s">
        <v>51</v>
      </c>
      <c r="BC390">
        <v>1.9237195739492254</v>
      </c>
      <c r="BD390">
        <v>0.32464714231119562</v>
      </c>
      <c r="BE390">
        <v>3.0802673723874467</v>
      </c>
      <c r="BF390">
        <v>2.25</v>
      </c>
      <c r="BG390">
        <v>0.42893401015228422</v>
      </c>
      <c r="BK390">
        <v>-0.10428686784108859</v>
      </c>
      <c r="BL390">
        <v>-7.5107402219152006E-2</v>
      </c>
      <c r="BM390">
        <v>0</v>
      </c>
      <c r="BN390">
        <v>0</v>
      </c>
      <c r="BO390" t="s">
        <v>193</v>
      </c>
      <c r="BP390">
        <f t="shared" si="12"/>
        <v>0</v>
      </c>
    </row>
    <row r="391" spans="53:70" x14ac:dyDescent="0.35">
      <c r="BA391" t="s">
        <v>213</v>
      </c>
      <c r="BB391" t="s">
        <v>61</v>
      </c>
      <c r="BC391">
        <v>2.2168273741864626</v>
      </c>
      <c r="BD391">
        <v>0.44963814580893191</v>
      </c>
      <c r="BE391">
        <v>2.2240105945658302</v>
      </c>
      <c r="BF391">
        <v>2.9</v>
      </c>
      <c r="BG391">
        <v>0.33025404157043881</v>
      </c>
      <c r="BH391">
        <v>5.5</v>
      </c>
      <c r="BI391">
        <v>5</v>
      </c>
      <c r="BJ391">
        <v>0.5</v>
      </c>
      <c r="BK391">
        <v>0.11938410423849311</v>
      </c>
      <c r="BL391">
        <v>8.5980431872562726E-2</v>
      </c>
      <c r="BM391">
        <v>12.164516965304143</v>
      </c>
      <c r="BN391">
        <v>3.6974125082237421</v>
      </c>
      <c r="BO391" t="s">
        <v>193</v>
      </c>
      <c r="BP391">
        <f t="shared" si="12"/>
        <v>0</v>
      </c>
    </row>
    <row r="392" spans="53:70" x14ac:dyDescent="0.35">
      <c r="BA392" t="s">
        <v>153</v>
      </c>
      <c r="BB392" t="s">
        <v>68</v>
      </c>
      <c r="BC392">
        <v>2.4993192065671881</v>
      </c>
      <c r="BD392">
        <v>0.55027918003622667</v>
      </c>
      <c r="BE392">
        <v>1.8172593772022534</v>
      </c>
      <c r="BF392">
        <v>1.43</v>
      </c>
      <c r="BG392">
        <v>0.66974595842956119</v>
      </c>
      <c r="BK392">
        <v>-0.11946677839333453</v>
      </c>
      <c r="BL392">
        <v>-8.6039973798879524E-2</v>
      </c>
      <c r="BM392">
        <v>0</v>
      </c>
      <c r="BN392">
        <v>0</v>
      </c>
      <c r="BO392" t="s">
        <v>193</v>
      </c>
      <c r="BP392">
        <f t="shared" si="12"/>
        <v>0</v>
      </c>
    </row>
    <row r="393" spans="53:70" x14ac:dyDescent="0.35">
      <c r="BA393" t="s">
        <v>213</v>
      </c>
      <c r="BB393" t="s">
        <v>40</v>
      </c>
      <c r="BC393">
        <v>2.531678997082762</v>
      </c>
      <c r="BD393">
        <v>0.90235466562130262</v>
      </c>
      <c r="BE393">
        <v>1.1082117022262694</v>
      </c>
      <c r="BF393">
        <v>1.37</v>
      </c>
      <c r="BG393">
        <v>0.70021881838074396</v>
      </c>
      <c r="BH393">
        <v>5.5</v>
      </c>
      <c r="BI393">
        <v>5</v>
      </c>
      <c r="BJ393">
        <v>0.5</v>
      </c>
      <c r="BK393">
        <v>0.20213584724055866</v>
      </c>
      <c r="BL393">
        <v>0.14557823718265034</v>
      </c>
      <c r="BM393">
        <v>48.547984548993327</v>
      </c>
      <c r="BN393">
        <v>11.468290950090884</v>
      </c>
      <c r="BO393" t="s">
        <v>192</v>
      </c>
      <c r="BP393" t="str">
        <f>IF(AND(BA393="A",BF393&lt;2,BO393="BET"),"BET",)</f>
        <v>BET</v>
      </c>
      <c r="BQ393">
        <v>1.34</v>
      </c>
      <c r="BR393">
        <v>48.386083445491259</v>
      </c>
    </row>
    <row r="394" spans="53:70" x14ac:dyDescent="0.35">
      <c r="BA394" t="s">
        <v>153</v>
      </c>
      <c r="BB394" t="s">
        <v>41</v>
      </c>
      <c r="BC394">
        <v>0.37312194220321959</v>
      </c>
      <c r="BD394">
        <v>9.7576540186237654E-2</v>
      </c>
      <c r="BE394">
        <v>10.248365007525052</v>
      </c>
      <c r="BF394">
        <v>3.2</v>
      </c>
      <c r="BG394">
        <v>0.29978118161925604</v>
      </c>
      <c r="BK394">
        <v>-0.20220464143301839</v>
      </c>
      <c r="BL394">
        <v>-0.14562778276005983</v>
      </c>
      <c r="BM394">
        <v>0</v>
      </c>
      <c r="BN394">
        <v>0</v>
      </c>
      <c r="BO394" t="s">
        <v>193</v>
      </c>
      <c r="BP394">
        <f>IF(AND(BA394="A",BF394&lt;2,BO394="BET"),"BET",)</f>
        <v>0</v>
      </c>
    </row>
    <row r="395" spans="53:70" x14ac:dyDescent="0.35">
      <c r="BA395" t="s">
        <v>213</v>
      </c>
      <c r="BB395" t="s">
        <v>60</v>
      </c>
      <c r="BC395">
        <v>3.7323304950487448</v>
      </c>
      <c r="BD395">
        <v>0.82154463645223108</v>
      </c>
      <c r="BE395">
        <v>1.2172193154572986</v>
      </c>
      <c r="BF395">
        <v>1.63</v>
      </c>
      <c r="BG395">
        <v>0.59553349875930517</v>
      </c>
      <c r="BH395">
        <v>5.5</v>
      </c>
      <c r="BI395">
        <v>5</v>
      </c>
      <c r="BJ395">
        <v>0.5</v>
      </c>
      <c r="BK395">
        <v>0.22601113769292591</v>
      </c>
      <c r="BL395">
        <v>0.16277322136644523</v>
      </c>
      <c r="BM395">
        <v>40.93128827157755</v>
      </c>
      <c r="BN395">
        <v>13.880526686851727</v>
      </c>
      <c r="BO395" t="s">
        <v>192</v>
      </c>
      <c r="BP395" t="str">
        <f>IF(AND(BA395="A",BF395&lt;2,BO395="BET"),"BET",)</f>
        <v>BET</v>
      </c>
      <c r="BQ395">
        <v>1.1299999999999999</v>
      </c>
      <c r="BR395">
        <v>40.80318977119785</v>
      </c>
    </row>
    <row r="396" spans="53:70" x14ac:dyDescent="0.35">
      <c r="BA396" t="s">
        <v>153</v>
      </c>
      <c r="BB396" t="s">
        <v>54</v>
      </c>
      <c r="BC396">
        <v>1.5831530378749592</v>
      </c>
      <c r="BD396">
        <v>0.17677338239527557</v>
      </c>
      <c r="BE396">
        <v>5.6569602643227235</v>
      </c>
      <c r="BF396">
        <v>2.4</v>
      </c>
      <c r="BG396">
        <v>0.40446650124069478</v>
      </c>
      <c r="BK396">
        <v>-0.22769311884541921</v>
      </c>
      <c r="BL396">
        <v>-0.16398458419247089</v>
      </c>
      <c r="BM396">
        <v>0</v>
      </c>
      <c r="BN396">
        <v>0</v>
      </c>
      <c r="BO396" t="s">
        <v>193</v>
      </c>
      <c r="BP396">
        <f>IF(AND(BA396="A",BF396&lt;2,BO396="BET"),"BET",)</f>
        <v>0</v>
      </c>
    </row>
    <row r="397" spans="53:70" x14ac:dyDescent="0.35">
      <c r="BA397" t="s">
        <v>213</v>
      </c>
      <c r="BB397" t="s">
        <v>62</v>
      </c>
      <c r="BC397">
        <v>4.1065472708428352</v>
      </c>
      <c r="BD397">
        <v>0.77833518504352284</v>
      </c>
      <c r="BE397">
        <v>1.2847935172609242</v>
      </c>
      <c r="BF397">
        <v>1.65</v>
      </c>
      <c r="BG397">
        <v>0.58750000000000002</v>
      </c>
      <c r="BH397">
        <v>5.5</v>
      </c>
      <c r="BI397">
        <v>5</v>
      </c>
      <c r="BJ397">
        <v>0.5</v>
      </c>
      <c r="BK397">
        <v>0.19083518504352281</v>
      </c>
      <c r="BL397">
        <v>0.13743950026834512</v>
      </c>
      <c r="BM397">
        <v>31.79768739344977</v>
      </c>
      <c r="BN397">
        <v>9.0385897937559818</v>
      </c>
      <c r="BO397" t="s">
        <v>192</v>
      </c>
      <c r="BP397" t="str">
        <f>IF(AND(BA397="A",BF397&lt;2,BO397="BET"),"BET",)</f>
        <v>BET</v>
      </c>
      <c r="BQ397">
        <v>0.88</v>
      </c>
      <c r="BR397">
        <v>31.775935397039035</v>
      </c>
    </row>
    <row r="398" spans="53:70" x14ac:dyDescent="0.35">
      <c r="BA398" t="s">
        <v>153</v>
      </c>
      <c r="BB398" t="s">
        <v>61</v>
      </c>
      <c r="BC398">
        <v>2.1434606931741302</v>
      </c>
      <c r="BD398">
        <v>0.21819874551428875</v>
      </c>
      <c r="BE398">
        <v>4.5829777693864653</v>
      </c>
      <c r="BF398">
        <v>2.35</v>
      </c>
      <c r="BG398">
        <v>0.41249999999999998</v>
      </c>
      <c r="BK398">
        <v>-0.19430125448571123</v>
      </c>
      <c r="BL398">
        <v>-0.13993576348060921</v>
      </c>
      <c r="BM398">
        <v>0</v>
      </c>
      <c r="BN398">
        <v>0</v>
      </c>
      <c r="BO398" t="s">
        <v>193</v>
      </c>
      <c r="BP398">
        <f t="shared" ref="BP398:BP406" si="13">IF(AND(BA398="A",BF398&lt;2,BO398="BET"),"BET",)</f>
        <v>0</v>
      </c>
    </row>
    <row r="399" spans="53:70" x14ac:dyDescent="0.35">
      <c r="BA399" t="s">
        <v>213</v>
      </c>
      <c r="BB399" t="s">
        <v>68</v>
      </c>
      <c r="BC399">
        <v>2.747095841709402</v>
      </c>
      <c r="BD399">
        <v>0.73390581662867771</v>
      </c>
      <c r="BE399">
        <v>1.3625726589736971</v>
      </c>
      <c r="BF399">
        <v>1.65</v>
      </c>
      <c r="BG399">
        <v>0.58750000000000002</v>
      </c>
      <c r="BH399">
        <v>5.5</v>
      </c>
      <c r="BI399">
        <v>5</v>
      </c>
      <c r="BJ399">
        <v>0.5</v>
      </c>
      <c r="BK399">
        <v>0.14640581662867769</v>
      </c>
      <c r="BL399">
        <v>0.10544146913597366</v>
      </c>
      <c r="BM399">
        <v>23.597109128889045</v>
      </c>
      <c r="BN399">
        <v>4.9776826858779675</v>
      </c>
      <c r="BO399" t="s">
        <v>193</v>
      </c>
      <c r="BP399">
        <f t="shared" si="13"/>
        <v>0</v>
      </c>
    </row>
    <row r="400" spans="53:70" x14ac:dyDescent="0.35">
      <c r="BA400" t="s">
        <v>153</v>
      </c>
      <c r="BB400" t="s">
        <v>51</v>
      </c>
      <c r="BC400">
        <v>1.4410520894866636</v>
      </c>
      <c r="BD400">
        <v>0.26595461442599211</v>
      </c>
      <c r="BE400">
        <v>3.7600400435175478</v>
      </c>
      <c r="BF400">
        <v>2.35</v>
      </c>
      <c r="BG400">
        <v>0.41249999999999998</v>
      </c>
      <c r="BK400">
        <v>-0.14654538557400787</v>
      </c>
      <c r="BL400">
        <v>-0.10554198669040046</v>
      </c>
      <c r="BM400">
        <v>0</v>
      </c>
      <c r="BN400">
        <v>0</v>
      </c>
      <c r="BO400" t="s">
        <v>193</v>
      </c>
      <c r="BP400">
        <f t="shared" si="13"/>
        <v>0</v>
      </c>
    </row>
    <row r="401" spans="53:68" x14ac:dyDescent="0.35">
      <c r="BA401" t="s">
        <v>213</v>
      </c>
      <c r="BB401" t="s">
        <v>44</v>
      </c>
      <c r="BC401">
        <v>2.2558269544046299</v>
      </c>
      <c r="BD401">
        <v>0.44653931200574831</v>
      </c>
      <c r="BE401">
        <v>2.239444485880175</v>
      </c>
      <c r="BF401">
        <v>2.35</v>
      </c>
      <c r="BG401">
        <v>0.41249999999999998</v>
      </c>
      <c r="BH401">
        <v>5.5</v>
      </c>
      <c r="BI401">
        <v>5</v>
      </c>
      <c r="BJ401">
        <v>0.5</v>
      </c>
      <c r="BK401">
        <v>3.4039312005748334E-2</v>
      </c>
      <c r="BL401">
        <v>2.4515112506539948E-2</v>
      </c>
      <c r="BM401">
        <v>2.6589495030550863</v>
      </c>
      <c r="BN401">
        <v>0.13126537906268854</v>
      </c>
      <c r="BO401" t="s">
        <v>193</v>
      </c>
      <c r="BP401">
        <f t="shared" si="13"/>
        <v>0</v>
      </c>
    </row>
    <row r="402" spans="53:68" x14ac:dyDescent="0.35">
      <c r="BA402" t="s">
        <v>153</v>
      </c>
      <c r="BB402" t="s">
        <v>64</v>
      </c>
      <c r="BC402">
        <v>2.5587031870367603</v>
      </c>
      <c r="BD402">
        <v>0.55336043847935745</v>
      </c>
      <c r="BE402">
        <v>1.8071403925224843</v>
      </c>
      <c r="BF402">
        <v>1.65</v>
      </c>
      <c r="BG402">
        <v>0.58750000000000002</v>
      </c>
      <c r="BK402">
        <v>-3.413956152064257E-2</v>
      </c>
      <c r="BL402">
        <v>-2.4587312207166777E-2</v>
      </c>
      <c r="BM402">
        <v>0</v>
      </c>
      <c r="BN402">
        <v>0</v>
      </c>
      <c r="BO402" t="s">
        <v>193</v>
      </c>
      <c r="BP402">
        <f t="shared" si="13"/>
        <v>0</v>
      </c>
    </row>
    <row r="403" spans="53:68" x14ac:dyDescent="0.35">
      <c r="BA403" t="s">
        <v>213</v>
      </c>
      <c r="BB403" t="s">
        <v>65</v>
      </c>
      <c r="BC403">
        <v>2.5254648464904426</v>
      </c>
      <c r="BD403">
        <v>0.41443444733042617</v>
      </c>
      <c r="BE403">
        <v>2.4129268366601435</v>
      </c>
      <c r="BF403">
        <v>2.6</v>
      </c>
      <c r="BG403">
        <v>0.375</v>
      </c>
      <c r="BH403">
        <v>5.5</v>
      </c>
      <c r="BI403">
        <v>5</v>
      </c>
      <c r="BJ403">
        <v>0.5</v>
      </c>
      <c r="BK403">
        <v>3.943444733042617E-2</v>
      </c>
      <c r="BL403">
        <v>2.8400688967372925E-2</v>
      </c>
      <c r="BM403">
        <v>3.5233120111576808</v>
      </c>
      <c r="BN403">
        <v>0.27316084074596203</v>
      </c>
      <c r="BO403" t="s">
        <v>193</v>
      </c>
      <c r="BP403">
        <f t="shared" si="13"/>
        <v>0</v>
      </c>
    </row>
    <row r="404" spans="53:68" x14ac:dyDescent="0.35">
      <c r="BA404" t="s">
        <v>153</v>
      </c>
      <c r="BB404" t="s">
        <v>53</v>
      </c>
      <c r="BC404">
        <v>3.0469361446706151</v>
      </c>
      <c r="BD404">
        <v>0.58516573447794096</v>
      </c>
      <c r="BE404">
        <v>1.7089175614360876</v>
      </c>
      <c r="BF404">
        <v>1.56</v>
      </c>
      <c r="BG404">
        <v>0.625</v>
      </c>
      <c r="BK404">
        <v>-3.9834265522059042E-2</v>
      </c>
      <c r="BL404">
        <v>-2.8688638028986919E-2</v>
      </c>
      <c r="BM404">
        <v>0</v>
      </c>
      <c r="BN404">
        <v>0</v>
      </c>
      <c r="BO404" t="s">
        <v>193</v>
      </c>
      <c r="BP404">
        <f t="shared" si="13"/>
        <v>0</v>
      </c>
    </row>
    <row r="405" spans="53:68" x14ac:dyDescent="0.35">
      <c r="BA405" t="s">
        <v>213</v>
      </c>
      <c r="BB405" t="s">
        <v>57</v>
      </c>
      <c r="BC405">
        <v>3.5345263264635594</v>
      </c>
      <c r="BD405">
        <v>0.74881474048630159</v>
      </c>
      <c r="BE405">
        <v>1.3354437966199377</v>
      </c>
      <c r="BF405">
        <v>2.2000000000000002</v>
      </c>
      <c r="BG405">
        <v>0.4373401534526854</v>
      </c>
      <c r="BH405">
        <v>5.5</v>
      </c>
      <c r="BI405">
        <v>5</v>
      </c>
      <c r="BJ405">
        <v>0.5</v>
      </c>
      <c r="BK405">
        <v>0.31147458703361619</v>
      </c>
      <c r="BL405">
        <v>0.22432399758161037</v>
      </c>
      <c r="BM405">
        <v>39.227453911748896</v>
      </c>
      <c r="BN405">
        <v>25.395556674153244</v>
      </c>
      <c r="BO405" t="s">
        <v>192</v>
      </c>
      <c r="BP405">
        <f t="shared" si="13"/>
        <v>0</v>
      </c>
    </row>
    <row r="406" spans="53:68" x14ac:dyDescent="0.35">
      <c r="BA406" t="s">
        <v>153</v>
      </c>
      <c r="BB406" t="s">
        <v>67</v>
      </c>
      <c r="BC406">
        <v>1.9356044973979514</v>
      </c>
      <c r="BD406">
        <v>0.25007788845071116</v>
      </c>
      <c r="BE406">
        <v>3.9987541729307825</v>
      </c>
      <c r="BF406">
        <v>1.71</v>
      </c>
      <c r="BG406">
        <v>0.56265984654731449</v>
      </c>
      <c r="BK406">
        <v>-0.31258195809660333</v>
      </c>
      <c r="BL406">
        <v>-0.22512152622117371</v>
      </c>
      <c r="BM406">
        <v>0</v>
      </c>
      <c r="BN406">
        <v>0</v>
      </c>
      <c r="BO406" t="s">
        <v>193</v>
      </c>
      <c r="BP406">
        <f t="shared" si="13"/>
        <v>0</v>
      </c>
    </row>
    <row r="407" spans="53:68" x14ac:dyDescent="0.35">
      <c r="BA407" t="s">
        <v>213</v>
      </c>
      <c r="BB407" t="s">
        <v>60</v>
      </c>
      <c r="BC407">
        <v>3.041101312124626</v>
      </c>
      <c r="BD407">
        <v>0.75376930531834896</v>
      </c>
      <c r="BE407">
        <v>1.3266658551155215</v>
      </c>
      <c r="BF407">
        <v>1.61</v>
      </c>
      <c r="BG407">
        <v>0.60344827586206906</v>
      </c>
      <c r="BH407">
        <v>5.5</v>
      </c>
      <c r="BI407">
        <v>5</v>
      </c>
      <c r="BJ407">
        <v>0.5</v>
      </c>
      <c r="BK407">
        <v>0.1503210294562799</v>
      </c>
      <c r="BL407">
        <v>0.10826120541441278</v>
      </c>
      <c r="BM407">
        <v>26.38069205014602</v>
      </c>
      <c r="BN407">
        <v>5.6340869817879131</v>
      </c>
      <c r="BO407" t="s">
        <v>193</v>
      </c>
      <c r="BP407">
        <f>IF(AND(BA407="A",BF407&lt;2,BO407="BET"),"BET",)</f>
        <v>0</v>
      </c>
    </row>
    <row r="408" spans="53:68" x14ac:dyDescent="0.35">
      <c r="BA408" t="s">
        <v>153</v>
      </c>
      <c r="BB408" t="s">
        <v>54</v>
      </c>
      <c r="BC408">
        <v>1.5445522207767877</v>
      </c>
      <c r="BD408">
        <v>0.24590269063790654</v>
      </c>
      <c r="BE408">
        <v>4.0666492806803287</v>
      </c>
      <c r="BF408">
        <v>2.4500000000000002</v>
      </c>
      <c r="BG408">
        <v>0.39655172413793105</v>
      </c>
      <c r="BK408">
        <v>-0.15064903350002451</v>
      </c>
      <c r="BL408">
        <v>-0.10849743392671765</v>
      </c>
      <c r="BM408">
        <v>0</v>
      </c>
      <c r="BN408">
        <v>0</v>
      </c>
      <c r="BO408" t="s">
        <v>193</v>
      </c>
      <c r="BP408">
        <f t="shared" ref="BP408:BP414" si="14">IF(AND(BA408="A",BF408&lt;2,BO408="BET"),"BET",)</f>
        <v>0</v>
      </c>
    </row>
    <row r="409" spans="53:68" x14ac:dyDescent="0.35">
      <c r="BA409" t="s">
        <v>213</v>
      </c>
      <c r="BB409" t="s">
        <v>47</v>
      </c>
      <c r="BC409">
        <v>2.2663092906481195</v>
      </c>
      <c r="BD409">
        <v>0.50188934346127989</v>
      </c>
      <c r="BE409">
        <v>1.9924710756030402</v>
      </c>
      <c r="BF409">
        <v>1.53</v>
      </c>
      <c r="BG409">
        <v>0.63397129186602874</v>
      </c>
      <c r="BH409">
        <v>5.5</v>
      </c>
      <c r="BI409">
        <v>5</v>
      </c>
      <c r="BJ409">
        <v>0.5</v>
      </c>
      <c r="BK409">
        <v>-0.13208194840474885</v>
      </c>
      <c r="BL409">
        <v>-9.5125419241100115E-2</v>
      </c>
      <c r="BM409">
        <v>0</v>
      </c>
      <c r="BN409">
        <v>0</v>
      </c>
      <c r="BO409" t="s">
        <v>193</v>
      </c>
      <c r="BP409">
        <f t="shared" si="14"/>
        <v>0</v>
      </c>
    </row>
    <row r="410" spans="53:68" x14ac:dyDescent="0.35">
      <c r="BA410" t="s">
        <v>153</v>
      </c>
      <c r="BB410" t="s">
        <v>48</v>
      </c>
      <c r="BC410">
        <v>2.2557955094342557</v>
      </c>
      <c r="BD410">
        <v>0.49806002802108307</v>
      </c>
      <c r="BE410">
        <v>2.0077901131179909</v>
      </c>
      <c r="BF410">
        <v>2.65</v>
      </c>
      <c r="BG410">
        <v>0.36602870813397131</v>
      </c>
      <c r="BK410">
        <v>0.13203131988711175</v>
      </c>
      <c r="BL410">
        <v>9.5088956582697878E-2</v>
      </c>
      <c r="BM410">
        <v>14.606742990367321</v>
      </c>
      <c r="BN410">
        <v>4.6720992907923122</v>
      </c>
      <c r="BO410" t="s">
        <v>193</v>
      </c>
      <c r="BP410">
        <f t="shared" si="14"/>
        <v>0</v>
      </c>
    </row>
    <row r="411" spans="53:68" x14ac:dyDescent="0.35">
      <c r="BA411" t="s">
        <v>213</v>
      </c>
      <c r="BB411" t="s">
        <v>39</v>
      </c>
      <c r="BC411">
        <v>2.953917882448224</v>
      </c>
      <c r="BD411">
        <v>0.70430612715562901</v>
      </c>
      <c r="BE411">
        <v>1.4198371438830777</v>
      </c>
      <c r="BF411">
        <v>1.8</v>
      </c>
      <c r="BG411">
        <v>0.53246753246753253</v>
      </c>
      <c r="BH411">
        <v>5.5</v>
      </c>
      <c r="BI411">
        <v>5</v>
      </c>
      <c r="BJ411">
        <v>0.5</v>
      </c>
      <c r="BK411">
        <v>0.17183859468809648</v>
      </c>
      <c r="BL411">
        <v>0.12375815589436708</v>
      </c>
      <c r="BM411">
        <v>25.218532884518119</v>
      </c>
      <c r="BN411">
        <v>6.7522881266771755</v>
      </c>
      <c r="BO411" t="s">
        <v>193</v>
      </c>
      <c r="BP411">
        <f t="shared" si="14"/>
        <v>0</v>
      </c>
    </row>
    <row r="412" spans="53:68" x14ac:dyDescent="0.35">
      <c r="BA412" t="s">
        <v>153</v>
      </c>
      <c r="BB412" t="s">
        <v>38</v>
      </c>
      <c r="BC412">
        <v>1.7620664305932905</v>
      </c>
      <c r="BD412">
        <v>0.29543436151600172</v>
      </c>
      <c r="BE412">
        <v>3.384846619968533</v>
      </c>
      <c r="BF412">
        <v>2.0499999999999998</v>
      </c>
      <c r="BG412">
        <v>0.46753246753246758</v>
      </c>
      <c r="BK412">
        <v>-0.17209810601646586</v>
      </c>
      <c r="BL412">
        <v>-0.1239450559530587</v>
      </c>
      <c r="BM412">
        <v>0</v>
      </c>
      <c r="BN412">
        <v>0</v>
      </c>
      <c r="BO412" t="s">
        <v>193</v>
      </c>
      <c r="BP412">
        <f t="shared" si="14"/>
        <v>0</v>
      </c>
    </row>
    <row r="413" spans="53:68" x14ac:dyDescent="0.35">
      <c r="BA413" t="s">
        <v>213</v>
      </c>
      <c r="BB413" t="s">
        <v>62</v>
      </c>
      <c r="BC413">
        <v>3.2169736505865441</v>
      </c>
      <c r="BD413">
        <v>0.69852935531944527</v>
      </c>
      <c r="BE413">
        <v>1.4315790630483796</v>
      </c>
      <c r="BF413">
        <v>1.69</v>
      </c>
      <c r="BG413">
        <v>0.57106598984771573</v>
      </c>
      <c r="BH413">
        <v>5.5</v>
      </c>
      <c r="BI413">
        <v>5</v>
      </c>
      <c r="BJ413">
        <v>0.5</v>
      </c>
      <c r="BK413">
        <v>0.12746336547172954</v>
      </c>
      <c r="BL413">
        <v>9.1799115812739612E-2</v>
      </c>
      <c r="BM413">
        <v>19.712509875213037</v>
      </c>
      <c r="BN413">
        <v>3.5583960419016485</v>
      </c>
      <c r="BO413" t="s">
        <v>193</v>
      </c>
      <c r="BP413">
        <f t="shared" si="14"/>
        <v>0</v>
      </c>
    </row>
    <row r="414" spans="53:68" x14ac:dyDescent="0.35">
      <c r="BA414" t="s">
        <v>153</v>
      </c>
      <c r="BB414" t="s">
        <v>61</v>
      </c>
      <c r="BC414">
        <v>2.0024123568911034</v>
      </c>
      <c r="BD414">
        <v>0.30094322271133661</v>
      </c>
      <c r="BE414">
        <v>3.3228859284171204</v>
      </c>
      <c r="BF414">
        <v>2.25</v>
      </c>
      <c r="BG414">
        <v>0.42893401015228422</v>
      </c>
      <c r="BK414">
        <v>-0.12799078744094761</v>
      </c>
      <c r="BL414">
        <v>-9.2178965114970465E-2</v>
      </c>
      <c r="BM414">
        <v>0</v>
      </c>
      <c r="BN414">
        <v>0</v>
      </c>
      <c r="BO414" t="s">
        <v>193</v>
      </c>
      <c r="BP414">
        <f t="shared" si="14"/>
        <v>0</v>
      </c>
    </row>
    <row r="415" spans="53:68" x14ac:dyDescent="0.35">
      <c r="BA415" t="s">
        <v>213</v>
      </c>
      <c r="BB415" t="s">
        <v>41</v>
      </c>
      <c r="BC415">
        <v>2.1820091339924401</v>
      </c>
      <c r="BD415">
        <v>0.31303273636714296</v>
      </c>
      <c r="BE415">
        <v>3.194554063595259</v>
      </c>
      <c r="BF415">
        <v>3.1</v>
      </c>
      <c r="BG415">
        <v>0.31111111111111106</v>
      </c>
      <c r="BH415">
        <v>5.5</v>
      </c>
      <c r="BI415">
        <v>5</v>
      </c>
      <c r="BJ415">
        <v>0.5</v>
      </c>
      <c r="BK415">
        <v>1.9216252560319003E-3</v>
      </c>
      <c r="BL415">
        <v>1.3839545093941746E-3</v>
      </c>
      <c r="BM415">
        <v>0</v>
      </c>
      <c r="BN415">
        <v>0</v>
      </c>
      <c r="BO415" t="s">
        <v>193</v>
      </c>
      <c r="BP415">
        <v>0</v>
      </c>
    </row>
    <row r="416" spans="53:68" x14ac:dyDescent="0.35">
      <c r="BA416" t="s">
        <v>153</v>
      </c>
      <c r="BB416" t="s">
        <v>57</v>
      </c>
      <c r="BC416">
        <v>3.3493229740946626</v>
      </c>
      <c r="BD416">
        <v>0.68623032992984145</v>
      </c>
      <c r="BE416">
        <v>1.4572366687759744</v>
      </c>
      <c r="BF416">
        <v>1.4</v>
      </c>
      <c r="BG416">
        <v>0.68888888888888888</v>
      </c>
      <c r="BK416">
        <v>-2.6585589590474301E-3</v>
      </c>
      <c r="BL416">
        <v>-1.914694162305959E-3</v>
      </c>
      <c r="BM416">
        <v>0</v>
      </c>
      <c r="BN416">
        <v>0</v>
      </c>
      <c r="BO416" t="s">
        <v>193</v>
      </c>
      <c r="BP416">
        <v>0</v>
      </c>
    </row>
    <row r="417" spans="53:71" x14ac:dyDescent="0.35">
      <c r="BA417" t="s">
        <v>213</v>
      </c>
      <c r="BB417" t="s">
        <v>42</v>
      </c>
      <c r="BC417">
        <v>2.1307273992230402</v>
      </c>
      <c r="BD417">
        <v>0.5682672501190037</v>
      </c>
      <c r="BE417">
        <v>1.759735405815811</v>
      </c>
      <c r="BF417">
        <v>1.61</v>
      </c>
      <c r="BG417">
        <v>0.60344827586206906</v>
      </c>
      <c r="BH417">
        <v>5.5</v>
      </c>
      <c r="BI417">
        <v>5</v>
      </c>
      <c r="BJ417">
        <v>0.5</v>
      </c>
      <c r="BK417">
        <v>-3.5181025743065364E-2</v>
      </c>
      <c r="BL417">
        <v>-2.5337374740155672E-2</v>
      </c>
      <c r="BM417">
        <v>0</v>
      </c>
      <c r="BN417">
        <v>0</v>
      </c>
      <c r="BO417" t="s">
        <v>193</v>
      </c>
      <c r="BP417">
        <v>0</v>
      </c>
    </row>
    <row r="418" spans="53:71" x14ac:dyDescent="0.35">
      <c r="BA418" t="s">
        <v>153</v>
      </c>
      <c r="BB418" t="s">
        <v>43</v>
      </c>
      <c r="BC418">
        <v>1.7790157269726175</v>
      </c>
      <c r="BD418">
        <v>0.43171513557411317</v>
      </c>
      <c r="BE418">
        <v>2.3163422303231447</v>
      </c>
      <c r="BF418">
        <v>2.4500000000000002</v>
      </c>
      <c r="BG418">
        <v>0.39655172413793105</v>
      </c>
      <c r="BK418">
        <v>3.5163411436182124E-2</v>
      </c>
      <c r="BL418">
        <v>2.5324688916338364E-2</v>
      </c>
      <c r="BM418">
        <v>2.9984867812244076</v>
      </c>
      <c r="BN418">
        <v>0.17301893059562201</v>
      </c>
      <c r="BO418" t="s">
        <v>193</v>
      </c>
      <c r="BP418">
        <v>0</v>
      </c>
    </row>
    <row r="419" spans="53:71" x14ac:dyDescent="0.35">
      <c r="BA419" t="s">
        <v>213</v>
      </c>
      <c r="BB419" t="s">
        <v>49</v>
      </c>
      <c r="BC419">
        <v>3.5187381437854239</v>
      </c>
      <c r="BD419">
        <v>0.75411020120449102</v>
      </c>
      <c r="BE419">
        <v>1.3260661351653449</v>
      </c>
      <c r="BF419">
        <v>1.95</v>
      </c>
      <c r="BG419">
        <v>0.48952879581151842</v>
      </c>
      <c r="BH419">
        <v>5.5</v>
      </c>
      <c r="BI419">
        <v>5</v>
      </c>
      <c r="BJ419">
        <v>0.5</v>
      </c>
      <c r="BK419">
        <v>0.26458140539297259</v>
      </c>
      <c r="BL419">
        <v>0.19055152816401885</v>
      </c>
      <c r="BM419">
        <v>37.31886481488219</v>
      </c>
      <c r="BN419">
        <v>17.559081660952124</v>
      </c>
      <c r="BO419" t="s">
        <v>192</v>
      </c>
      <c r="BP419" t="s">
        <v>192</v>
      </c>
      <c r="BQ419">
        <v>1.03</v>
      </c>
      <c r="BR419">
        <v>37.192288021534324</v>
      </c>
      <c r="BS419" t="s">
        <v>392</v>
      </c>
    </row>
    <row r="420" spans="53:71" x14ac:dyDescent="0.35">
      <c r="BA420" t="s">
        <v>153</v>
      </c>
      <c r="BB420" t="s">
        <v>53</v>
      </c>
      <c r="BC420">
        <v>1.8901251741172913</v>
      </c>
      <c r="BD420">
        <v>0.24482171181970991</v>
      </c>
      <c r="BE420">
        <v>4.0846050481683331</v>
      </c>
      <c r="BF420">
        <v>1.87</v>
      </c>
      <c r="BG420">
        <v>0.51047120418848169</v>
      </c>
      <c r="BK420">
        <v>-0.26564949236877178</v>
      </c>
      <c r="BL420">
        <v>-0.19132076440398943</v>
      </c>
      <c r="BM420">
        <v>0</v>
      </c>
      <c r="BN420">
        <v>0</v>
      </c>
      <c r="BO420" t="s">
        <v>193</v>
      </c>
      <c r="BP420">
        <v>0</v>
      </c>
    </row>
    <row r="421" spans="53:71" x14ac:dyDescent="0.35">
      <c r="BA421" t="s">
        <v>213</v>
      </c>
      <c r="BB421" t="s">
        <v>44</v>
      </c>
      <c r="BC421">
        <v>2.0468960705107779</v>
      </c>
      <c r="BD421">
        <v>0.34950257647647437</v>
      </c>
      <c r="BE421">
        <v>2.861209236514203</v>
      </c>
      <c r="BF421">
        <v>1.56</v>
      </c>
      <c r="BG421">
        <v>0.625</v>
      </c>
      <c r="BH421">
        <v>5.5</v>
      </c>
      <c r="BI421">
        <v>5</v>
      </c>
      <c r="BJ421">
        <v>0.5</v>
      </c>
      <c r="BK421">
        <v>-0.27549742352352563</v>
      </c>
      <c r="BL421">
        <v>-0.19841324442164315</v>
      </c>
      <c r="BM421">
        <v>0</v>
      </c>
      <c r="BN421">
        <v>0</v>
      </c>
      <c r="BO421" t="s">
        <v>193</v>
      </c>
      <c r="BP421">
        <v>0</v>
      </c>
    </row>
    <row r="422" spans="53:71" x14ac:dyDescent="0.35">
      <c r="BA422" t="s">
        <v>153</v>
      </c>
      <c r="BB422" t="s">
        <v>58</v>
      </c>
      <c r="BC422">
        <v>2.9294054587122877</v>
      </c>
      <c r="BD422">
        <v>0.65024749574939145</v>
      </c>
      <c r="BE422">
        <v>1.5378759726671902</v>
      </c>
      <c r="BF422">
        <v>2.6</v>
      </c>
      <c r="BG422">
        <v>0.375</v>
      </c>
      <c r="BK422">
        <v>0.27524749574939145</v>
      </c>
      <c r="BL422">
        <v>0.19823324643871171</v>
      </c>
      <c r="BM422">
        <v>32.524647263486905</v>
      </c>
      <c r="BN422">
        <v>22.462935862871209</v>
      </c>
      <c r="BO422" t="s">
        <v>192</v>
      </c>
      <c r="BP422">
        <v>0</v>
      </c>
    </row>
    <row r="423" spans="53:71" x14ac:dyDescent="0.35">
      <c r="BA423" t="s">
        <v>213</v>
      </c>
      <c r="BB423" t="s">
        <v>56</v>
      </c>
      <c r="BC423">
        <v>2.6289124577129184</v>
      </c>
      <c r="BD423">
        <v>0.7023384114211082</v>
      </c>
      <c r="BE423">
        <v>1.42381504946683</v>
      </c>
      <c r="BF423">
        <v>1.77</v>
      </c>
      <c r="BG423">
        <v>0.54263565891472865</v>
      </c>
      <c r="BH423">
        <v>5.5</v>
      </c>
      <c r="BI423">
        <v>5</v>
      </c>
      <c r="BJ423">
        <v>0.5</v>
      </c>
      <c r="BK423">
        <v>0.15970275250637955</v>
      </c>
      <c r="BL423">
        <v>0.11501792235509455</v>
      </c>
      <c r="BM423">
        <v>23.792634660806584</v>
      </c>
      <c r="BN423">
        <v>5.7849171184062547</v>
      </c>
      <c r="BO423" t="s">
        <v>193</v>
      </c>
      <c r="BP423">
        <v>0</v>
      </c>
    </row>
    <row r="424" spans="53:71" x14ac:dyDescent="0.35">
      <c r="BA424" t="s">
        <v>153</v>
      </c>
      <c r="BB424" t="s">
        <v>59</v>
      </c>
      <c r="BC424">
        <v>1.5200399731100018</v>
      </c>
      <c r="BD424">
        <v>0.29756554209370695</v>
      </c>
      <c r="BE424">
        <v>3.3606041645947302</v>
      </c>
      <c r="BF424">
        <v>2.1</v>
      </c>
      <c r="BG424">
        <v>0.4573643410852713</v>
      </c>
      <c r="BK424">
        <v>-0.15979879899156435</v>
      </c>
      <c r="BL424">
        <v>-0.11508709503372463</v>
      </c>
      <c r="BM424">
        <v>0</v>
      </c>
      <c r="BN424">
        <v>0</v>
      </c>
      <c r="BO424" t="s">
        <v>193</v>
      </c>
      <c r="BP424">
        <v>0</v>
      </c>
    </row>
    <row r="425" spans="53:71" x14ac:dyDescent="0.35">
      <c r="BA425" t="s">
        <v>213</v>
      </c>
      <c r="BB425" t="s">
        <v>38</v>
      </c>
      <c r="BC425">
        <v>1.9072375771831109</v>
      </c>
      <c r="BD425">
        <v>0.21591083036546391</v>
      </c>
      <c r="BE425">
        <v>4.631541633679694</v>
      </c>
      <c r="BF425">
        <v>3.15</v>
      </c>
      <c r="BG425">
        <v>0.30463576158940392</v>
      </c>
      <c r="BH425">
        <v>5.5</v>
      </c>
      <c r="BI425">
        <v>5</v>
      </c>
      <c r="BJ425">
        <v>0.5</v>
      </c>
      <c r="BK425">
        <v>-8.8724931223940012E-2</v>
      </c>
      <c r="BL425">
        <v>-6.3899695467481588E-2</v>
      </c>
      <c r="BM425">
        <v>0</v>
      </c>
      <c r="BN425">
        <v>0</v>
      </c>
      <c r="BO425" t="s">
        <v>193</v>
      </c>
      <c r="BP425">
        <v>0</v>
      </c>
    </row>
    <row r="426" spans="53:71" x14ac:dyDescent="0.35">
      <c r="BA426" t="s">
        <v>153</v>
      </c>
      <c r="BB426" t="s">
        <v>52</v>
      </c>
      <c r="BC426">
        <v>3.8040209138184724</v>
      </c>
      <c r="BD426">
        <v>0.78213931383940793</v>
      </c>
      <c r="BE426">
        <v>1.2785446049133442</v>
      </c>
      <c r="BF426">
        <v>1.38</v>
      </c>
      <c r="BG426">
        <v>0.69536423841059603</v>
      </c>
      <c r="BK426">
        <v>8.677507542881191E-2</v>
      </c>
      <c r="BL426">
        <v>6.2495409323830332E-2</v>
      </c>
      <c r="BM426">
        <v>15.734549821325569</v>
      </c>
      <c r="BN426">
        <v>1.2485719798109427</v>
      </c>
      <c r="BO426" t="s">
        <v>193</v>
      </c>
      <c r="BP426">
        <v>0</v>
      </c>
    </row>
    <row r="427" spans="53:71" x14ac:dyDescent="0.35">
      <c r="BA427" t="s">
        <v>213</v>
      </c>
      <c r="BB427" t="s">
        <v>46</v>
      </c>
      <c r="BC427">
        <v>3.5549254913441692</v>
      </c>
      <c r="BD427">
        <v>0.77448957365437043</v>
      </c>
      <c r="BE427">
        <v>1.2911729660627653</v>
      </c>
      <c r="BF427">
        <v>1.4</v>
      </c>
      <c r="BG427">
        <v>0.68888888888888888</v>
      </c>
      <c r="BH427">
        <v>5.5</v>
      </c>
      <c r="BI427">
        <v>5</v>
      </c>
      <c r="BJ427">
        <v>0.5</v>
      </c>
      <c r="BK427">
        <v>8.5600684765481549E-2</v>
      </c>
      <c r="BL427">
        <v>6.1649613168099811E-2</v>
      </c>
      <c r="BM427">
        <v>15.877094620766323</v>
      </c>
      <c r="BN427">
        <v>1.3382073204240461</v>
      </c>
      <c r="BO427" t="s">
        <v>193</v>
      </c>
      <c r="BP427">
        <v>0</v>
      </c>
    </row>
    <row r="428" spans="53:71" x14ac:dyDescent="0.35">
      <c r="BA428" t="s">
        <v>153</v>
      </c>
      <c r="BB428" t="s">
        <v>39</v>
      </c>
      <c r="BC428">
        <v>1.7842497942895428</v>
      </c>
      <c r="BD428">
        <v>0.22435547471723258</v>
      </c>
      <c r="BE428">
        <v>4.457212382538712</v>
      </c>
      <c r="BF428">
        <v>3.1</v>
      </c>
      <c r="BG428">
        <v>0.31111111111111106</v>
      </c>
      <c r="BK428">
        <v>-8.6755636393878482E-2</v>
      </c>
      <c r="BL428">
        <v>-6.2481409330871276E-2</v>
      </c>
      <c r="BM428">
        <v>0</v>
      </c>
      <c r="BN428">
        <v>0</v>
      </c>
      <c r="BO428" t="s">
        <v>193</v>
      </c>
      <c r="BP428">
        <v>0</v>
      </c>
    </row>
    <row r="429" spans="53:71" x14ac:dyDescent="0.35">
      <c r="BA429" t="s">
        <v>213</v>
      </c>
      <c r="BB429" t="s">
        <v>66</v>
      </c>
      <c r="BC429">
        <v>2.7430713574025258</v>
      </c>
      <c r="BD429">
        <v>0.78475755911149025</v>
      </c>
      <c r="BE429">
        <v>1.2742789010305415</v>
      </c>
      <c r="BF429">
        <v>1.77</v>
      </c>
      <c r="BG429">
        <v>0.54263565891472865</v>
      </c>
      <c r="BH429">
        <v>5.5</v>
      </c>
      <c r="BI429">
        <v>5</v>
      </c>
      <c r="BJ429">
        <v>0.5</v>
      </c>
      <c r="BK429">
        <v>0.24212190019676161</v>
      </c>
      <c r="BL429">
        <v>0.17437619252170769</v>
      </c>
      <c r="BM429">
        <v>38.068068524659907</v>
      </c>
      <c r="BN429">
        <v>14.809273503176973</v>
      </c>
      <c r="BO429" t="s">
        <v>192</v>
      </c>
      <c r="BP429" t="s">
        <v>192</v>
      </c>
      <c r="BQ429">
        <v>1.05</v>
      </c>
      <c r="BR429">
        <v>37.914468371467031</v>
      </c>
    </row>
    <row r="430" spans="53:71" x14ac:dyDescent="0.35">
      <c r="BA430" t="s">
        <v>153</v>
      </c>
      <c r="BB430" t="s">
        <v>65</v>
      </c>
      <c r="BC430">
        <v>1.1605751003172335</v>
      </c>
      <c r="BD430">
        <v>0.21510493284983356</v>
      </c>
      <c r="BE430">
        <v>4.6488938526486878</v>
      </c>
      <c r="BF430">
        <v>2.1</v>
      </c>
      <c r="BG430">
        <v>0.4573643410852713</v>
      </c>
      <c r="BK430">
        <v>-0.24225940823543773</v>
      </c>
      <c r="BL430">
        <v>-0.17447522581116223</v>
      </c>
      <c r="BM430">
        <v>0</v>
      </c>
      <c r="BN430">
        <v>0</v>
      </c>
      <c r="BO430" t="s">
        <v>193</v>
      </c>
      <c r="BP430">
        <v>0</v>
      </c>
    </row>
    <row r="431" spans="53:71" x14ac:dyDescent="0.35">
      <c r="BA431" t="s">
        <v>213</v>
      </c>
      <c r="BB431" t="s">
        <v>62</v>
      </c>
      <c r="BC431">
        <v>2.3204222029446719</v>
      </c>
      <c r="BD431">
        <v>0.56213251527404429</v>
      </c>
      <c r="BE431">
        <v>1.7789399702532624</v>
      </c>
      <c r="BF431">
        <v>2.1</v>
      </c>
      <c r="BG431">
        <v>0.4573643410852713</v>
      </c>
      <c r="BH431">
        <v>5.5</v>
      </c>
      <c r="BI431">
        <v>5</v>
      </c>
      <c r="BJ431">
        <v>0.5</v>
      </c>
      <c r="BK431">
        <v>0.10476817418877299</v>
      </c>
      <c r="BL431">
        <v>7.5454039050754304E-2</v>
      </c>
      <c r="BM431">
        <v>12.362631360792316</v>
      </c>
      <c r="BN431">
        <v>2.2311864699284136</v>
      </c>
      <c r="BO431" t="s">
        <v>193</v>
      </c>
      <c r="BP431">
        <v>0</v>
      </c>
    </row>
    <row r="432" spans="53:71" x14ac:dyDescent="0.35">
      <c r="BA432" t="s">
        <v>153</v>
      </c>
      <c r="BB432" t="s">
        <v>68</v>
      </c>
      <c r="BC432">
        <v>1.9857423761399129</v>
      </c>
      <c r="BD432">
        <v>0.43782779981660791</v>
      </c>
      <c r="BE432">
        <v>2.2840029811237845</v>
      </c>
      <c r="BF432">
        <v>1.77</v>
      </c>
      <c r="BG432">
        <v>0.54263565891472865</v>
      </c>
      <c r="BK432">
        <v>-0.10480785909812074</v>
      </c>
      <c r="BL432">
        <v>-7.5482620122466551E-2</v>
      </c>
      <c r="BM432">
        <v>0</v>
      </c>
      <c r="BN432">
        <v>0</v>
      </c>
      <c r="BO432" t="s">
        <v>193</v>
      </c>
      <c r="BP432">
        <v>0</v>
      </c>
    </row>
    <row r="433" spans="53:68" x14ac:dyDescent="0.35">
      <c r="BA433" t="s">
        <v>213</v>
      </c>
      <c r="BB433" t="s">
        <v>51</v>
      </c>
      <c r="BC433">
        <v>3.0740478271765475</v>
      </c>
      <c r="BD433">
        <v>0.71711139346891162</v>
      </c>
      <c r="BE433">
        <v>1.3944834918361289</v>
      </c>
      <c r="BF433">
        <v>2.1</v>
      </c>
      <c r="BG433">
        <v>0.4573643410852713</v>
      </c>
      <c r="BH433">
        <v>5.5</v>
      </c>
      <c r="BI433">
        <v>5</v>
      </c>
      <c r="BJ433">
        <v>0.5</v>
      </c>
      <c r="BK433">
        <v>0.25974705238364032</v>
      </c>
      <c r="BL433">
        <v>0.18706982712669776</v>
      </c>
      <c r="BM433">
        <v>34.656106827080187</v>
      </c>
      <c r="BN433">
        <v>17.533700196767171</v>
      </c>
      <c r="BO433" t="s">
        <v>192</v>
      </c>
      <c r="BP433">
        <v>0</v>
      </c>
    </row>
    <row r="434" spans="53:68" x14ac:dyDescent="0.35">
      <c r="BA434" t="s">
        <v>153</v>
      </c>
      <c r="BB434" t="s">
        <v>61</v>
      </c>
      <c r="BC434">
        <v>1.7818944192118937</v>
      </c>
      <c r="BD434">
        <v>0.28252801346987716</v>
      </c>
      <c r="BE434">
        <v>3.5394720251576715</v>
      </c>
      <c r="BF434">
        <v>1.77</v>
      </c>
      <c r="BG434">
        <v>0.54263565891472865</v>
      </c>
      <c r="BK434">
        <v>-0.26010764544485149</v>
      </c>
      <c r="BL434">
        <v>-0.18732952624938204</v>
      </c>
      <c r="BM434">
        <v>0</v>
      </c>
      <c r="BN434">
        <v>0</v>
      </c>
      <c r="BO434" t="s">
        <v>193</v>
      </c>
      <c r="BP434">
        <v>0</v>
      </c>
    </row>
    <row r="435" spans="53:68" x14ac:dyDescent="0.35">
      <c r="BA435" t="s">
        <v>213</v>
      </c>
      <c r="BB435" t="s">
        <v>54</v>
      </c>
      <c r="BC435">
        <v>3.9612948421158269</v>
      </c>
      <c r="BD435">
        <v>0.79460267367080606</v>
      </c>
      <c r="BE435">
        <v>1.2584906056008156</v>
      </c>
      <c r="BF435">
        <v>2.4</v>
      </c>
      <c r="BG435">
        <v>0.40446650124069478</v>
      </c>
      <c r="BH435">
        <v>5.5</v>
      </c>
      <c r="BI435">
        <v>5</v>
      </c>
      <c r="BJ435">
        <v>0.5</v>
      </c>
      <c r="BK435">
        <v>0.39013617243011128</v>
      </c>
      <c r="BL435">
        <v>0.28097607138416614</v>
      </c>
      <c r="BM435">
        <v>48.818016788160385</v>
      </c>
      <c r="BN435">
        <v>44.280207203468102</v>
      </c>
      <c r="BO435" t="s">
        <v>192</v>
      </c>
      <c r="BP435">
        <v>0</v>
      </c>
    </row>
    <row r="436" spans="53:68" x14ac:dyDescent="0.35">
      <c r="BA436" t="s">
        <v>153</v>
      </c>
      <c r="BB436" t="s">
        <v>59</v>
      </c>
      <c r="BC436">
        <v>1.9270985802942744</v>
      </c>
      <c r="BD436">
        <v>0.20275065979458265</v>
      </c>
      <c r="BE436">
        <v>4.9321664403615388</v>
      </c>
      <c r="BF436">
        <v>1.63</v>
      </c>
      <c r="BG436">
        <v>0.59553349875930517</v>
      </c>
      <c r="BK436">
        <v>-0.39278283896472255</v>
      </c>
      <c r="BL436">
        <v>-0.28288220062239317</v>
      </c>
      <c r="BM436">
        <v>0</v>
      </c>
      <c r="BN436">
        <v>0</v>
      </c>
      <c r="BO436" t="s">
        <v>193</v>
      </c>
      <c r="BP436">
        <v>0</v>
      </c>
    </row>
    <row r="437" spans="53:68" x14ac:dyDescent="0.35">
      <c r="BA437" t="s">
        <v>213</v>
      </c>
      <c r="BB437" t="s">
        <v>50</v>
      </c>
      <c r="BC437">
        <v>4.651285436668803</v>
      </c>
      <c r="BD437">
        <v>0.6954335580409341</v>
      </c>
      <c r="BE437">
        <v>1.4379518912159523</v>
      </c>
      <c r="BF437">
        <v>1.56</v>
      </c>
      <c r="BG437">
        <v>0.625</v>
      </c>
      <c r="BH437">
        <v>5.5</v>
      </c>
      <c r="BI437">
        <v>5</v>
      </c>
      <c r="BJ437">
        <v>0.5</v>
      </c>
      <c r="BK437">
        <v>7.0433558040934097E-2</v>
      </c>
      <c r="BL437">
        <v>5.0726248501080734E-2</v>
      </c>
      <c r="BM437">
        <v>11.420295116595037</v>
      </c>
      <c r="BN437">
        <v>0.96931297163042052</v>
      </c>
      <c r="BO437" t="s">
        <v>193</v>
      </c>
      <c r="BP437">
        <v>0</v>
      </c>
    </row>
    <row r="438" spans="53:68" x14ac:dyDescent="0.35">
      <c r="BA438" t="s">
        <v>153</v>
      </c>
      <c r="BB438" t="s">
        <v>45</v>
      </c>
      <c r="BC438">
        <v>3.1386704908649907</v>
      </c>
      <c r="BD438">
        <v>0.2957479744933838</v>
      </c>
      <c r="BE438">
        <v>3.3812573077229007</v>
      </c>
      <c r="BF438">
        <v>2.6</v>
      </c>
      <c r="BG438">
        <v>0.375</v>
      </c>
      <c r="BK438">
        <v>-7.9252025506616197E-2</v>
      </c>
      <c r="BL438">
        <v>-5.7077308769864984E-2</v>
      </c>
      <c r="BM438">
        <v>0</v>
      </c>
      <c r="BN438">
        <v>0</v>
      </c>
      <c r="BO438" t="s">
        <v>193</v>
      </c>
      <c r="BP438">
        <v>0</v>
      </c>
    </row>
    <row r="439" spans="53:68" x14ac:dyDescent="0.35">
      <c r="BA439" t="s">
        <v>213</v>
      </c>
      <c r="BB439" t="s">
        <v>48</v>
      </c>
      <c r="BC439">
        <v>2.881000616670943</v>
      </c>
      <c r="BD439">
        <v>0.6758103839523073</v>
      </c>
      <c r="BE439">
        <v>1.4797049938057345</v>
      </c>
      <c r="BF439">
        <v>2.35</v>
      </c>
      <c r="BG439">
        <v>0.41249999999999998</v>
      </c>
      <c r="BH439">
        <v>5.5</v>
      </c>
      <c r="BI439">
        <v>5</v>
      </c>
      <c r="BJ439">
        <v>0.5</v>
      </c>
      <c r="BK439">
        <v>0.26331038395230733</v>
      </c>
      <c r="BL439">
        <v>0.18963613852245173</v>
      </c>
      <c r="BM439">
        <v>32.827381295080663</v>
      </c>
      <c r="BN439">
        <v>19.30756882428588</v>
      </c>
      <c r="BO439" t="s">
        <v>192</v>
      </c>
      <c r="BP439">
        <v>0</v>
      </c>
    </row>
    <row r="440" spans="53:68" x14ac:dyDescent="0.35">
      <c r="BA440" t="s">
        <v>153</v>
      </c>
      <c r="BB440" t="s">
        <v>55</v>
      </c>
      <c r="BC440">
        <v>1.863649910867154</v>
      </c>
      <c r="BD440">
        <v>0.32397692889444751</v>
      </c>
      <c r="BE440">
        <v>3.086639543786164</v>
      </c>
      <c r="BF440">
        <v>1.65</v>
      </c>
      <c r="BG440">
        <v>0.58750000000000002</v>
      </c>
      <c r="BK440">
        <v>-0.26352307110555251</v>
      </c>
      <c r="BL440">
        <v>-0.18978931581021891</v>
      </c>
      <c r="BM440">
        <v>0</v>
      </c>
      <c r="BN440">
        <v>0</v>
      </c>
      <c r="BO440" t="s">
        <v>193</v>
      </c>
      <c r="BP440">
        <v>0</v>
      </c>
    </row>
    <row r="441" spans="53:68" x14ac:dyDescent="0.35">
      <c r="BA441" t="s">
        <v>213</v>
      </c>
      <c r="BB441" t="s">
        <v>63</v>
      </c>
      <c r="BC441">
        <v>3.1166058451057901</v>
      </c>
      <c r="BD441">
        <v>0.65583435124664391</v>
      </c>
      <c r="BE441">
        <v>1.5247752700040005</v>
      </c>
      <c r="BF441">
        <v>1.56</v>
      </c>
      <c r="BG441">
        <v>0.625</v>
      </c>
      <c r="BH441">
        <v>5.5</v>
      </c>
      <c r="BI441">
        <v>5</v>
      </c>
      <c r="BJ441">
        <v>0.5</v>
      </c>
      <c r="BK441">
        <v>3.083435124664391E-2</v>
      </c>
      <c r="BL441">
        <v>2.2206899767832942E-2</v>
      </c>
      <c r="BM441">
        <v>3.2888389277421326</v>
      </c>
      <c r="BN441">
        <v>7.597740172540024E-2</v>
      </c>
      <c r="BO441" t="s">
        <v>193</v>
      </c>
      <c r="BP441">
        <v>0</v>
      </c>
    </row>
    <row r="442" spans="53:68" x14ac:dyDescent="0.35">
      <c r="BA442" t="s">
        <v>153</v>
      </c>
      <c r="BB442" t="s">
        <v>47</v>
      </c>
      <c r="BC442">
        <v>2.1718416459887915</v>
      </c>
      <c r="BD442">
        <v>0.34374741906487416</v>
      </c>
      <c r="BE442">
        <v>2.9091127512182826</v>
      </c>
      <c r="BF442">
        <v>2.6</v>
      </c>
      <c r="BG442">
        <v>0.375</v>
      </c>
      <c r="BK442">
        <v>-3.125258093512584E-2</v>
      </c>
      <c r="BL442">
        <v>-2.2508108789477628E-2</v>
      </c>
      <c r="BM442">
        <v>0</v>
      </c>
      <c r="BN442">
        <v>0</v>
      </c>
      <c r="BO442" t="s">
        <v>193</v>
      </c>
      <c r="BP442">
        <v>0</v>
      </c>
    </row>
    <row r="443" spans="53:68" x14ac:dyDescent="0.35">
      <c r="BA443" t="s">
        <v>213</v>
      </c>
      <c r="BB443" t="s">
        <v>46</v>
      </c>
      <c r="BC443">
        <v>3.7586132150777063</v>
      </c>
      <c r="BD443">
        <v>0.8545922970285843</v>
      </c>
      <c r="BE443">
        <v>1.1701486234746066</v>
      </c>
      <c r="BF443">
        <v>1.38</v>
      </c>
      <c r="BG443">
        <v>0.69536423841059603</v>
      </c>
      <c r="BH443">
        <v>5.5</v>
      </c>
      <c r="BI443">
        <v>5</v>
      </c>
      <c r="BJ443">
        <v>0.5</v>
      </c>
      <c r="BK443">
        <v>0.15922805861798828</v>
      </c>
      <c r="BL443">
        <v>0.11467604781667515</v>
      </c>
      <c r="BM443">
        <v>37.624955735701292</v>
      </c>
      <c r="BN443">
        <v>6.7475606042237528</v>
      </c>
      <c r="BO443" t="s">
        <v>193</v>
      </c>
      <c r="BP443">
        <v>0</v>
      </c>
    </row>
    <row r="444" spans="53:68" x14ac:dyDescent="0.35">
      <c r="BA444" t="s">
        <v>153</v>
      </c>
      <c r="BB444" t="s">
        <v>39</v>
      </c>
      <c r="BC444">
        <v>1.356044783629349</v>
      </c>
      <c r="BD444">
        <v>0.14363346581912986</v>
      </c>
      <c r="BE444">
        <v>6.9621657759010551</v>
      </c>
      <c r="BF444">
        <v>3.15</v>
      </c>
      <c r="BG444">
        <v>0.30463576158940392</v>
      </c>
      <c r="BK444">
        <v>-0.16100229577027406</v>
      </c>
      <c r="BL444">
        <v>-0.11595385341375136</v>
      </c>
      <c r="BM444">
        <v>0</v>
      </c>
      <c r="BN444">
        <v>0</v>
      </c>
      <c r="BO444" t="s">
        <v>193</v>
      </c>
      <c r="BP444">
        <v>0</v>
      </c>
    </row>
    <row r="445" spans="53:68" x14ac:dyDescent="0.35">
      <c r="BA445" t="s">
        <v>213</v>
      </c>
      <c r="BB445" t="s">
        <v>44</v>
      </c>
      <c r="BC445">
        <v>1.8600324562395392</v>
      </c>
      <c r="BD445">
        <v>0.28576289237455671</v>
      </c>
      <c r="BE445">
        <v>3.4994046696912435</v>
      </c>
      <c r="BF445">
        <v>1.53</v>
      </c>
      <c r="BG445">
        <v>0.62591687041564803</v>
      </c>
      <c r="BH445">
        <v>5.5</v>
      </c>
      <c r="BI445">
        <v>5</v>
      </c>
      <c r="BJ445">
        <v>0.5</v>
      </c>
      <c r="BK445">
        <v>-0.34015397804109132</v>
      </c>
      <c r="BL445">
        <v>-0.24497889498519396</v>
      </c>
      <c r="BM445">
        <v>0</v>
      </c>
      <c r="BN445">
        <v>0</v>
      </c>
      <c r="BO445" t="s">
        <v>193</v>
      </c>
      <c r="BP445">
        <v>0</v>
      </c>
    </row>
    <row r="446" spans="53:68" x14ac:dyDescent="0.35">
      <c r="BA446" t="s">
        <v>153</v>
      </c>
      <c r="BB446" t="s">
        <v>58</v>
      </c>
      <c r="BC446">
        <v>3.1502905946626614</v>
      </c>
      <c r="BD446">
        <v>0.71379533532052286</v>
      </c>
      <c r="BE446">
        <v>1.4009618030789732</v>
      </c>
      <c r="BF446">
        <v>2.56</v>
      </c>
      <c r="BG446">
        <v>0.37408312958435214</v>
      </c>
      <c r="BK446">
        <v>0.33971220573617072</v>
      </c>
      <c r="BL446">
        <v>0.24466073057119014</v>
      </c>
      <c r="BM446">
        <v>42.280065735112814</v>
      </c>
      <c r="BN446">
        <v>34.978977333734804</v>
      </c>
      <c r="BO446" t="s">
        <v>192</v>
      </c>
      <c r="BP446">
        <v>0</v>
      </c>
    </row>
    <row r="447" spans="53:68" x14ac:dyDescent="0.35">
      <c r="BA447" t="s">
        <v>213</v>
      </c>
      <c r="BB447" t="s">
        <v>38</v>
      </c>
      <c r="BC447">
        <v>1.7025870929055782</v>
      </c>
      <c r="BD447">
        <v>0.25967157352679804</v>
      </c>
      <c r="BE447">
        <v>3.8510183706989407</v>
      </c>
      <c r="BF447">
        <v>3.2</v>
      </c>
      <c r="BG447">
        <v>0.29978118161925604</v>
      </c>
      <c r="BH447">
        <v>5.5</v>
      </c>
      <c r="BI447">
        <v>5</v>
      </c>
      <c r="BJ447">
        <v>0.5</v>
      </c>
      <c r="BK447">
        <v>-4.0109608092458005E-2</v>
      </c>
      <c r="BL447">
        <v>-2.8886939748188251E-2</v>
      </c>
      <c r="BM447">
        <v>0</v>
      </c>
      <c r="BN447">
        <v>0</v>
      </c>
      <c r="BO447" t="s">
        <v>193</v>
      </c>
      <c r="BP447">
        <v>0</v>
      </c>
    </row>
    <row r="448" spans="53:68" x14ac:dyDescent="0.35">
      <c r="BA448" t="s">
        <v>153</v>
      </c>
      <c r="BB448" t="s">
        <v>52</v>
      </c>
      <c r="BC448">
        <v>3.1455440625079363</v>
      </c>
      <c r="BD448">
        <v>0.73989441459858385</v>
      </c>
      <c r="BE448">
        <v>1.3515441936975989</v>
      </c>
      <c r="BF448">
        <v>1.37</v>
      </c>
      <c r="BG448">
        <v>0.70021881838074396</v>
      </c>
      <c r="BK448">
        <v>3.9675596217839892E-2</v>
      </c>
      <c r="BL448">
        <v>2.8574364396088289E-2</v>
      </c>
      <c r="BM448">
        <v>2.9423196106845881</v>
      </c>
      <c r="BN448">
        <v>4.0178398211298871E-2</v>
      </c>
      <c r="BO448" t="s">
        <v>193</v>
      </c>
      <c r="BP448">
        <v>0</v>
      </c>
    </row>
    <row r="449" spans="53:70" x14ac:dyDescent="0.35">
      <c r="BA449" t="s">
        <v>213</v>
      </c>
      <c r="BB449" t="s">
        <v>41</v>
      </c>
      <c r="BC449">
        <v>1.9626218133152684</v>
      </c>
      <c r="BD449">
        <v>0.22950417264669126</v>
      </c>
      <c r="BE449">
        <v>4.3572192543071697</v>
      </c>
      <c r="BF449">
        <v>3.3</v>
      </c>
      <c r="BG449">
        <v>0.29184549356223177</v>
      </c>
      <c r="BH449">
        <v>5.5</v>
      </c>
      <c r="BI449">
        <v>5</v>
      </c>
      <c r="BJ449">
        <v>0.5</v>
      </c>
      <c r="BK449">
        <v>-6.234132091554051E-2</v>
      </c>
      <c r="BL449">
        <v>-4.489821932337227E-2</v>
      </c>
      <c r="BM449">
        <v>0</v>
      </c>
      <c r="BN449">
        <v>0</v>
      </c>
      <c r="BO449" t="s">
        <v>193</v>
      </c>
      <c r="BP449">
        <v>0</v>
      </c>
    </row>
    <row r="450" spans="53:70" x14ac:dyDescent="0.35">
      <c r="BA450" t="s">
        <v>153</v>
      </c>
      <c r="BB450" t="s">
        <v>60</v>
      </c>
      <c r="BC450">
        <v>3.752699490472672</v>
      </c>
      <c r="BD450">
        <v>0.76873610257202152</v>
      </c>
      <c r="BE450">
        <v>1.3008365245943574</v>
      </c>
      <c r="BF450">
        <v>1.36</v>
      </c>
      <c r="BG450">
        <v>0.70815450643776823</v>
      </c>
      <c r="BK450">
        <v>6.058159613425329E-2</v>
      </c>
      <c r="BL450">
        <v>4.363086553588922E-2</v>
      </c>
      <c r="BM450">
        <v>10.072035606297677</v>
      </c>
      <c r="BN450">
        <v>0.4580872535569136</v>
      </c>
      <c r="BO450" t="s">
        <v>193</v>
      </c>
      <c r="BP450">
        <v>0</v>
      </c>
    </row>
    <row r="451" spans="53:70" x14ac:dyDescent="0.35">
      <c r="BA451" t="s">
        <v>213</v>
      </c>
      <c r="BB451" t="s">
        <v>51</v>
      </c>
      <c r="BC451">
        <v>3.0105119541957461</v>
      </c>
      <c r="BD451">
        <v>0.70763866369548645</v>
      </c>
      <c r="BE451">
        <v>1.413150596913008</v>
      </c>
      <c r="BF451">
        <v>1.87</v>
      </c>
      <c r="BG451">
        <v>0.51047120418848169</v>
      </c>
      <c r="BH451">
        <v>5.5</v>
      </c>
      <c r="BI451">
        <v>5</v>
      </c>
      <c r="BJ451">
        <v>0.5</v>
      </c>
      <c r="BK451">
        <v>0.19716745950700476</v>
      </c>
      <c r="BL451">
        <v>0.14200000433694482</v>
      </c>
      <c r="BM451">
        <v>29.624713632264779</v>
      </c>
      <c r="BN451">
        <v>9.5772048422071929</v>
      </c>
      <c r="BO451" t="s">
        <v>192</v>
      </c>
      <c r="BP451" t="s">
        <v>192</v>
      </c>
      <c r="BQ451">
        <v>0.82</v>
      </c>
      <c r="BR451">
        <v>29.609394347240919</v>
      </c>
    </row>
    <row r="452" spans="53:70" x14ac:dyDescent="0.35">
      <c r="BA452" t="s">
        <v>153</v>
      </c>
      <c r="BB452" t="s">
        <v>61</v>
      </c>
      <c r="BC452">
        <v>1.7872551478172729</v>
      </c>
      <c r="BD452">
        <v>0.29205745623768858</v>
      </c>
      <c r="BE452">
        <v>3.4239838040161459</v>
      </c>
      <c r="BF452">
        <v>1.95</v>
      </c>
      <c r="BG452">
        <v>0.48952879581151842</v>
      </c>
      <c r="BK452">
        <v>-0.19747133957382984</v>
      </c>
      <c r="BL452">
        <v>-0.14221885876107224</v>
      </c>
      <c r="BM452">
        <v>0</v>
      </c>
      <c r="BN452">
        <v>0</v>
      </c>
      <c r="BO452" t="s">
        <v>193</v>
      </c>
      <c r="BP452">
        <v>0</v>
      </c>
    </row>
    <row r="453" spans="53:70" x14ac:dyDescent="0.35">
      <c r="BA453" t="s">
        <v>213</v>
      </c>
      <c r="BB453" t="s">
        <v>66</v>
      </c>
      <c r="BC453">
        <v>2.9356470354150255</v>
      </c>
      <c r="BD453">
        <v>0.8345012246998007</v>
      </c>
      <c r="BE453">
        <v>1.1983205900743106</v>
      </c>
      <c r="BF453">
        <v>1.69</v>
      </c>
      <c r="BG453">
        <v>0.57106598984771573</v>
      </c>
      <c r="BH453">
        <v>5.5</v>
      </c>
      <c r="BI453">
        <v>5</v>
      </c>
      <c r="BJ453">
        <v>0.5</v>
      </c>
      <c r="BK453">
        <v>0.26343523485208498</v>
      </c>
      <c r="BL453">
        <v>0.18972605614047158</v>
      </c>
      <c r="BM453">
        <v>47.407680513816459</v>
      </c>
      <c r="BN453">
        <v>19.451706474920382</v>
      </c>
      <c r="BO453" t="s">
        <v>192</v>
      </c>
      <c r="BP453" t="s">
        <v>192</v>
      </c>
      <c r="BQ453">
        <v>1.31</v>
      </c>
      <c r="BR453">
        <v>47.302812920592203</v>
      </c>
    </row>
    <row r="454" spans="53:70" x14ac:dyDescent="0.35">
      <c r="BA454" t="s">
        <v>153</v>
      </c>
      <c r="BB454" t="s">
        <v>65</v>
      </c>
      <c r="BC454">
        <v>0.99668971304275522</v>
      </c>
      <c r="BD454">
        <v>0.16525480268055562</v>
      </c>
      <c r="BE454">
        <v>6.0512613478050703</v>
      </c>
      <c r="BF454">
        <v>2.25</v>
      </c>
      <c r="BG454">
        <v>0.42893401015228422</v>
      </c>
      <c r="BK454">
        <v>-0.26367920747172857</v>
      </c>
      <c r="BL454">
        <v>-0.18990176522113891</v>
      </c>
      <c r="BM454">
        <v>0</v>
      </c>
      <c r="BN454">
        <v>0</v>
      </c>
      <c r="BO454" t="s">
        <v>193</v>
      </c>
      <c r="BP454">
        <v>0</v>
      </c>
    </row>
  </sheetData>
  <mergeCells count="14">
    <mergeCell ref="Q12:S12"/>
    <mergeCell ref="BD9:BE9"/>
    <mergeCell ref="BF9:BH9"/>
    <mergeCell ref="BI9:BJ9"/>
    <mergeCell ref="B1:E1"/>
    <mergeCell ref="O2:P2"/>
    <mergeCell ref="O12:P12"/>
    <mergeCell ref="T12:U12"/>
    <mergeCell ref="T2:U2"/>
    <mergeCell ref="T4:T5"/>
    <mergeCell ref="U4:U5"/>
    <mergeCell ref="F1:I1"/>
    <mergeCell ref="Q2:S2"/>
    <mergeCell ref="S4:S5"/>
  </mergeCells>
  <conditionalFormatting sqref="B3:B33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:C33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3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33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33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33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33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34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23:AS3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4:V5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4:W5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4:X5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4:Y5">
    <cfRule type="cellIs" dxfId="26" priority="24" operator="greaterThanOrEqual">
      <formula>3.5</formula>
    </cfRule>
  </conditionalFormatting>
  <conditionalFormatting sqref="Z4:Z5">
    <cfRule type="cellIs" dxfId="25" priority="23" operator="equal">
      <formula>"BET"</formula>
    </cfRule>
  </conditionalFormatting>
  <dataValidations count="1">
    <dataValidation type="list" allowBlank="1" showInputMessage="1" showErrorMessage="1" sqref="M4:M5 BB14:BB15 BB11:BB12 BR11:BR12" xr:uid="{98F7FAE3-C621-4408-BFD8-E3A303A42FA0}">
      <formula1>$A$3:$A$33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opybet">
                <anchor moveWithCells="1" sizeWithCells="1">
                  <from>
                    <xdr:col>12</xdr:col>
                    <xdr:colOff>279400</xdr:colOff>
                    <xdr:row>7</xdr:row>
                    <xdr:rowOff>44450</xdr:rowOff>
                  </from>
                  <to>
                    <xdr:col>12</xdr:col>
                    <xdr:colOff>1549400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CBE2B-67C8-48F0-9A17-A593787B685D}">
  <sheetPr codeName="Sheet6"/>
  <dimension ref="A2:BT326"/>
  <sheetViews>
    <sheetView zoomScale="36" workbookViewId="0">
      <selection activeCell="H255" sqref="H255"/>
    </sheetView>
  </sheetViews>
  <sheetFormatPr defaultRowHeight="14.5" x14ac:dyDescent="0.35"/>
  <cols>
    <col min="1" max="1" width="11.26953125" bestFit="1" customWidth="1"/>
    <col min="2" max="2" width="19.6328125" bestFit="1" customWidth="1"/>
    <col min="3" max="3" width="6.453125" bestFit="1" customWidth="1"/>
    <col min="4" max="4" width="10" bestFit="1" customWidth="1"/>
    <col min="5" max="5" width="5.90625" bestFit="1" customWidth="1"/>
    <col min="6" max="6" width="4.81640625" bestFit="1" customWidth="1"/>
    <col min="7" max="7" width="7.08984375" bestFit="1" customWidth="1"/>
    <col min="8" max="8" width="8.36328125" bestFit="1" customWidth="1"/>
    <col min="9" max="9" width="9.1796875" bestFit="1" customWidth="1"/>
    <col min="10" max="10" width="10.26953125" bestFit="1" customWidth="1"/>
    <col min="11" max="11" width="8.6328125" bestFit="1" customWidth="1"/>
    <col min="12" max="12" width="8.90625" bestFit="1" customWidth="1"/>
    <col min="13" max="13" width="7.54296875" bestFit="1" customWidth="1"/>
    <col min="14" max="14" width="8.6328125" bestFit="1" customWidth="1"/>
    <col min="15" max="15" width="8.81640625" bestFit="1" customWidth="1"/>
    <col min="16" max="16" width="7.36328125" bestFit="1" customWidth="1"/>
    <col min="17" max="17" width="8.6328125" bestFit="1" customWidth="1"/>
    <col min="18" max="18" width="8.81640625" bestFit="1" customWidth="1"/>
    <col min="19" max="19" width="7.36328125" bestFit="1" customWidth="1"/>
    <col min="20" max="20" width="8.90625" bestFit="1" customWidth="1"/>
    <col min="21" max="21" width="9.1796875" bestFit="1" customWidth="1"/>
    <col min="22" max="22" width="7.81640625" bestFit="1" customWidth="1"/>
    <col min="23" max="23" width="9.81640625" bestFit="1" customWidth="1"/>
    <col min="24" max="24" width="10.08984375" bestFit="1" customWidth="1"/>
    <col min="25" max="25" width="8.6328125" bestFit="1" customWidth="1"/>
    <col min="26" max="26" width="9.6328125" bestFit="1" customWidth="1"/>
    <col min="27" max="27" width="9.81640625" bestFit="1" customWidth="1"/>
    <col min="28" max="28" width="8.36328125" bestFit="1" customWidth="1"/>
    <col min="29" max="29" width="10.90625" bestFit="1" customWidth="1"/>
    <col min="30" max="30" width="11.1796875" bestFit="1" customWidth="1"/>
    <col min="31" max="31" width="9.7265625" bestFit="1" customWidth="1"/>
    <col min="32" max="33" width="9.6328125" bestFit="1" customWidth="1"/>
    <col min="34" max="34" width="11.08984375" bestFit="1" customWidth="1"/>
    <col min="35" max="35" width="11.26953125" bestFit="1" customWidth="1"/>
    <col min="36" max="36" width="9.81640625" bestFit="1" customWidth="1"/>
    <col min="37" max="37" width="11.26953125" bestFit="1" customWidth="1"/>
    <col min="38" max="38" width="11.54296875" bestFit="1" customWidth="1"/>
    <col min="39" max="39" width="10.08984375" bestFit="1" customWidth="1"/>
    <col min="40" max="41" width="10" bestFit="1" customWidth="1"/>
    <col min="42" max="44" width="7.6328125" bestFit="1" customWidth="1"/>
  </cols>
  <sheetData>
    <row r="2" spans="1:44" x14ac:dyDescent="0.35">
      <c r="A2" s="80" t="s">
        <v>215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</row>
    <row r="3" spans="1:44" x14ac:dyDescent="0.35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</row>
    <row r="4" spans="1:44" x14ac:dyDescent="0.35">
      <c r="A4" t="s">
        <v>79</v>
      </c>
      <c r="B4" t="s">
        <v>0</v>
      </c>
      <c r="C4" t="s">
        <v>1</v>
      </c>
      <c r="D4" t="s">
        <v>90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91</v>
      </c>
      <c r="L4" t="s">
        <v>92</v>
      </c>
      <c r="M4" t="s">
        <v>8</v>
      </c>
      <c r="N4" t="s">
        <v>93</v>
      </c>
      <c r="O4" t="s">
        <v>94</v>
      </c>
      <c r="P4" t="s">
        <v>9</v>
      </c>
      <c r="Q4" t="s">
        <v>95</v>
      </c>
      <c r="R4" t="s">
        <v>71</v>
      </c>
      <c r="S4" t="s">
        <v>10</v>
      </c>
      <c r="T4" t="s">
        <v>96</v>
      </c>
      <c r="U4" t="s">
        <v>97</v>
      </c>
      <c r="V4" t="s">
        <v>11</v>
      </c>
      <c r="W4" t="s">
        <v>98</v>
      </c>
      <c r="X4" t="s">
        <v>99</v>
      </c>
      <c r="Y4" t="s">
        <v>14</v>
      </c>
      <c r="Z4" t="s">
        <v>100</v>
      </c>
      <c r="AA4" t="s">
        <v>101</v>
      </c>
      <c r="AB4" t="s">
        <v>15</v>
      </c>
      <c r="AC4" t="s">
        <v>104</v>
      </c>
      <c r="AD4" t="s">
        <v>105</v>
      </c>
      <c r="AE4" t="s">
        <v>17</v>
      </c>
      <c r="AF4" t="s">
        <v>18</v>
      </c>
      <c r="AG4" t="s">
        <v>19</v>
      </c>
      <c r="AH4" t="s">
        <v>106</v>
      </c>
      <c r="AI4" t="s">
        <v>107</v>
      </c>
      <c r="AJ4" t="s">
        <v>20</v>
      </c>
      <c r="AK4" t="s">
        <v>109</v>
      </c>
      <c r="AL4" t="s">
        <v>73</v>
      </c>
      <c r="AM4" t="s">
        <v>22</v>
      </c>
      <c r="AN4" t="s">
        <v>23</v>
      </c>
      <c r="AO4" t="s">
        <v>24</v>
      </c>
      <c r="AP4" t="s">
        <v>35</v>
      </c>
      <c r="AQ4" t="s">
        <v>36</v>
      </c>
      <c r="AR4" t="s">
        <v>37</v>
      </c>
    </row>
    <row r="5" spans="1:44" x14ac:dyDescent="0.35">
      <c r="A5">
        <v>1</v>
      </c>
      <c r="B5" t="s">
        <v>38</v>
      </c>
      <c r="C5">
        <v>10</v>
      </c>
      <c r="D5" t="s">
        <v>364</v>
      </c>
      <c r="E5">
        <v>2</v>
      </c>
      <c r="F5">
        <v>6</v>
      </c>
      <c r="G5">
        <v>2</v>
      </c>
      <c r="H5">
        <v>1</v>
      </c>
      <c r="I5">
        <v>6</v>
      </c>
      <c r="J5">
        <v>0.3</v>
      </c>
      <c r="K5">
        <v>54.83</v>
      </c>
      <c r="L5">
        <v>54.37</v>
      </c>
      <c r="M5">
        <v>50.21</v>
      </c>
      <c r="N5">
        <v>41.01</v>
      </c>
      <c r="O5">
        <v>38.9</v>
      </c>
      <c r="P5">
        <v>51.32</v>
      </c>
      <c r="Q5">
        <v>26.25</v>
      </c>
      <c r="R5">
        <v>28.12</v>
      </c>
      <c r="S5">
        <v>48.28</v>
      </c>
      <c r="T5">
        <v>2.11</v>
      </c>
      <c r="U5">
        <v>3.05</v>
      </c>
      <c r="V5">
        <v>40.909999999999997</v>
      </c>
      <c r="W5">
        <v>2.34</v>
      </c>
      <c r="X5">
        <v>2.5</v>
      </c>
      <c r="Y5">
        <v>48.41</v>
      </c>
      <c r="Z5">
        <v>26.71</v>
      </c>
      <c r="AA5">
        <v>29.29</v>
      </c>
      <c r="AB5">
        <v>47.7</v>
      </c>
      <c r="AC5">
        <v>1.87</v>
      </c>
      <c r="AD5">
        <v>2.93</v>
      </c>
      <c r="AE5">
        <v>39.020000000000003</v>
      </c>
      <c r="AF5">
        <v>12.31</v>
      </c>
      <c r="AG5">
        <v>83.66</v>
      </c>
      <c r="AH5">
        <v>11.6</v>
      </c>
      <c r="AI5">
        <v>11.37</v>
      </c>
      <c r="AJ5">
        <v>50.51</v>
      </c>
      <c r="AK5">
        <v>1.17</v>
      </c>
      <c r="AL5">
        <v>1.99</v>
      </c>
      <c r="AM5">
        <v>37.04</v>
      </c>
      <c r="AN5">
        <v>15.38</v>
      </c>
      <c r="AO5">
        <v>77.63</v>
      </c>
      <c r="AP5">
        <v>8.0399999999999991</v>
      </c>
      <c r="AQ5">
        <v>89.17</v>
      </c>
      <c r="AR5">
        <v>0.97199999999999998</v>
      </c>
    </row>
    <row r="6" spans="1:44" x14ac:dyDescent="0.35">
      <c r="A6">
        <v>2</v>
      </c>
      <c r="B6" t="s">
        <v>39</v>
      </c>
      <c r="C6">
        <v>10</v>
      </c>
      <c r="D6" t="s">
        <v>365</v>
      </c>
      <c r="E6">
        <v>4</v>
      </c>
      <c r="F6">
        <v>4</v>
      </c>
      <c r="G6">
        <v>2</v>
      </c>
      <c r="H6">
        <v>3</v>
      </c>
      <c r="I6">
        <v>10</v>
      </c>
      <c r="J6">
        <v>0.5</v>
      </c>
      <c r="K6">
        <v>47.41</v>
      </c>
      <c r="L6">
        <v>54.25</v>
      </c>
      <c r="M6">
        <v>46.64</v>
      </c>
      <c r="N6">
        <v>35.26</v>
      </c>
      <c r="O6">
        <v>42.22</v>
      </c>
      <c r="P6">
        <v>45.51</v>
      </c>
      <c r="Q6">
        <v>25.24</v>
      </c>
      <c r="R6">
        <v>29.13</v>
      </c>
      <c r="S6">
        <v>46.42</v>
      </c>
      <c r="T6">
        <v>2.48</v>
      </c>
      <c r="U6">
        <v>3.18</v>
      </c>
      <c r="V6">
        <v>43.75</v>
      </c>
      <c r="W6">
        <v>2.06</v>
      </c>
      <c r="X6">
        <v>2.4300000000000002</v>
      </c>
      <c r="Y6">
        <v>45.94</v>
      </c>
      <c r="Z6">
        <v>23.23</v>
      </c>
      <c r="AA6">
        <v>25.48</v>
      </c>
      <c r="AB6">
        <v>47.7</v>
      </c>
      <c r="AC6">
        <v>2.2400000000000002</v>
      </c>
      <c r="AD6">
        <v>2.59</v>
      </c>
      <c r="AE6">
        <v>46.34</v>
      </c>
      <c r="AF6">
        <v>16.96</v>
      </c>
      <c r="AG6">
        <v>82.54</v>
      </c>
      <c r="AH6">
        <v>10.26</v>
      </c>
      <c r="AI6">
        <v>11.2</v>
      </c>
      <c r="AJ6">
        <v>47.8</v>
      </c>
      <c r="AK6">
        <v>1.06</v>
      </c>
      <c r="AL6">
        <v>1.3</v>
      </c>
      <c r="AM6">
        <v>45</v>
      </c>
      <c r="AN6">
        <v>15.79</v>
      </c>
      <c r="AO6">
        <v>83.08</v>
      </c>
      <c r="AP6">
        <v>9.81</v>
      </c>
      <c r="AQ6">
        <v>89.07</v>
      </c>
      <c r="AR6">
        <v>0.98899999999999999</v>
      </c>
    </row>
    <row r="7" spans="1:44" x14ac:dyDescent="0.35">
      <c r="A7">
        <v>3</v>
      </c>
      <c r="B7" t="s">
        <v>40</v>
      </c>
      <c r="C7">
        <v>9</v>
      </c>
      <c r="D7" t="s">
        <v>366</v>
      </c>
      <c r="E7">
        <v>6</v>
      </c>
      <c r="F7">
        <v>2</v>
      </c>
      <c r="G7">
        <v>1</v>
      </c>
      <c r="H7">
        <v>5</v>
      </c>
      <c r="I7">
        <v>13</v>
      </c>
      <c r="J7">
        <v>0.72199999999999998</v>
      </c>
      <c r="K7">
        <v>50.68</v>
      </c>
      <c r="L7">
        <v>46.55</v>
      </c>
      <c r="M7">
        <v>52.12</v>
      </c>
      <c r="N7">
        <v>39.71</v>
      </c>
      <c r="O7">
        <v>35.85</v>
      </c>
      <c r="P7">
        <v>52.56</v>
      </c>
      <c r="Q7">
        <v>28.63</v>
      </c>
      <c r="R7">
        <v>23.6</v>
      </c>
      <c r="S7">
        <v>54.81</v>
      </c>
      <c r="T7">
        <v>2.84</v>
      </c>
      <c r="U7">
        <v>1.68</v>
      </c>
      <c r="V7">
        <v>62.86</v>
      </c>
      <c r="W7">
        <v>1.85</v>
      </c>
      <c r="X7">
        <v>1.73</v>
      </c>
      <c r="Y7">
        <v>51.67</v>
      </c>
      <c r="Z7">
        <v>25.27</v>
      </c>
      <c r="AA7">
        <v>22.18</v>
      </c>
      <c r="AB7">
        <v>53.26</v>
      </c>
      <c r="AC7">
        <v>2.4500000000000002</v>
      </c>
      <c r="AD7">
        <v>1.68</v>
      </c>
      <c r="AE7">
        <v>59.38</v>
      </c>
      <c r="AF7">
        <v>15.2</v>
      </c>
      <c r="AG7">
        <v>86.87</v>
      </c>
      <c r="AH7">
        <v>9.0299999999999994</v>
      </c>
      <c r="AI7">
        <v>7.35</v>
      </c>
      <c r="AJ7">
        <v>55.12</v>
      </c>
      <c r="AK7">
        <v>1.29</v>
      </c>
      <c r="AL7">
        <v>1.1599999999999999</v>
      </c>
      <c r="AM7">
        <v>52.63</v>
      </c>
      <c r="AN7">
        <v>17.54</v>
      </c>
      <c r="AO7">
        <v>80.849999999999994</v>
      </c>
      <c r="AP7">
        <v>9.91</v>
      </c>
      <c r="AQ7">
        <v>92.9</v>
      </c>
      <c r="AR7">
        <v>1.028</v>
      </c>
    </row>
    <row r="8" spans="1:44" x14ac:dyDescent="0.35">
      <c r="A8">
        <v>4</v>
      </c>
      <c r="B8" t="s">
        <v>41</v>
      </c>
      <c r="C8">
        <v>10</v>
      </c>
      <c r="D8" t="s">
        <v>367</v>
      </c>
      <c r="E8">
        <v>2</v>
      </c>
      <c r="F8">
        <v>6</v>
      </c>
      <c r="G8">
        <v>2</v>
      </c>
      <c r="H8">
        <v>1</v>
      </c>
      <c r="I8">
        <v>6</v>
      </c>
      <c r="J8">
        <v>0.3</v>
      </c>
      <c r="K8">
        <v>46.55</v>
      </c>
      <c r="L8">
        <v>53.76</v>
      </c>
      <c r="M8">
        <v>46.4</v>
      </c>
      <c r="N8">
        <v>36.08</v>
      </c>
      <c r="O8">
        <v>43.78</v>
      </c>
      <c r="P8">
        <v>45.18</v>
      </c>
      <c r="Q8">
        <v>24.9</v>
      </c>
      <c r="R8">
        <v>32.840000000000003</v>
      </c>
      <c r="S8">
        <v>43.13</v>
      </c>
      <c r="T8">
        <v>0.84</v>
      </c>
      <c r="U8">
        <v>3.37</v>
      </c>
      <c r="V8">
        <v>20</v>
      </c>
      <c r="W8">
        <v>1.96</v>
      </c>
      <c r="X8">
        <v>2.94</v>
      </c>
      <c r="Y8">
        <v>39.97</v>
      </c>
      <c r="Z8">
        <v>20.57</v>
      </c>
      <c r="AA8">
        <v>25.26</v>
      </c>
      <c r="AB8">
        <v>44.88</v>
      </c>
      <c r="AC8">
        <v>0.6</v>
      </c>
      <c r="AD8">
        <v>2.89</v>
      </c>
      <c r="AE8">
        <v>17.239999999999998</v>
      </c>
      <c r="AF8">
        <v>5.56</v>
      </c>
      <c r="AG8">
        <v>82.61</v>
      </c>
      <c r="AH8">
        <v>10.46</v>
      </c>
      <c r="AI8">
        <v>12.87</v>
      </c>
      <c r="AJ8">
        <v>44.85</v>
      </c>
      <c r="AK8">
        <v>0.48</v>
      </c>
      <c r="AL8">
        <v>1.2</v>
      </c>
      <c r="AM8">
        <v>28.57</v>
      </c>
      <c r="AN8">
        <v>6.9</v>
      </c>
      <c r="AO8">
        <v>87.8</v>
      </c>
      <c r="AP8">
        <v>3.38</v>
      </c>
      <c r="AQ8">
        <v>89.74</v>
      </c>
      <c r="AR8">
        <v>0.93100000000000005</v>
      </c>
    </row>
    <row r="9" spans="1:44" x14ac:dyDescent="0.35">
      <c r="A9">
        <v>5</v>
      </c>
      <c r="B9" t="s">
        <v>42</v>
      </c>
      <c r="C9">
        <v>10</v>
      </c>
      <c r="D9" t="s">
        <v>368</v>
      </c>
      <c r="E9">
        <v>8</v>
      </c>
      <c r="F9">
        <v>1</v>
      </c>
      <c r="G9">
        <v>1</v>
      </c>
      <c r="H9">
        <v>7</v>
      </c>
      <c r="I9">
        <v>17</v>
      </c>
      <c r="J9">
        <v>0.85</v>
      </c>
      <c r="K9">
        <v>61.9</v>
      </c>
      <c r="L9">
        <v>53.96</v>
      </c>
      <c r="M9">
        <v>53.42</v>
      </c>
      <c r="N9">
        <v>48.59</v>
      </c>
      <c r="O9">
        <v>42.61</v>
      </c>
      <c r="P9">
        <v>53.28</v>
      </c>
      <c r="Q9">
        <v>31.99</v>
      </c>
      <c r="R9">
        <v>28.57</v>
      </c>
      <c r="S9">
        <v>52.82</v>
      </c>
      <c r="T9">
        <v>2.93</v>
      </c>
      <c r="U9">
        <v>2.08</v>
      </c>
      <c r="V9">
        <v>58.54</v>
      </c>
      <c r="W9">
        <v>3.29</v>
      </c>
      <c r="X9">
        <v>2.66</v>
      </c>
      <c r="Y9">
        <v>55.33</v>
      </c>
      <c r="Z9">
        <v>31.62</v>
      </c>
      <c r="AA9">
        <v>26.49</v>
      </c>
      <c r="AB9">
        <v>54.41</v>
      </c>
      <c r="AC9">
        <v>2.3199999999999998</v>
      </c>
      <c r="AD9">
        <v>1.71</v>
      </c>
      <c r="AE9">
        <v>57.58</v>
      </c>
      <c r="AF9">
        <v>13.29</v>
      </c>
      <c r="AG9">
        <v>88.52</v>
      </c>
      <c r="AH9">
        <v>14.41</v>
      </c>
      <c r="AI9">
        <v>12.58</v>
      </c>
      <c r="AJ9">
        <v>53.39</v>
      </c>
      <c r="AK9">
        <v>1.95</v>
      </c>
      <c r="AL9">
        <v>0.98</v>
      </c>
      <c r="AM9">
        <v>66.67</v>
      </c>
      <c r="AN9">
        <v>19.510000000000002</v>
      </c>
      <c r="AO9">
        <v>88.24</v>
      </c>
      <c r="AP9">
        <v>9.16</v>
      </c>
      <c r="AQ9">
        <v>92.74</v>
      </c>
      <c r="AR9">
        <v>1.0189999999999999</v>
      </c>
    </row>
    <row r="10" spans="1:44" x14ac:dyDescent="0.35">
      <c r="A10">
        <v>6</v>
      </c>
      <c r="B10" t="s">
        <v>43</v>
      </c>
      <c r="C10">
        <v>10</v>
      </c>
      <c r="D10" t="s">
        <v>369</v>
      </c>
      <c r="E10">
        <v>5</v>
      </c>
      <c r="F10">
        <v>4</v>
      </c>
      <c r="G10">
        <v>1</v>
      </c>
      <c r="H10">
        <v>4</v>
      </c>
      <c r="I10">
        <v>11</v>
      </c>
      <c r="J10">
        <v>0.55000000000000004</v>
      </c>
      <c r="K10">
        <v>45.67</v>
      </c>
      <c r="L10">
        <v>56.34</v>
      </c>
      <c r="M10">
        <v>44.77</v>
      </c>
      <c r="N10">
        <v>35.78</v>
      </c>
      <c r="O10">
        <v>42.26</v>
      </c>
      <c r="P10">
        <v>45.85</v>
      </c>
      <c r="Q10">
        <v>25.79</v>
      </c>
      <c r="R10">
        <v>29.65</v>
      </c>
      <c r="S10">
        <v>46.52</v>
      </c>
      <c r="T10">
        <v>2.39</v>
      </c>
      <c r="U10">
        <v>2.61</v>
      </c>
      <c r="V10">
        <v>47.73</v>
      </c>
      <c r="W10">
        <v>1.72</v>
      </c>
      <c r="X10">
        <v>2.27</v>
      </c>
      <c r="Y10">
        <v>43.06</v>
      </c>
      <c r="Z10">
        <v>19.079999999999998</v>
      </c>
      <c r="AA10">
        <v>23.63</v>
      </c>
      <c r="AB10">
        <v>44.68</v>
      </c>
      <c r="AC10">
        <v>1.1399999999999999</v>
      </c>
      <c r="AD10">
        <v>2.04</v>
      </c>
      <c r="AE10">
        <v>35.71</v>
      </c>
      <c r="AF10">
        <v>10.199999999999999</v>
      </c>
      <c r="AG10">
        <v>85</v>
      </c>
      <c r="AH10">
        <v>6.59</v>
      </c>
      <c r="AI10">
        <v>8.75</v>
      </c>
      <c r="AJ10">
        <v>42.96</v>
      </c>
      <c r="AK10">
        <v>0.68</v>
      </c>
      <c r="AL10">
        <v>1.48</v>
      </c>
      <c r="AM10">
        <v>31.58</v>
      </c>
      <c r="AN10">
        <v>14.63</v>
      </c>
      <c r="AO10">
        <v>76.790000000000006</v>
      </c>
      <c r="AP10">
        <v>9.25</v>
      </c>
      <c r="AQ10">
        <v>91.19</v>
      </c>
      <c r="AR10">
        <v>1.004</v>
      </c>
    </row>
    <row r="11" spans="1:44" x14ac:dyDescent="0.35">
      <c r="A11">
        <v>7</v>
      </c>
      <c r="B11" t="s">
        <v>44</v>
      </c>
      <c r="C11">
        <v>10</v>
      </c>
      <c r="D11" t="s">
        <v>370</v>
      </c>
      <c r="E11">
        <v>5</v>
      </c>
      <c r="F11">
        <v>4</v>
      </c>
      <c r="G11">
        <v>1</v>
      </c>
      <c r="H11">
        <v>5</v>
      </c>
      <c r="I11">
        <v>11</v>
      </c>
      <c r="J11">
        <v>0.55000000000000004</v>
      </c>
      <c r="K11">
        <v>56.63</v>
      </c>
      <c r="L11">
        <v>45.23</v>
      </c>
      <c r="M11">
        <v>55.6</v>
      </c>
      <c r="N11">
        <v>43.78</v>
      </c>
      <c r="O11">
        <v>35.53</v>
      </c>
      <c r="P11">
        <v>55.2</v>
      </c>
      <c r="Q11">
        <v>29.71</v>
      </c>
      <c r="R11">
        <v>27.17</v>
      </c>
      <c r="S11">
        <v>52.24</v>
      </c>
      <c r="T11">
        <v>2.91</v>
      </c>
      <c r="U11">
        <v>2.67</v>
      </c>
      <c r="V11">
        <v>52.17</v>
      </c>
      <c r="W11">
        <v>2.52</v>
      </c>
      <c r="X11">
        <v>1.84</v>
      </c>
      <c r="Y11">
        <v>57.74</v>
      </c>
      <c r="Z11">
        <v>28.5</v>
      </c>
      <c r="AA11">
        <v>20.98</v>
      </c>
      <c r="AB11">
        <v>57.6</v>
      </c>
      <c r="AC11">
        <v>2.79</v>
      </c>
      <c r="AD11">
        <v>2.1800000000000002</v>
      </c>
      <c r="AE11">
        <v>56.1</v>
      </c>
      <c r="AF11">
        <v>15.03</v>
      </c>
      <c r="AG11">
        <v>84.75</v>
      </c>
      <c r="AH11">
        <v>11.52</v>
      </c>
      <c r="AI11">
        <v>8.49</v>
      </c>
      <c r="AJ11">
        <v>57.58</v>
      </c>
      <c r="AK11">
        <v>1.58</v>
      </c>
      <c r="AL11">
        <v>1.46</v>
      </c>
      <c r="AM11">
        <v>52</v>
      </c>
      <c r="AN11">
        <v>17.11</v>
      </c>
      <c r="AO11">
        <v>79.66</v>
      </c>
      <c r="AP11">
        <v>9.8000000000000007</v>
      </c>
      <c r="AQ11">
        <v>90.18</v>
      </c>
      <c r="AR11">
        <v>1</v>
      </c>
    </row>
    <row r="12" spans="1:44" x14ac:dyDescent="0.35">
      <c r="A12">
        <v>8</v>
      </c>
      <c r="B12" t="s">
        <v>45</v>
      </c>
      <c r="C12">
        <v>10</v>
      </c>
      <c r="D12" t="s">
        <v>371</v>
      </c>
      <c r="E12">
        <v>5</v>
      </c>
      <c r="F12">
        <v>3</v>
      </c>
      <c r="G12">
        <v>2</v>
      </c>
      <c r="H12">
        <v>4</v>
      </c>
      <c r="I12">
        <v>12</v>
      </c>
      <c r="J12">
        <v>0.6</v>
      </c>
      <c r="K12">
        <v>54.67</v>
      </c>
      <c r="L12">
        <v>61.77</v>
      </c>
      <c r="M12">
        <v>46.95</v>
      </c>
      <c r="N12">
        <v>37.590000000000003</v>
      </c>
      <c r="O12">
        <v>45.84</v>
      </c>
      <c r="P12">
        <v>45.05</v>
      </c>
      <c r="Q12">
        <v>30.49</v>
      </c>
      <c r="R12">
        <v>37.590000000000003</v>
      </c>
      <c r="S12">
        <v>44.78</v>
      </c>
      <c r="T12">
        <v>3.32</v>
      </c>
      <c r="U12">
        <v>2.75</v>
      </c>
      <c r="V12">
        <v>54.72</v>
      </c>
      <c r="W12">
        <v>2.2200000000000002</v>
      </c>
      <c r="X12">
        <v>2.77</v>
      </c>
      <c r="Y12">
        <v>44.46</v>
      </c>
      <c r="Z12">
        <v>28.54</v>
      </c>
      <c r="AA12">
        <v>30.37</v>
      </c>
      <c r="AB12">
        <v>48.44</v>
      </c>
      <c r="AC12">
        <v>3.09</v>
      </c>
      <c r="AD12">
        <v>2.75</v>
      </c>
      <c r="AE12">
        <v>52.94</v>
      </c>
      <c r="AF12">
        <v>17.760000000000002</v>
      </c>
      <c r="AG12">
        <v>86.67</v>
      </c>
      <c r="AH12">
        <v>10.89</v>
      </c>
      <c r="AI12">
        <v>12.03</v>
      </c>
      <c r="AJ12">
        <v>47.5</v>
      </c>
      <c r="AK12">
        <v>2.1800000000000002</v>
      </c>
      <c r="AL12">
        <v>2.06</v>
      </c>
      <c r="AM12">
        <v>51.35</v>
      </c>
      <c r="AN12">
        <v>25</v>
      </c>
      <c r="AO12">
        <v>79.55</v>
      </c>
      <c r="AP12">
        <v>10.9</v>
      </c>
      <c r="AQ12">
        <v>92.68</v>
      </c>
      <c r="AR12">
        <v>1.036</v>
      </c>
    </row>
    <row r="13" spans="1:44" x14ac:dyDescent="0.35">
      <c r="A13">
        <v>9</v>
      </c>
      <c r="B13" t="s">
        <v>46</v>
      </c>
      <c r="C13">
        <v>10</v>
      </c>
      <c r="D13" t="s">
        <v>337</v>
      </c>
      <c r="E13">
        <v>6</v>
      </c>
      <c r="F13">
        <v>3</v>
      </c>
      <c r="G13">
        <v>1</v>
      </c>
      <c r="H13">
        <v>6</v>
      </c>
      <c r="I13">
        <v>13</v>
      </c>
      <c r="J13">
        <v>0.65</v>
      </c>
      <c r="K13">
        <v>60.01</v>
      </c>
      <c r="L13">
        <v>46.12</v>
      </c>
      <c r="M13">
        <v>56.55</v>
      </c>
      <c r="N13">
        <v>42.16</v>
      </c>
      <c r="O13">
        <v>34.380000000000003</v>
      </c>
      <c r="P13">
        <v>55.09</v>
      </c>
      <c r="Q13">
        <v>31.38</v>
      </c>
      <c r="R13">
        <v>25.75</v>
      </c>
      <c r="S13">
        <v>54.93</v>
      </c>
      <c r="T13">
        <v>2.64</v>
      </c>
      <c r="U13">
        <v>2.52</v>
      </c>
      <c r="V13">
        <v>51.16</v>
      </c>
      <c r="W13">
        <v>2.21</v>
      </c>
      <c r="X13">
        <v>1.83</v>
      </c>
      <c r="Y13">
        <v>54.8</v>
      </c>
      <c r="Z13">
        <v>23.84</v>
      </c>
      <c r="AA13">
        <v>20</v>
      </c>
      <c r="AB13">
        <v>54.37</v>
      </c>
      <c r="AC13">
        <v>2.16</v>
      </c>
      <c r="AD13">
        <v>2.16</v>
      </c>
      <c r="AE13">
        <v>50</v>
      </c>
      <c r="AF13">
        <v>15.25</v>
      </c>
      <c r="AG13">
        <v>83.18</v>
      </c>
      <c r="AH13">
        <v>9.34</v>
      </c>
      <c r="AI13">
        <v>8.27</v>
      </c>
      <c r="AJ13">
        <v>53.06</v>
      </c>
      <c r="AK13">
        <v>1.56</v>
      </c>
      <c r="AL13">
        <v>1.44</v>
      </c>
      <c r="AM13">
        <v>52</v>
      </c>
      <c r="AN13">
        <v>23.21</v>
      </c>
      <c r="AO13">
        <v>76.92</v>
      </c>
      <c r="AP13">
        <v>8.4</v>
      </c>
      <c r="AQ13">
        <v>90.23</v>
      </c>
      <c r="AR13">
        <v>0.98599999999999999</v>
      </c>
    </row>
    <row r="14" spans="1:44" x14ac:dyDescent="0.35">
      <c r="A14">
        <v>10</v>
      </c>
      <c r="B14" t="s">
        <v>47</v>
      </c>
      <c r="C14">
        <v>10</v>
      </c>
      <c r="D14" t="s">
        <v>372</v>
      </c>
      <c r="E14">
        <v>3</v>
      </c>
      <c r="F14">
        <v>3</v>
      </c>
      <c r="G14">
        <v>4</v>
      </c>
      <c r="H14">
        <v>3</v>
      </c>
      <c r="I14">
        <v>10</v>
      </c>
      <c r="J14">
        <v>0.5</v>
      </c>
      <c r="K14">
        <v>57.92</v>
      </c>
      <c r="L14">
        <v>46.6</v>
      </c>
      <c r="M14">
        <v>55.41</v>
      </c>
      <c r="N14">
        <v>40.76</v>
      </c>
      <c r="O14">
        <v>34.31</v>
      </c>
      <c r="P14">
        <v>54.29</v>
      </c>
      <c r="Q14">
        <v>28.47</v>
      </c>
      <c r="R14">
        <v>22.87</v>
      </c>
      <c r="S14">
        <v>55.45</v>
      </c>
      <c r="T14">
        <v>2.4300000000000002</v>
      </c>
      <c r="U14">
        <v>1.95</v>
      </c>
      <c r="V14">
        <v>55.56</v>
      </c>
      <c r="W14">
        <v>2.12</v>
      </c>
      <c r="X14">
        <v>1.84</v>
      </c>
      <c r="Y14">
        <v>53.52</v>
      </c>
      <c r="Z14">
        <v>26.65</v>
      </c>
      <c r="AA14">
        <v>21.29</v>
      </c>
      <c r="AB14">
        <v>55.58</v>
      </c>
      <c r="AC14">
        <v>2.0699999999999998</v>
      </c>
      <c r="AD14">
        <v>1.7</v>
      </c>
      <c r="AE14">
        <v>54.84</v>
      </c>
      <c r="AF14">
        <v>13.93</v>
      </c>
      <c r="AG14">
        <v>85.57</v>
      </c>
      <c r="AH14">
        <v>10.71</v>
      </c>
      <c r="AI14">
        <v>7.54</v>
      </c>
      <c r="AJ14">
        <v>58.67</v>
      </c>
      <c r="AK14">
        <v>1.22</v>
      </c>
      <c r="AL14">
        <v>1.58</v>
      </c>
      <c r="AM14">
        <v>43.48</v>
      </c>
      <c r="AN14">
        <v>15.63</v>
      </c>
      <c r="AO14">
        <v>68.290000000000006</v>
      </c>
      <c r="AP14">
        <v>8.5500000000000007</v>
      </c>
      <c r="AQ14">
        <v>91.49</v>
      </c>
      <c r="AR14">
        <v>1</v>
      </c>
    </row>
    <row r="15" spans="1:44" x14ac:dyDescent="0.35">
      <c r="A15">
        <v>11</v>
      </c>
      <c r="B15" t="s">
        <v>48</v>
      </c>
      <c r="C15">
        <v>10</v>
      </c>
      <c r="D15" t="s">
        <v>373</v>
      </c>
      <c r="E15">
        <v>3</v>
      </c>
      <c r="F15">
        <v>5</v>
      </c>
      <c r="G15">
        <v>2</v>
      </c>
      <c r="H15">
        <v>3</v>
      </c>
      <c r="I15">
        <v>8</v>
      </c>
      <c r="J15">
        <v>0.4</v>
      </c>
      <c r="K15">
        <v>52.65</v>
      </c>
      <c r="L15">
        <v>51.83</v>
      </c>
      <c r="M15">
        <v>50.39</v>
      </c>
      <c r="N15">
        <v>41.84</v>
      </c>
      <c r="O15">
        <v>40.07</v>
      </c>
      <c r="P15">
        <v>51.08</v>
      </c>
      <c r="Q15">
        <v>30.32</v>
      </c>
      <c r="R15">
        <v>30.2</v>
      </c>
      <c r="S15">
        <v>50.1</v>
      </c>
      <c r="T15">
        <v>2.23</v>
      </c>
      <c r="U15">
        <v>2.12</v>
      </c>
      <c r="V15">
        <v>51.35</v>
      </c>
      <c r="W15">
        <v>2.14</v>
      </c>
      <c r="X15">
        <v>2.0499999999999998</v>
      </c>
      <c r="Y15">
        <v>51.01</v>
      </c>
      <c r="Z15">
        <v>22.56</v>
      </c>
      <c r="AA15">
        <v>21.62</v>
      </c>
      <c r="AB15">
        <v>51.06</v>
      </c>
      <c r="AC15">
        <v>1.65</v>
      </c>
      <c r="AD15">
        <v>1.65</v>
      </c>
      <c r="AE15">
        <v>50</v>
      </c>
      <c r="AF15">
        <v>12.5</v>
      </c>
      <c r="AG15">
        <v>88.62</v>
      </c>
      <c r="AH15">
        <v>8.23</v>
      </c>
      <c r="AI15">
        <v>8.34</v>
      </c>
      <c r="AJ15">
        <v>49.65</v>
      </c>
      <c r="AK15">
        <v>1.41</v>
      </c>
      <c r="AL15">
        <v>1.18</v>
      </c>
      <c r="AM15">
        <v>54.55</v>
      </c>
      <c r="AN15">
        <v>24.49</v>
      </c>
      <c r="AO15">
        <v>83.05</v>
      </c>
      <c r="AP15">
        <v>7.36</v>
      </c>
      <c r="AQ15">
        <v>93</v>
      </c>
      <c r="AR15">
        <v>1.004</v>
      </c>
    </row>
    <row r="16" spans="1:44" x14ac:dyDescent="0.35">
      <c r="A16">
        <v>12</v>
      </c>
      <c r="B16" t="s">
        <v>49</v>
      </c>
      <c r="C16">
        <v>10</v>
      </c>
      <c r="D16" t="s">
        <v>374</v>
      </c>
      <c r="E16">
        <v>6</v>
      </c>
      <c r="F16">
        <v>4</v>
      </c>
      <c r="G16">
        <v>0</v>
      </c>
      <c r="H16">
        <v>6</v>
      </c>
      <c r="I16">
        <v>12</v>
      </c>
      <c r="J16">
        <v>0.6</v>
      </c>
      <c r="K16">
        <v>55.98</v>
      </c>
      <c r="L16">
        <v>50.93</v>
      </c>
      <c r="M16">
        <v>52.36</v>
      </c>
      <c r="N16">
        <v>40.6</v>
      </c>
      <c r="O16">
        <v>39.28</v>
      </c>
      <c r="P16">
        <v>50.83</v>
      </c>
      <c r="Q16">
        <v>29.55</v>
      </c>
      <c r="R16">
        <v>29.55</v>
      </c>
      <c r="S16">
        <v>50</v>
      </c>
      <c r="T16">
        <v>3</v>
      </c>
      <c r="U16">
        <v>2.76</v>
      </c>
      <c r="V16">
        <v>52.08</v>
      </c>
      <c r="W16">
        <v>2.25</v>
      </c>
      <c r="X16">
        <v>2.31</v>
      </c>
      <c r="Y16">
        <v>49.29</v>
      </c>
      <c r="Z16">
        <v>25.47</v>
      </c>
      <c r="AA16">
        <v>25.47</v>
      </c>
      <c r="AB16">
        <v>50</v>
      </c>
      <c r="AC16">
        <v>2.88</v>
      </c>
      <c r="AD16">
        <v>2.16</v>
      </c>
      <c r="AE16">
        <v>57.14</v>
      </c>
      <c r="AF16">
        <v>20.34</v>
      </c>
      <c r="AG16">
        <v>86.86</v>
      </c>
      <c r="AH16">
        <v>9.61</v>
      </c>
      <c r="AI16">
        <v>10.45</v>
      </c>
      <c r="AJ16">
        <v>47.9</v>
      </c>
      <c r="AK16">
        <v>1.68</v>
      </c>
      <c r="AL16">
        <v>1.2</v>
      </c>
      <c r="AM16">
        <v>58.33</v>
      </c>
      <c r="AN16">
        <v>26.42</v>
      </c>
      <c r="AO16">
        <v>84.38</v>
      </c>
      <c r="AP16">
        <v>10.16</v>
      </c>
      <c r="AQ16">
        <v>90.65</v>
      </c>
      <c r="AR16">
        <v>1.008</v>
      </c>
    </row>
    <row r="17" spans="1:44" x14ac:dyDescent="0.35">
      <c r="A17">
        <v>13</v>
      </c>
      <c r="B17" t="s">
        <v>50</v>
      </c>
      <c r="C17">
        <v>10</v>
      </c>
      <c r="D17" t="s">
        <v>375</v>
      </c>
      <c r="E17">
        <v>5</v>
      </c>
      <c r="F17">
        <v>3</v>
      </c>
      <c r="G17">
        <v>2</v>
      </c>
      <c r="H17">
        <v>5</v>
      </c>
      <c r="I17">
        <v>12</v>
      </c>
      <c r="J17">
        <v>0.6</v>
      </c>
      <c r="K17">
        <v>55.34</v>
      </c>
      <c r="L17">
        <v>45.21</v>
      </c>
      <c r="M17">
        <v>55.04</v>
      </c>
      <c r="N17">
        <v>44.07</v>
      </c>
      <c r="O17">
        <v>35.979999999999997</v>
      </c>
      <c r="P17">
        <v>55.05</v>
      </c>
      <c r="Q17">
        <v>34.270000000000003</v>
      </c>
      <c r="R17">
        <v>28.47</v>
      </c>
      <c r="S17">
        <v>54.63</v>
      </c>
      <c r="T17">
        <v>2.16</v>
      </c>
      <c r="U17">
        <v>2.16</v>
      </c>
      <c r="V17">
        <v>50</v>
      </c>
      <c r="W17">
        <v>2.5099999999999998</v>
      </c>
      <c r="X17">
        <v>1.9</v>
      </c>
      <c r="Y17">
        <v>56.84</v>
      </c>
      <c r="Z17">
        <v>25.17</v>
      </c>
      <c r="AA17">
        <v>17.760000000000002</v>
      </c>
      <c r="AB17">
        <v>58.62</v>
      </c>
      <c r="AC17">
        <v>1.48</v>
      </c>
      <c r="AD17">
        <v>2.0499999999999998</v>
      </c>
      <c r="AE17">
        <v>41.94</v>
      </c>
      <c r="AF17">
        <v>8.9</v>
      </c>
      <c r="AG17">
        <v>84.35</v>
      </c>
      <c r="AH17">
        <v>8.77</v>
      </c>
      <c r="AI17">
        <v>7.06</v>
      </c>
      <c r="AJ17">
        <v>55.4</v>
      </c>
      <c r="AK17">
        <v>0.8</v>
      </c>
      <c r="AL17">
        <v>1.59</v>
      </c>
      <c r="AM17">
        <v>33.33</v>
      </c>
      <c r="AN17">
        <v>11.29</v>
      </c>
      <c r="AO17">
        <v>74.069999999999993</v>
      </c>
      <c r="AP17">
        <v>6.31</v>
      </c>
      <c r="AQ17">
        <v>92.4</v>
      </c>
      <c r="AR17">
        <v>0.98699999999999999</v>
      </c>
    </row>
    <row r="18" spans="1:44" x14ac:dyDescent="0.35">
      <c r="A18">
        <v>14</v>
      </c>
      <c r="B18" t="s">
        <v>51</v>
      </c>
      <c r="C18">
        <v>10</v>
      </c>
      <c r="D18" t="s">
        <v>376</v>
      </c>
      <c r="E18">
        <v>4</v>
      </c>
      <c r="F18">
        <v>3</v>
      </c>
      <c r="G18">
        <v>3</v>
      </c>
      <c r="H18">
        <v>4</v>
      </c>
      <c r="I18">
        <v>11</v>
      </c>
      <c r="J18">
        <v>0.55000000000000004</v>
      </c>
      <c r="K18">
        <v>47.79</v>
      </c>
      <c r="L18">
        <v>54.59</v>
      </c>
      <c r="M18">
        <v>46.68</v>
      </c>
      <c r="N18">
        <v>37.369999999999997</v>
      </c>
      <c r="O18">
        <v>43.46</v>
      </c>
      <c r="P18">
        <v>46.23</v>
      </c>
      <c r="Q18">
        <v>28</v>
      </c>
      <c r="R18">
        <v>29.99</v>
      </c>
      <c r="S18">
        <v>48.28</v>
      </c>
      <c r="T18">
        <v>2.34</v>
      </c>
      <c r="U18">
        <v>2.11</v>
      </c>
      <c r="V18">
        <v>52.63</v>
      </c>
      <c r="W18">
        <v>2.27</v>
      </c>
      <c r="X18">
        <v>2.91</v>
      </c>
      <c r="Y18">
        <v>43.83</v>
      </c>
      <c r="Z18">
        <v>22.37</v>
      </c>
      <c r="AA18">
        <v>29.75</v>
      </c>
      <c r="AB18">
        <v>42.92</v>
      </c>
      <c r="AC18">
        <v>2.11</v>
      </c>
      <c r="AD18">
        <v>2.11</v>
      </c>
      <c r="AE18">
        <v>50</v>
      </c>
      <c r="AF18">
        <v>15.13</v>
      </c>
      <c r="AG18">
        <v>88.16</v>
      </c>
      <c r="AH18">
        <v>9.14</v>
      </c>
      <c r="AI18">
        <v>13.47</v>
      </c>
      <c r="AJ18">
        <v>40.409999999999997</v>
      </c>
      <c r="AK18">
        <v>1.64</v>
      </c>
      <c r="AL18">
        <v>1.17</v>
      </c>
      <c r="AM18">
        <v>58.33</v>
      </c>
      <c r="AN18">
        <v>23.73</v>
      </c>
      <c r="AO18">
        <v>88.51</v>
      </c>
      <c r="AP18">
        <v>8.3699999999999992</v>
      </c>
      <c r="AQ18">
        <v>92.97</v>
      </c>
      <c r="AR18">
        <v>1.0129999999999999</v>
      </c>
    </row>
    <row r="19" spans="1:44" x14ac:dyDescent="0.35">
      <c r="A19">
        <v>15</v>
      </c>
      <c r="B19" t="s">
        <v>52</v>
      </c>
      <c r="C19">
        <v>8</v>
      </c>
      <c r="D19" t="s">
        <v>377</v>
      </c>
      <c r="E19">
        <v>5</v>
      </c>
      <c r="F19">
        <v>3</v>
      </c>
      <c r="G19">
        <v>0</v>
      </c>
      <c r="H19">
        <v>5</v>
      </c>
      <c r="I19">
        <v>10</v>
      </c>
      <c r="J19">
        <v>0.625</v>
      </c>
      <c r="K19">
        <v>55.46</v>
      </c>
      <c r="L19">
        <v>58.88</v>
      </c>
      <c r="M19">
        <v>48.5</v>
      </c>
      <c r="N19">
        <v>44.37</v>
      </c>
      <c r="O19">
        <v>40.78</v>
      </c>
      <c r="P19">
        <v>52.11</v>
      </c>
      <c r="Q19">
        <v>31.64</v>
      </c>
      <c r="R19">
        <v>29.36</v>
      </c>
      <c r="S19">
        <v>51.87</v>
      </c>
      <c r="T19">
        <v>3.91</v>
      </c>
      <c r="U19">
        <v>2.61</v>
      </c>
      <c r="V19">
        <v>60</v>
      </c>
      <c r="W19">
        <v>2.59</v>
      </c>
      <c r="X19">
        <v>1.92</v>
      </c>
      <c r="Y19">
        <v>57.43</v>
      </c>
      <c r="Z19">
        <v>25.28</v>
      </c>
      <c r="AA19">
        <v>21.2</v>
      </c>
      <c r="AB19">
        <v>54.39</v>
      </c>
      <c r="AC19">
        <v>3.43</v>
      </c>
      <c r="AD19">
        <v>1.79</v>
      </c>
      <c r="AE19">
        <v>65.63</v>
      </c>
      <c r="AF19">
        <v>21</v>
      </c>
      <c r="AG19">
        <v>85.33</v>
      </c>
      <c r="AH19">
        <v>13.38</v>
      </c>
      <c r="AI19">
        <v>6.52</v>
      </c>
      <c r="AJ19">
        <v>67.209999999999994</v>
      </c>
      <c r="AK19">
        <v>2.4500000000000002</v>
      </c>
      <c r="AL19">
        <v>0.98</v>
      </c>
      <c r="AM19">
        <v>71.430000000000007</v>
      </c>
      <c r="AN19">
        <v>25.86</v>
      </c>
      <c r="AO19">
        <v>80</v>
      </c>
      <c r="AP19">
        <v>12.37</v>
      </c>
      <c r="AQ19">
        <v>91.11</v>
      </c>
      <c r="AR19">
        <v>1.0349999999999999</v>
      </c>
    </row>
    <row r="20" spans="1:44" x14ac:dyDescent="0.35">
      <c r="A20">
        <v>16</v>
      </c>
      <c r="B20" t="s">
        <v>53</v>
      </c>
      <c r="C20">
        <v>10</v>
      </c>
      <c r="D20" t="s">
        <v>378</v>
      </c>
      <c r="E20">
        <v>4</v>
      </c>
      <c r="F20">
        <v>5</v>
      </c>
      <c r="G20">
        <v>1</v>
      </c>
      <c r="H20">
        <v>4</v>
      </c>
      <c r="I20">
        <v>9</v>
      </c>
      <c r="J20">
        <v>0.45</v>
      </c>
      <c r="K20">
        <v>62.92</v>
      </c>
      <c r="L20">
        <v>49.27</v>
      </c>
      <c r="M20">
        <v>56.08</v>
      </c>
      <c r="N20">
        <v>47.28</v>
      </c>
      <c r="O20">
        <v>37.4</v>
      </c>
      <c r="P20">
        <v>55.83</v>
      </c>
      <c r="Q20">
        <v>34.81</v>
      </c>
      <c r="R20">
        <v>28.11</v>
      </c>
      <c r="S20">
        <v>55.33</v>
      </c>
      <c r="T20">
        <v>2.94</v>
      </c>
      <c r="U20">
        <v>2.35</v>
      </c>
      <c r="V20">
        <v>55.56</v>
      </c>
      <c r="W20">
        <v>2.56</v>
      </c>
      <c r="X20">
        <v>2.13</v>
      </c>
      <c r="Y20">
        <v>54.58</v>
      </c>
      <c r="Z20">
        <v>31.05</v>
      </c>
      <c r="AA20">
        <v>23.28</v>
      </c>
      <c r="AB20">
        <v>57.14</v>
      </c>
      <c r="AC20">
        <v>2.59</v>
      </c>
      <c r="AD20">
        <v>1.88</v>
      </c>
      <c r="AE20">
        <v>57.89</v>
      </c>
      <c r="AF20">
        <v>14.47</v>
      </c>
      <c r="AG20">
        <v>85.71</v>
      </c>
      <c r="AH20">
        <v>13.17</v>
      </c>
      <c r="AI20">
        <v>9.64</v>
      </c>
      <c r="AJ20">
        <v>57.73</v>
      </c>
      <c r="AK20">
        <v>2</v>
      </c>
      <c r="AL20">
        <v>1.06</v>
      </c>
      <c r="AM20">
        <v>65.38</v>
      </c>
      <c r="AN20">
        <v>20.48</v>
      </c>
      <c r="AO20">
        <v>83.33</v>
      </c>
      <c r="AP20">
        <v>8.4499999999999993</v>
      </c>
      <c r="AQ20">
        <v>91.63</v>
      </c>
      <c r="AR20">
        <v>1.0009999999999999</v>
      </c>
    </row>
    <row r="21" spans="1:44" x14ac:dyDescent="0.35">
      <c r="A21">
        <v>17</v>
      </c>
      <c r="B21" t="s">
        <v>54</v>
      </c>
      <c r="C21">
        <v>10</v>
      </c>
      <c r="D21" t="s">
        <v>351</v>
      </c>
      <c r="E21">
        <v>1</v>
      </c>
      <c r="F21">
        <v>9</v>
      </c>
      <c r="G21">
        <v>0</v>
      </c>
      <c r="H21">
        <v>1</v>
      </c>
      <c r="I21">
        <v>2</v>
      </c>
      <c r="J21">
        <v>0.1</v>
      </c>
      <c r="K21">
        <v>56.19</v>
      </c>
      <c r="L21">
        <v>43.65</v>
      </c>
      <c r="M21">
        <v>56.28</v>
      </c>
      <c r="N21">
        <v>42.46</v>
      </c>
      <c r="O21">
        <v>36.79</v>
      </c>
      <c r="P21">
        <v>53.58</v>
      </c>
      <c r="Q21">
        <v>29.81</v>
      </c>
      <c r="R21">
        <v>26.26</v>
      </c>
      <c r="S21">
        <v>53.16</v>
      </c>
      <c r="T21">
        <v>1.77</v>
      </c>
      <c r="U21">
        <v>3.67</v>
      </c>
      <c r="V21">
        <v>32.61</v>
      </c>
      <c r="W21">
        <v>2.11</v>
      </c>
      <c r="X21">
        <v>2.57</v>
      </c>
      <c r="Y21">
        <v>45.13</v>
      </c>
      <c r="Z21">
        <v>25.43</v>
      </c>
      <c r="AA21">
        <v>21.41</v>
      </c>
      <c r="AB21">
        <v>54.29</v>
      </c>
      <c r="AC21">
        <v>1.3</v>
      </c>
      <c r="AD21">
        <v>2.84</v>
      </c>
      <c r="AE21">
        <v>31.43</v>
      </c>
      <c r="AF21">
        <v>9.09</v>
      </c>
      <c r="AG21">
        <v>79.83</v>
      </c>
      <c r="AH21">
        <v>6.86</v>
      </c>
      <c r="AI21">
        <v>9.34</v>
      </c>
      <c r="AJ21">
        <v>42.34</v>
      </c>
      <c r="AK21">
        <v>0.59</v>
      </c>
      <c r="AL21">
        <v>2.13</v>
      </c>
      <c r="AM21">
        <v>21.74</v>
      </c>
      <c r="AN21">
        <v>11.9</v>
      </c>
      <c r="AO21">
        <v>73.91</v>
      </c>
      <c r="AP21">
        <v>5.95</v>
      </c>
      <c r="AQ21">
        <v>86.04</v>
      </c>
      <c r="AR21">
        <v>0.92</v>
      </c>
    </row>
    <row r="22" spans="1:44" x14ac:dyDescent="0.35">
      <c r="A22">
        <v>18</v>
      </c>
      <c r="B22" t="s">
        <v>55</v>
      </c>
      <c r="C22">
        <v>10</v>
      </c>
      <c r="D22" t="s">
        <v>379</v>
      </c>
      <c r="E22">
        <v>4</v>
      </c>
      <c r="F22">
        <v>6</v>
      </c>
      <c r="G22">
        <v>0</v>
      </c>
      <c r="H22">
        <v>3</v>
      </c>
      <c r="I22">
        <v>8</v>
      </c>
      <c r="J22">
        <v>0.4</v>
      </c>
      <c r="K22">
        <v>62.76</v>
      </c>
      <c r="L22">
        <v>53.49</v>
      </c>
      <c r="M22">
        <v>53.99</v>
      </c>
      <c r="N22">
        <v>48.92</v>
      </c>
      <c r="O22">
        <v>41.14</v>
      </c>
      <c r="P22">
        <v>54.32</v>
      </c>
      <c r="Q22">
        <v>32.74</v>
      </c>
      <c r="R22">
        <v>31.01</v>
      </c>
      <c r="S22">
        <v>51.36</v>
      </c>
      <c r="T22">
        <v>1.85</v>
      </c>
      <c r="U22">
        <v>3.09</v>
      </c>
      <c r="V22">
        <v>37.5</v>
      </c>
      <c r="W22">
        <v>2.2599999999999998</v>
      </c>
      <c r="X22">
        <v>2.23</v>
      </c>
      <c r="Y22">
        <v>50.27</v>
      </c>
      <c r="Z22">
        <v>27.3</v>
      </c>
      <c r="AA22">
        <v>23.47</v>
      </c>
      <c r="AB22">
        <v>53.77</v>
      </c>
      <c r="AC22">
        <v>1.24</v>
      </c>
      <c r="AD22">
        <v>2.4700000000000002</v>
      </c>
      <c r="AE22">
        <v>33.33</v>
      </c>
      <c r="AF22">
        <v>7.69</v>
      </c>
      <c r="AG22">
        <v>84</v>
      </c>
      <c r="AH22">
        <v>9.8800000000000008</v>
      </c>
      <c r="AI22">
        <v>8.77</v>
      </c>
      <c r="AJ22">
        <v>52.98</v>
      </c>
      <c r="AK22">
        <v>0.74</v>
      </c>
      <c r="AL22">
        <v>1.85</v>
      </c>
      <c r="AM22">
        <v>28.57</v>
      </c>
      <c r="AN22">
        <v>10</v>
      </c>
      <c r="AO22">
        <v>76.56</v>
      </c>
      <c r="AP22">
        <v>5.66</v>
      </c>
      <c r="AQ22">
        <v>90.04</v>
      </c>
      <c r="AR22">
        <v>0.95699999999999996</v>
      </c>
    </row>
    <row r="23" spans="1:44" x14ac:dyDescent="0.35">
      <c r="A23">
        <v>19</v>
      </c>
      <c r="B23" t="s">
        <v>56</v>
      </c>
      <c r="C23">
        <v>10</v>
      </c>
      <c r="D23" t="s">
        <v>380</v>
      </c>
      <c r="E23">
        <v>8</v>
      </c>
      <c r="F23">
        <v>0</v>
      </c>
      <c r="G23">
        <v>2</v>
      </c>
      <c r="H23">
        <v>8</v>
      </c>
      <c r="I23">
        <v>18</v>
      </c>
      <c r="J23">
        <v>0.9</v>
      </c>
      <c r="K23">
        <v>52.81</v>
      </c>
      <c r="L23">
        <v>53.14</v>
      </c>
      <c r="M23">
        <v>49.84</v>
      </c>
      <c r="N23">
        <v>41.01</v>
      </c>
      <c r="O23">
        <v>40.9</v>
      </c>
      <c r="P23">
        <v>50.07</v>
      </c>
      <c r="Q23">
        <v>30.43</v>
      </c>
      <c r="R23">
        <v>28.11</v>
      </c>
      <c r="S23">
        <v>51.98</v>
      </c>
      <c r="T23">
        <v>3.53</v>
      </c>
      <c r="U23">
        <v>2.21</v>
      </c>
      <c r="V23">
        <v>61.54</v>
      </c>
      <c r="W23">
        <v>2.79</v>
      </c>
      <c r="X23">
        <v>2.2400000000000002</v>
      </c>
      <c r="Y23">
        <v>55.42</v>
      </c>
      <c r="Z23">
        <v>30.54</v>
      </c>
      <c r="AA23">
        <v>27.78</v>
      </c>
      <c r="AB23">
        <v>52.36</v>
      </c>
      <c r="AC23">
        <v>3.09</v>
      </c>
      <c r="AD23">
        <v>1.76</v>
      </c>
      <c r="AE23">
        <v>63.64</v>
      </c>
      <c r="AF23">
        <v>15.3</v>
      </c>
      <c r="AG23">
        <v>88.81</v>
      </c>
      <c r="AH23">
        <v>14.77</v>
      </c>
      <c r="AI23">
        <v>10.8</v>
      </c>
      <c r="AJ23">
        <v>57.76</v>
      </c>
      <c r="AK23">
        <v>2.76</v>
      </c>
      <c r="AL23">
        <v>1.21</v>
      </c>
      <c r="AM23">
        <v>69.44</v>
      </c>
      <c r="AN23">
        <v>23.36</v>
      </c>
      <c r="AO23">
        <v>83.58</v>
      </c>
      <c r="AP23">
        <v>11.59</v>
      </c>
      <c r="AQ23">
        <v>92.16</v>
      </c>
      <c r="AR23">
        <v>1.038</v>
      </c>
    </row>
    <row r="24" spans="1:44" x14ac:dyDescent="0.35">
      <c r="A24">
        <v>20</v>
      </c>
      <c r="B24" t="s">
        <v>57</v>
      </c>
      <c r="C24">
        <v>10</v>
      </c>
      <c r="D24" t="s">
        <v>381</v>
      </c>
      <c r="E24">
        <v>4</v>
      </c>
      <c r="F24">
        <v>4</v>
      </c>
      <c r="G24">
        <v>2</v>
      </c>
      <c r="H24">
        <v>4</v>
      </c>
      <c r="I24">
        <v>10</v>
      </c>
      <c r="J24">
        <v>0.5</v>
      </c>
      <c r="K24">
        <v>51.58</v>
      </c>
      <c r="L24">
        <v>63.96</v>
      </c>
      <c r="M24">
        <v>44.64</v>
      </c>
      <c r="N24">
        <v>39.32</v>
      </c>
      <c r="O24">
        <v>46.72</v>
      </c>
      <c r="P24">
        <v>45.7</v>
      </c>
      <c r="Q24">
        <v>28.52</v>
      </c>
      <c r="R24">
        <v>33.130000000000003</v>
      </c>
      <c r="S24">
        <v>46.26</v>
      </c>
      <c r="T24">
        <v>2.5499999999999998</v>
      </c>
      <c r="U24">
        <v>2.91</v>
      </c>
      <c r="V24">
        <v>46.67</v>
      </c>
      <c r="W24">
        <v>2.5</v>
      </c>
      <c r="X24">
        <v>2.4500000000000002</v>
      </c>
      <c r="Y24">
        <v>50.42</v>
      </c>
      <c r="Z24">
        <v>25.49</v>
      </c>
      <c r="AA24">
        <v>29.25</v>
      </c>
      <c r="AB24">
        <v>46.56</v>
      </c>
      <c r="AC24">
        <v>2.1800000000000002</v>
      </c>
      <c r="AD24">
        <v>2.4300000000000002</v>
      </c>
      <c r="AE24">
        <v>47.37</v>
      </c>
      <c r="AF24">
        <v>14.63</v>
      </c>
      <c r="AG24">
        <v>85.71</v>
      </c>
      <c r="AH24">
        <v>11.41</v>
      </c>
      <c r="AI24">
        <v>12.5</v>
      </c>
      <c r="AJ24">
        <v>47.72</v>
      </c>
      <c r="AK24">
        <v>1.82</v>
      </c>
      <c r="AL24">
        <v>1.94</v>
      </c>
      <c r="AM24">
        <v>48.39</v>
      </c>
      <c r="AN24">
        <v>20.55</v>
      </c>
      <c r="AO24">
        <v>78.67</v>
      </c>
      <c r="AP24">
        <v>8.94</v>
      </c>
      <c r="AQ24">
        <v>91.21</v>
      </c>
      <c r="AR24">
        <v>1.0009999999999999</v>
      </c>
    </row>
    <row r="25" spans="1:44" x14ac:dyDescent="0.35">
      <c r="A25">
        <v>21</v>
      </c>
      <c r="B25" t="s">
        <v>58</v>
      </c>
      <c r="C25">
        <v>10</v>
      </c>
      <c r="D25" t="s">
        <v>382</v>
      </c>
      <c r="E25">
        <v>4</v>
      </c>
      <c r="F25">
        <v>5</v>
      </c>
      <c r="G25">
        <v>1</v>
      </c>
      <c r="H25">
        <v>3</v>
      </c>
      <c r="I25">
        <v>9</v>
      </c>
      <c r="J25">
        <v>0.45</v>
      </c>
      <c r="K25">
        <v>58.84</v>
      </c>
      <c r="L25">
        <v>58.36</v>
      </c>
      <c r="M25">
        <v>50.2</v>
      </c>
      <c r="N25">
        <v>45.79</v>
      </c>
      <c r="O25">
        <v>43.06</v>
      </c>
      <c r="P25">
        <v>51.54</v>
      </c>
      <c r="Q25">
        <v>33.21</v>
      </c>
      <c r="R25">
        <v>31.67</v>
      </c>
      <c r="S25">
        <v>51.19</v>
      </c>
      <c r="T25">
        <v>2.4900000000000002</v>
      </c>
      <c r="U25">
        <v>2.97</v>
      </c>
      <c r="V25">
        <v>45.65</v>
      </c>
      <c r="W25">
        <v>2.19</v>
      </c>
      <c r="X25">
        <v>2.15</v>
      </c>
      <c r="Y25">
        <v>50.5</v>
      </c>
      <c r="Z25">
        <v>25.27</v>
      </c>
      <c r="AA25">
        <v>22.78</v>
      </c>
      <c r="AB25">
        <v>52.59</v>
      </c>
      <c r="AC25">
        <v>2.14</v>
      </c>
      <c r="AD25">
        <v>2.02</v>
      </c>
      <c r="AE25">
        <v>51.43</v>
      </c>
      <c r="AF25">
        <v>14.17</v>
      </c>
      <c r="AG25">
        <v>85.47</v>
      </c>
      <c r="AH25">
        <v>9.9600000000000009</v>
      </c>
      <c r="AI25">
        <v>7.83</v>
      </c>
      <c r="AJ25">
        <v>56</v>
      </c>
      <c r="AK25">
        <v>1.54</v>
      </c>
      <c r="AL25">
        <v>1.19</v>
      </c>
      <c r="AM25">
        <v>56.52</v>
      </c>
      <c r="AN25">
        <v>20.97</v>
      </c>
      <c r="AO25">
        <v>81.819999999999993</v>
      </c>
      <c r="AP25">
        <v>7.5</v>
      </c>
      <c r="AQ25">
        <v>90.64</v>
      </c>
      <c r="AR25">
        <v>0.98099999999999998</v>
      </c>
    </row>
    <row r="26" spans="1:44" x14ac:dyDescent="0.35">
      <c r="A26">
        <v>22</v>
      </c>
      <c r="B26" t="s">
        <v>59</v>
      </c>
      <c r="C26">
        <v>10</v>
      </c>
      <c r="D26" t="s">
        <v>383</v>
      </c>
      <c r="E26">
        <v>5</v>
      </c>
      <c r="F26">
        <v>3</v>
      </c>
      <c r="G26">
        <v>2</v>
      </c>
      <c r="H26">
        <v>5</v>
      </c>
      <c r="I26">
        <v>12</v>
      </c>
      <c r="J26">
        <v>0.6</v>
      </c>
      <c r="K26">
        <v>50.81</v>
      </c>
      <c r="L26">
        <v>54.11</v>
      </c>
      <c r="M26">
        <v>48.43</v>
      </c>
      <c r="N26">
        <v>37.01</v>
      </c>
      <c r="O26">
        <v>40.92</v>
      </c>
      <c r="P26">
        <v>47.49</v>
      </c>
      <c r="Q26">
        <v>25.4</v>
      </c>
      <c r="R26">
        <v>29.56</v>
      </c>
      <c r="S26">
        <v>46.22</v>
      </c>
      <c r="T26">
        <v>2.69</v>
      </c>
      <c r="U26">
        <v>2.08</v>
      </c>
      <c r="V26">
        <v>56.41</v>
      </c>
      <c r="W26">
        <v>2.0299999999999998</v>
      </c>
      <c r="X26">
        <v>2.14</v>
      </c>
      <c r="Y26">
        <v>48.62</v>
      </c>
      <c r="Z26">
        <v>23.08</v>
      </c>
      <c r="AA26">
        <v>22.96</v>
      </c>
      <c r="AB26">
        <v>50.13</v>
      </c>
      <c r="AC26">
        <v>2.44</v>
      </c>
      <c r="AD26">
        <v>1.71</v>
      </c>
      <c r="AE26">
        <v>58.82</v>
      </c>
      <c r="AF26">
        <v>19.420000000000002</v>
      </c>
      <c r="AG26">
        <v>87.61</v>
      </c>
      <c r="AH26">
        <v>7.94</v>
      </c>
      <c r="AI26">
        <v>8.92</v>
      </c>
      <c r="AJ26">
        <v>47.1</v>
      </c>
      <c r="AK26">
        <v>1.47</v>
      </c>
      <c r="AL26">
        <v>0.85</v>
      </c>
      <c r="AM26">
        <v>63.16</v>
      </c>
      <c r="AN26">
        <v>25</v>
      </c>
      <c r="AO26">
        <v>87.5</v>
      </c>
      <c r="AP26">
        <v>10.58</v>
      </c>
      <c r="AQ26">
        <v>92.98</v>
      </c>
      <c r="AR26">
        <v>1.036</v>
      </c>
    </row>
    <row r="27" spans="1:44" x14ac:dyDescent="0.35">
      <c r="A27">
        <v>23</v>
      </c>
      <c r="B27" t="s">
        <v>60</v>
      </c>
      <c r="C27">
        <v>10</v>
      </c>
      <c r="D27" t="s">
        <v>384</v>
      </c>
      <c r="E27">
        <v>8</v>
      </c>
      <c r="F27">
        <v>2</v>
      </c>
      <c r="G27">
        <v>0</v>
      </c>
      <c r="H27">
        <v>7</v>
      </c>
      <c r="I27">
        <v>16</v>
      </c>
      <c r="J27">
        <v>0.8</v>
      </c>
      <c r="K27">
        <v>45.9</v>
      </c>
      <c r="L27">
        <v>50.09</v>
      </c>
      <c r="M27">
        <v>47.82</v>
      </c>
      <c r="N27">
        <v>34.049999999999997</v>
      </c>
      <c r="O27">
        <v>37.54</v>
      </c>
      <c r="P27">
        <v>47.56</v>
      </c>
      <c r="Q27">
        <v>26.03</v>
      </c>
      <c r="R27">
        <v>29.75</v>
      </c>
      <c r="S27">
        <v>46.67</v>
      </c>
      <c r="T27">
        <v>3.6</v>
      </c>
      <c r="U27">
        <v>2.21</v>
      </c>
      <c r="V27">
        <v>62</v>
      </c>
      <c r="W27">
        <v>2.3199999999999998</v>
      </c>
      <c r="X27">
        <v>2.2400000000000002</v>
      </c>
      <c r="Y27">
        <v>50.84</v>
      </c>
      <c r="Z27">
        <v>21.85</v>
      </c>
      <c r="AA27">
        <v>22.78</v>
      </c>
      <c r="AB27">
        <v>48.96</v>
      </c>
      <c r="AC27">
        <v>2.79</v>
      </c>
      <c r="AD27">
        <v>1.98</v>
      </c>
      <c r="AE27">
        <v>58.54</v>
      </c>
      <c r="AF27">
        <v>19.670000000000002</v>
      </c>
      <c r="AG27">
        <v>86.92</v>
      </c>
      <c r="AH27">
        <v>8.9499999999999993</v>
      </c>
      <c r="AI27">
        <v>10.11</v>
      </c>
      <c r="AJ27">
        <v>46.95</v>
      </c>
      <c r="AK27">
        <v>2.21</v>
      </c>
      <c r="AL27">
        <v>1.51</v>
      </c>
      <c r="AM27">
        <v>59.38</v>
      </c>
      <c r="AN27">
        <v>28.36</v>
      </c>
      <c r="AO27">
        <v>82.43</v>
      </c>
      <c r="AP27">
        <v>13.84</v>
      </c>
      <c r="AQ27">
        <v>92.58</v>
      </c>
      <c r="AR27">
        <v>1.0640000000000001</v>
      </c>
    </row>
    <row r="28" spans="1:44" x14ac:dyDescent="0.35">
      <c r="A28">
        <v>24</v>
      </c>
      <c r="B28" t="s">
        <v>61</v>
      </c>
      <c r="C28">
        <v>8</v>
      </c>
      <c r="D28" t="s">
        <v>385</v>
      </c>
      <c r="E28">
        <v>2</v>
      </c>
      <c r="F28">
        <v>5</v>
      </c>
      <c r="G28">
        <v>1</v>
      </c>
      <c r="H28">
        <v>2</v>
      </c>
      <c r="I28">
        <v>5</v>
      </c>
      <c r="J28">
        <v>0.313</v>
      </c>
      <c r="K28">
        <v>52.21</v>
      </c>
      <c r="L28">
        <v>58.91</v>
      </c>
      <c r="M28">
        <v>46.99</v>
      </c>
      <c r="N28">
        <v>40.64</v>
      </c>
      <c r="O28">
        <v>42.62</v>
      </c>
      <c r="P28">
        <v>48.81</v>
      </c>
      <c r="Q28">
        <v>29.68</v>
      </c>
      <c r="R28">
        <v>29.99</v>
      </c>
      <c r="S28">
        <v>49.74</v>
      </c>
      <c r="T28">
        <v>2.59</v>
      </c>
      <c r="U28">
        <v>3.96</v>
      </c>
      <c r="V28">
        <v>39.53</v>
      </c>
      <c r="W28">
        <v>2.38</v>
      </c>
      <c r="X28">
        <v>2.41</v>
      </c>
      <c r="Y28">
        <v>49.75</v>
      </c>
      <c r="Z28">
        <v>28.01</v>
      </c>
      <c r="AA28">
        <v>29.23</v>
      </c>
      <c r="AB28">
        <v>48.94</v>
      </c>
      <c r="AC28">
        <v>2.44</v>
      </c>
      <c r="AD28">
        <v>2.89</v>
      </c>
      <c r="AE28">
        <v>45.71</v>
      </c>
      <c r="AF28">
        <v>13.68</v>
      </c>
      <c r="AG28">
        <v>82.88</v>
      </c>
      <c r="AH28">
        <v>12.33</v>
      </c>
      <c r="AI28">
        <v>10.81</v>
      </c>
      <c r="AJ28">
        <v>53.29</v>
      </c>
      <c r="AK28">
        <v>0.91</v>
      </c>
      <c r="AL28">
        <v>1.52</v>
      </c>
      <c r="AM28">
        <v>37.5</v>
      </c>
      <c r="AN28">
        <v>10</v>
      </c>
      <c r="AO28">
        <v>77.27</v>
      </c>
      <c r="AP28">
        <v>8.7200000000000006</v>
      </c>
      <c r="AQ28">
        <v>86.8</v>
      </c>
      <c r="AR28">
        <v>0.95499999999999996</v>
      </c>
    </row>
    <row r="29" spans="1:44" x14ac:dyDescent="0.35">
      <c r="A29">
        <v>25</v>
      </c>
      <c r="B29" t="s">
        <v>62</v>
      </c>
      <c r="C29">
        <v>10</v>
      </c>
      <c r="D29" t="s">
        <v>365</v>
      </c>
      <c r="E29">
        <v>3</v>
      </c>
      <c r="F29">
        <v>6</v>
      </c>
      <c r="G29">
        <v>1</v>
      </c>
      <c r="H29">
        <v>3</v>
      </c>
      <c r="I29">
        <v>7</v>
      </c>
      <c r="J29">
        <v>0.35</v>
      </c>
      <c r="K29">
        <v>53.31</v>
      </c>
      <c r="L29">
        <v>51.54</v>
      </c>
      <c r="M29">
        <v>50.84</v>
      </c>
      <c r="N29">
        <v>40.340000000000003</v>
      </c>
      <c r="O29">
        <v>38.92</v>
      </c>
      <c r="P29">
        <v>50.89</v>
      </c>
      <c r="Q29">
        <v>32.67</v>
      </c>
      <c r="R29">
        <v>27.48</v>
      </c>
      <c r="S29">
        <v>54.31</v>
      </c>
      <c r="T29">
        <v>2.59</v>
      </c>
      <c r="U29">
        <v>2.95</v>
      </c>
      <c r="V29">
        <v>46.81</v>
      </c>
      <c r="W29">
        <v>2.2000000000000002</v>
      </c>
      <c r="X29">
        <v>2.59</v>
      </c>
      <c r="Y29">
        <v>45.88</v>
      </c>
      <c r="Z29">
        <v>24.18</v>
      </c>
      <c r="AA29">
        <v>23.35</v>
      </c>
      <c r="AB29">
        <v>50.87</v>
      </c>
      <c r="AC29">
        <v>2.0099999999999998</v>
      </c>
      <c r="AD29">
        <v>2.71</v>
      </c>
      <c r="AE29">
        <v>42.5</v>
      </c>
      <c r="AF29">
        <v>12.59</v>
      </c>
      <c r="AG29">
        <v>82.17</v>
      </c>
      <c r="AH29">
        <v>7.19</v>
      </c>
      <c r="AI29">
        <v>10.029999999999999</v>
      </c>
      <c r="AJ29">
        <v>41.78</v>
      </c>
      <c r="AK29">
        <v>1.06</v>
      </c>
      <c r="AL29">
        <v>1.77</v>
      </c>
      <c r="AM29">
        <v>37.5</v>
      </c>
      <c r="AN29">
        <v>19.57</v>
      </c>
      <c r="AO29">
        <v>76.92</v>
      </c>
      <c r="AP29">
        <v>7.94</v>
      </c>
      <c r="AQ29">
        <v>89.27</v>
      </c>
      <c r="AR29">
        <v>0.97199999999999998</v>
      </c>
    </row>
    <row r="30" spans="1:44" x14ac:dyDescent="0.35">
      <c r="A30">
        <v>26</v>
      </c>
      <c r="B30" t="s">
        <v>63</v>
      </c>
      <c r="C30">
        <v>10</v>
      </c>
      <c r="D30" t="s">
        <v>386</v>
      </c>
      <c r="E30">
        <v>9</v>
      </c>
      <c r="F30">
        <v>1</v>
      </c>
      <c r="G30">
        <v>0</v>
      </c>
      <c r="H30">
        <v>9</v>
      </c>
      <c r="I30">
        <v>18</v>
      </c>
      <c r="J30">
        <v>0.9</v>
      </c>
      <c r="K30">
        <v>46.84</v>
      </c>
      <c r="L30">
        <v>44.31</v>
      </c>
      <c r="M30">
        <v>51.39</v>
      </c>
      <c r="N30">
        <v>38.51</v>
      </c>
      <c r="O30">
        <v>33.33</v>
      </c>
      <c r="P30">
        <v>53.6</v>
      </c>
      <c r="Q30">
        <v>28.53</v>
      </c>
      <c r="R30">
        <v>25.63</v>
      </c>
      <c r="S30">
        <v>52.68</v>
      </c>
      <c r="T30">
        <v>4.17</v>
      </c>
      <c r="U30">
        <v>1.51</v>
      </c>
      <c r="V30">
        <v>73.33</v>
      </c>
      <c r="W30">
        <v>2.4</v>
      </c>
      <c r="X30">
        <v>1.86</v>
      </c>
      <c r="Y30">
        <v>56.35</v>
      </c>
      <c r="Z30">
        <v>27.4</v>
      </c>
      <c r="AA30">
        <v>27.02</v>
      </c>
      <c r="AB30">
        <v>50.35</v>
      </c>
      <c r="AC30">
        <v>3.03</v>
      </c>
      <c r="AD30">
        <v>1.39</v>
      </c>
      <c r="AE30">
        <v>68.569999999999993</v>
      </c>
      <c r="AF30">
        <v>16.22</v>
      </c>
      <c r="AG30">
        <v>92.03</v>
      </c>
      <c r="AH30">
        <v>8.9600000000000009</v>
      </c>
      <c r="AI30">
        <v>8.58</v>
      </c>
      <c r="AJ30">
        <v>51.08</v>
      </c>
      <c r="AK30">
        <v>1.89</v>
      </c>
      <c r="AL30">
        <v>0.63</v>
      </c>
      <c r="AM30">
        <v>75</v>
      </c>
      <c r="AN30">
        <v>23.81</v>
      </c>
      <c r="AO30">
        <v>91.38</v>
      </c>
      <c r="AP30">
        <v>14.6</v>
      </c>
      <c r="AQ30">
        <v>94.09</v>
      </c>
      <c r="AR30">
        <v>1.087</v>
      </c>
    </row>
    <row r="31" spans="1:44" x14ac:dyDescent="0.35">
      <c r="A31">
        <v>27</v>
      </c>
      <c r="B31" t="s">
        <v>64</v>
      </c>
      <c r="C31">
        <v>10</v>
      </c>
      <c r="D31" t="s">
        <v>387</v>
      </c>
      <c r="E31">
        <v>7</v>
      </c>
      <c r="F31">
        <v>2</v>
      </c>
      <c r="G31">
        <v>1</v>
      </c>
      <c r="H31">
        <v>7</v>
      </c>
      <c r="I31">
        <v>15</v>
      </c>
      <c r="J31">
        <v>0.75</v>
      </c>
      <c r="K31">
        <v>53.15</v>
      </c>
      <c r="L31">
        <v>54.83</v>
      </c>
      <c r="M31">
        <v>49.22</v>
      </c>
      <c r="N31">
        <v>43.41</v>
      </c>
      <c r="O31">
        <v>41.24</v>
      </c>
      <c r="P31">
        <v>51.28</v>
      </c>
      <c r="Q31">
        <v>30.3</v>
      </c>
      <c r="R31">
        <v>29.34</v>
      </c>
      <c r="S31">
        <v>50.81</v>
      </c>
      <c r="T31">
        <v>3.49</v>
      </c>
      <c r="U31">
        <v>1.92</v>
      </c>
      <c r="V31">
        <v>64.44</v>
      </c>
      <c r="W31">
        <v>2.86</v>
      </c>
      <c r="X31">
        <v>2.13</v>
      </c>
      <c r="Y31">
        <v>57.37</v>
      </c>
      <c r="Z31">
        <v>31.14</v>
      </c>
      <c r="AA31">
        <v>27.54</v>
      </c>
      <c r="AB31">
        <v>53.07</v>
      </c>
      <c r="AC31">
        <v>3.13</v>
      </c>
      <c r="AD31">
        <v>1.56</v>
      </c>
      <c r="AE31">
        <v>66.67</v>
      </c>
      <c r="AF31">
        <v>15.76</v>
      </c>
      <c r="AG31">
        <v>90.37</v>
      </c>
      <c r="AH31">
        <v>12.87</v>
      </c>
      <c r="AI31">
        <v>8.42</v>
      </c>
      <c r="AJ31">
        <v>60.45</v>
      </c>
      <c r="AK31">
        <v>1.8</v>
      </c>
      <c r="AL31">
        <v>1.08</v>
      </c>
      <c r="AM31">
        <v>62.5</v>
      </c>
      <c r="AN31">
        <v>18.07</v>
      </c>
      <c r="AO31">
        <v>83.33</v>
      </c>
      <c r="AP31">
        <v>11.51</v>
      </c>
      <c r="AQ31">
        <v>93.44</v>
      </c>
      <c r="AR31">
        <v>1.05</v>
      </c>
    </row>
    <row r="32" spans="1:44" x14ac:dyDescent="0.35">
      <c r="A32">
        <v>28</v>
      </c>
      <c r="B32" t="s">
        <v>65</v>
      </c>
      <c r="C32">
        <v>10</v>
      </c>
      <c r="D32" t="s">
        <v>388</v>
      </c>
      <c r="E32">
        <v>4</v>
      </c>
      <c r="F32">
        <v>4</v>
      </c>
      <c r="G32">
        <v>2</v>
      </c>
      <c r="H32">
        <v>4</v>
      </c>
      <c r="I32">
        <v>10</v>
      </c>
      <c r="J32">
        <v>0.5</v>
      </c>
      <c r="K32">
        <v>60.13</v>
      </c>
      <c r="L32">
        <v>54.74</v>
      </c>
      <c r="M32">
        <v>52.35</v>
      </c>
      <c r="N32">
        <v>45.31</v>
      </c>
      <c r="O32">
        <v>39.92</v>
      </c>
      <c r="P32">
        <v>53.16</v>
      </c>
      <c r="Q32">
        <v>32.57</v>
      </c>
      <c r="R32">
        <v>30.49</v>
      </c>
      <c r="S32">
        <v>51.65</v>
      </c>
      <c r="T32">
        <v>1.96</v>
      </c>
      <c r="U32">
        <v>2.4500000000000002</v>
      </c>
      <c r="V32">
        <v>44.44</v>
      </c>
      <c r="W32">
        <v>2.84</v>
      </c>
      <c r="X32">
        <v>2.6</v>
      </c>
      <c r="Y32">
        <v>52.19</v>
      </c>
      <c r="Z32">
        <v>28.53</v>
      </c>
      <c r="AA32">
        <v>28.04</v>
      </c>
      <c r="AB32">
        <v>50.43</v>
      </c>
      <c r="AC32">
        <v>1.71</v>
      </c>
      <c r="AD32">
        <v>2.33</v>
      </c>
      <c r="AE32">
        <v>42.42</v>
      </c>
      <c r="AF32">
        <v>10.45</v>
      </c>
      <c r="AG32">
        <v>86.43</v>
      </c>
      <c r="AH32">
        <v>12</v>
      </c>
      <c r="AI32">
        <v>11.27</v>
      </c>
      <c r="AJ32">
        <v>51.58</v>
      </c>
      <c r="AK32">
        <v>1.22</v>
      </c>
      <c r="AL32">
        <v>1.59</v>
      </c>
      <c r="AM32">
        <v>43.48</v>
      </c>
      <c r="AN32">
        <v>13.89</v>
      </c>
      <c r="AO32">
        <v>82.67</v>
      </c>
      <c r="AP32">
        <v>6.02</v>
      </c>
      <c r="AQ32">
        <v>91.97</v>
      </c>
      <c r="AR32">
        <v>0.98</v>
      </c>
    </row>
    <row r="33" spans="1:44" x14ac:dyDescent="0.35">
      <c r="A33">
        <v>29</v>
      </c>
      <c r="B33" t="s">
        <v>68</v>
      </c>
      <c r="C33">
        <v>10</v>
      </c>
      <c r="D33" t="s">
        <v>389</v>
      </c>
      <c r="E33">
        <v>7</v>
      </c>
      <c r="F33">
        <v>2</v>
      </c>
      <c r="G33">
        <v>1</v>
      </c>
      <c r="H33">
        <v>7</v>
      </c>
      <c r="I33">
        <v>15</v>
      </c>
      <c r="J33">
        <v>0.75</v>
      </c>
      <c r="K33">
        <v>58.47</v>
      </c>
      <c r="L33">
        <v>54.01</v>
      </c>
      <c r="M33">
        <v>51.98</v>
      </c>
      <c r="N33">
        <v>40.74</v>
      </c>
      <c r="O33">
        <v>38.51</v>
      </c>
      <c r="P33">
        <v>51.41</v>
      </c>
      <c r="Q33">
        <v>28.88</v>
      </c>
      <c r="R33">
        <v>29.12</v>
      </c>
      <c r="S33">
        <v>49.8</v>
      </c>
      <c r="T33">
        <v>3.41</v>
      </c>
      <c r="U33">
        <v>2.4700000000000002</v>
      </c>
      <c r="V33">
        <v>58</v>
      </c>
      <c r="W33">
        <v>2.58</v>
      </c>
      <c r="X33">
        <v>2.4</v>
      </c>
      <c r="Y33">
        <v>51.75</v>
      </c>
      <c r="Z33">
        <v>29.12</v>
      </c>
      <c r="AA33">
        <v>26.77</v>
      </c>
      <c r="AB33">
        <v>52.1</v>
      </c>
      <c r="AC33">
        <v>2.94</v>
      </c>
      <c r="AD33">
        <v>2.23</v>
      </c>
      <c r="AE33">
        <v>56.82</v>
      </c>
      <c r="AF33">
        <v>17.36</v>
      </c>
      <c r="AG33">
        <v>85.71</v>
      </c>
      <c r="AH33">
        <v>10.8</v>
      </c>
      <c r="AI33">
        <v>9.6300000000000008</v>
      </c>
      <c r="AJ33">
        <v>52.87</v>
      </c>
      <c r="AK33">
        <v>1.41</v>
      </c>
      <c r="AL33">
        <v>1.29</v>
      </c>
      <c r="AM33">
        <v>52.17</v>
      </c>
      <c r="AN33">
        <v>19.670000000000002</v>
      </c>
      <c r="AO33">
        <v>82.81</v>
      </c>
      <c r="AP33">
        <v>11.79</v>
      </c>
      <c r="AQ33">
        <v>91.53</v>
      </c>
      <c r="AR33">
        <v>1.0329999999999999</v>
      </c>
    </row>
    <row r="34" spans="1:44" x14ac:dyDescent="0.35">
      <c r="A34">
        <v>30</v>
      </c>
      <c r="B34" t="s">
        <v>66</v>
      </c>
      <c r="C34">
        <v>10</v>
      </c>
      <c r="D34" t="s">
        <v>390</v>
      </c>
      <c r="E34">
        <v>6</v>
      </c>
      <c r="F34">
        <v>3</v>
      </c>
      <c r="G34">
        <v>1</v>
      </c>
      <c r="H34">
        <v>6</v>
      </c>
      <c r="I34">
        <v>13</v>
      </c>
      <c r="J34">
        <v>0.65</v>
      </c>
      <c r="K34">
        <v>53.99</v>
      </c>
      <c r="L34">
        <v>58.18</v>
      </c>
      <c r="M34">
        <v>48.13</v>
      </c>
      <c r="N34">
        <v>41.07</v>
      </c>
      <c r="O34">
        <v>45.26</v>
      </c>
      <c r="P34">
        <v>47.57</v>
      </c>
      <c r="Q34">
        <v>28.62</v>
      </c>
      <c r="R34">
        <v>31.65</v>
      </c>
      <c r="S34">
        <v>47.49</v>
      </c>
      <c r="T34">
        <v>2.68</v>
      </c>
      <c r="U34">
        <v>2.33</v>
      </c>
      <c r="V34">
        <v>53.49</v>
      </c>
      <c r="W34">
        <v>2.48</v>
      </c>
      <c r="X34">
        <v>2.83</v>
      </c>
      <c r="Y34">
        <v>46.72</v>
      </c>
      <c r="Z34">
        <v>27.58</v>
      </c>
      <c r="AA34">
        <v>28.97</v>
      </c>
      <c r="AB34">
        <v>48.77</v>
      </c>
      <c r="AC34">
        <v>2.44</v>
      </c>
      <c r="AD34">
        <v>1.86</v>
      </c>
      <c r="AE34">
        <v>56.76</v>
      </c>
      <c r="AF34">
        <v>15.79</v>
      </c>
      <c r="AG34">
        <v>89.12</v>
      </c>
      <c r="AH34">
        <v>9.89</v>
      </c>
      <c r="AI34">
        <v>13.5</v>
      </c>
      <c r="AJ34">
        <v>42.29</v>
      </c>
      <c r="AK34">
        <v>1.75</v>
      </c>
      <c r="AL34">
        <v>1.51</v>
      </c>
      <c r="AM34">
        <v>53.57</v>
      </c>
      <c r="AN34">
        <v>25.42</v>
      </c>
      <c r="AO34">
        <v>82.67</v>
      </c>
      <c r="AP34">
        <v>9.35</v>
      </c>
      <c r="AQ34">
        <v>92.65</v>
      </c>
      <c r="AR34">
        <v>1.02</v>
      </c>
    </row>
    <row r="35" spans="1:44" x14ac:dyDescent="0.35">
      <c r="A35">
        <v>31</v>
      </c>
      <c r="B35" t="s">
        <v>67</v>
      </c>
      <c r="C35">
        <v>10</v>
      </c>
      <c r="D35" t="s">
        <v>391</v>
      </c>
      <c r="E35">
        <v>6</v>
      </c>
      <c r="F35">
        <v>3</v>
      </c>
      <c r="G35">
        <v>1</v>
      </c>
      <c r="H35">
        <v>6</v>
      </c>
      <c r="I35">
        <v>13</v>
      </c>
      <c r="J35">
        <v>0.65</v>
      </c>
      <c r="K35">
        <v>56.31</v>
      </c>
      <c r="L35">
        <v>58.06</v>
      </c>
      <c r="M35">
        <v>49.24</v>
      </c>
      <c r="N35">
        <v>42.9</v>
      </c>
      <c r="O35">
        <v>43.72</v>
      </c>
      <c r="P35">
        <v>49.53</v>
      </c>
      <c r="Q35">
        <v>28.8</v>
      </c>
      <c r="R35">
        <v>30.66</v>
      </c>
      <c r="S35">
        <v>48.43</v>
      </c>
      <c r="T35">
        <v>2.68</v>
      </c>
      <c r="U35">
        <v>2.91</v>
      </c>
      <c r="V35">
        <v>47.92</v>
      </c>
      <c r="W35">
        <v>2.4500000000000002</v>
      </c>
      <c r="X35">
        <v>2.5499999999999998</v>
      </c>
      <c r="Y35">
        <v>48.93</v>
      </c>
      <c r="Z35">
        <v>25.18</v>
      </c>
      <c r="AA35">
        <v>24.37</v>
      </c>
      <c r="AB35">
        <v>50.82</v>
      </c>
      <c r="AC35">
        <v>1.75</v>
      </c>
      <c r="AD35">
        <v>2.1</v>
      </c>
      <c r="AE35">
        <v>45.45</v>
      </c>
      <c r="AF35">
        <v>12.61</v>
      </c>
      <c r="AG35">
        <v>86.05</v>
      </c>
      <c r="AH35">
        <v>9.91</v>
      </c>
      <c r="AI35">
        <v>9.09</v>
      </c>
      <c r="AJ35">
        <v>52.15</v>
      </c>
      <c r="AK35">
        <v>1.17</v>
      </c>
      <c r="AL35">
        <v>1.17</v>
      </c>
      <c r="AM35">
        <v>50</v>
      </c>
      <c r="AN35">
        <v>17.239999999999998</v>
      </c>
      <c r="AO35">
        <v>82.76</v>
      </c>
      <c r="AP35">
        <v>9.31</v>
      </c>
      <c r="AQ35">
        <v>90.49</v>
      </c>
      <c r="AR35">
        <v>0.998</v>
      </c>
    </row>
    <row r="37" spans="1:44" x14ac:dyDescent="0.35">
      <c r="A37" s="80" t="s">
        <v>216</v>
      </c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</row>
    <row r="38" spans="1:44" x14ac:dyDescent="0.3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</row>
    <row r="39" spans="1:44" x14ac:dyDescent="0.35">
      <c r="A39" t="s">
        <v>79</v>
      </c>
      <c r="B39" t="s">
        <v>0</v>
      </c>
      <c r="C39" t="s">
        <v>1</v>
      </c>
      <c r="D39" t="s">
        <v>90</v>
      </c>
      <c r="E39" t="s">
        <v>2</v>
      </c>
      <c r="F39" t="s">
        <v>3</v>
      </c>
      <c r="G39" t="s">
        <v>4</v>
      </c>
      <c r="H39" t="s">
        <v>5</v>
      </c>
      <c r="I39" t="s">
        <v>6</v>
      </c>
      <c r="J39" t="s">
        <v>7</v>
      </c>
      <c r="K39" t="s">
        <v>91</v>
      </c>
      <c r="L39" t="s">
        <v>92</v>
      </c>
      <c r="M39" t="s">
        <v>8</v>
      </c>
      <c r="N39" t="s">
        <v>93</v>
      </c>
      <c r="O39" t="s">
        <v>94</v>
      </c>
      <c r="P39" t="s">
        <v>9</v>
      </c>
      <c r="Q39" t="s">
        <v>95</v>
      </c>
      <c r="R39" t="s">
        <v>71</v>
      </c>
      <c r="S39" t="s">
        <v>10</v>
      </c>
      <c r="T39" t="s">
        <v>96</v>
      </c>
      <c r="U39" t="s">
        <v>97</v>
      </c>
      <c r="V39" t="s">
        <v>11</v>
      </c>
      <c r="W39" t="s">
        <v>98</v>
      </c>
      <c r="X39" t="s">
        <v>99</v>
      </c>
      <c r="Y39" t="s">
        <v>14</v>
      </c>
      <c r="Z39" t="s">
        <v>100</v>
      </c>
      <c r="AA39" t="s">
        <v>101</v>
      </c>
      <c r="AB39" t="s">
        <v>15</v>
      </c>
      <c r="AC39" t="s">
        <v>104</v>
      </c>
      <c r="AD39" t="s">
        <v>105</v>
      </c>
      <c r="AE39" t="s">
        <v>17</v>
      </c>
      <c r="AF39" t="s">
        <v>18</v>
      </c>
      <c r="AG39" t="s">
        <v>19</v>
      </c>
      <c r="AH39" t="s">
        <v>106</v>
      </c>
      <c r="AI39" t="s">
        <v>107</v>
      </c>
      <c r="AJ39" t="s">
        <v>20</v>
      </c>
      <c r="AK39" t="s">
        <v>109</v>
      </c>
      <c r="AL39" t="s">
        <v>73</v>
      </c>
      <c r="AM39" t="s">
        <v>22</v>
      </c>
      <c r="AN39" t="s">
        <v>23</v>
      </c>
      <c r="AO39" t="s">
        <v>24</v>
      </c>
      <c r="AP39" t="s">
        <v>35</v>
      </c>
      <c r="AQ39" t="s">
        <v>36</v>
      </c>
      <c r="AR39" t="s">
        <v>37</v>
      </c>
    </row>
    <row r="40" spans="1:44" x14ac:dyDescent="0.35">
      <c r="A40">
        <v>1</v>
      </c>
      <c r="B40" t="s">
        <v>38</v>
      </c>
      <c r="C40">
        <v>10</v>
      </c>
      <c r="D40" t="s">
        <v>325</v>
      </c>
      <c r="E40">
        <v>4</v>
      </c>
      <c r="F40">
        <v>4</v>
      </c>
      <c r="G40">
        <v>2</v>
      </c>
      <c r="H40">
        <v>4</v>
      </c>
      <c r="I40">
        <v>10</v>
      </c>
      <c r="J40">
        <v>0.5</v>
      </c>
      <c r="K40">
        <v>51.76</v>
      </c>
      <c r="L40">
        <v>53.35</v>
      </c>
      <c r="M40">
        <v>49.25</v>
      </c>
      <c r="N40">
        <v>37.380000000000003</v>
      </c>
      <c r="O40">
        <v>38.96</v>
      </c>
      <c r="P40">
        <v>48.96</v>
      </c>
      <c r="Q40">
        <v>27.07</v>
      </c>
      <c r="R40">
        <v>27.41</v>
      </c>
      <c r="S40">
        <v>49.69</v>
      </c>
      <c r="T40">
        <v>2.27</v>
      </c>
      <c r="U40">
        <v>2.38</v>
      </c>
      <c r="V40">
        <v>48.78</v>
      </c>
      <c r="W40">
        <v>2.11</v>
      </c>
      <c r="X40">
        <v>2.13</v>
      </c>
      <c r="Y40">
        <v>49.71</v>
      </c>
      <c r="Z40">
        <v>23.79</v>
      </c>
      <c r="AA40">
        <v>22.88</v>
      </c>
      <c r="AB40">
        <v>50.97</v>
      </c>
      <c r="AC40">
        <v>1.93</v>
      </c>
      <c r="AD40">
        <v>2.04</v>
      </c>
      <c r="AE40">
        <v>48.57</v>
      </c>
      <c r="AF40">
        <v>13.93</v>
      </c>
      <c r="AG40">
        <v>84.48</v>
      </c>
      <c r="AH40">
        <v>8.9499999999999993</v>
      </c>
      <c r="AI40">
        <v>9.51</v>
      </c>
      <c r="AJ40">
        <v>48.47</v>
      </c>
      <c r="AK40">
        <v>0.56999999999999995</v>
      </c>
      <c r="AL40">
        <v>1.1299999999999999</v>
      </c>
      <c r="AM40">
        <v>33.33</v>
      </c>
      <c r="AN40">
        <v>8.77</v>
      </c>
      <c r="AO40">
        <v>82.76</v>
      </c>
      <c r="AP40">
        <v>8.3699999999999992</v>
      </c>
      <c r="AQ40">
        <v>91.32</v>
      </c>
      <c r="AR40">
        <v>0.997</v>
      </c>
    </row>
    <row r="41" spans="1:44" x14ac:dyDescent="0.35">
      <c r="A41">
        <v>2</v>
      </c>
      <c r="B41" t="s">
        <v>39</v>
      </c>
      <c r="C41">
        <v>7</v>
      </c>
      <c r="D41" t="s">
        <v>326</v>
      </c>
      <c r="E41">
        <v>4</v>
      </c>
      <c r="F41">
        <v>3</v>
      </c>
      <c r="G41">
        <v>0</v>
      </c>
      <c r="H41">
        <v>3</v>
      </c>
      <c r="I41">
        <v>8</v>
      </c>
      <c r="J41">
        <v>0.57099999999999995</v>
      </c>
      <c r="K41">
        <v>52.4</v>
      </c>
      <c r="L41">
        <v>55.68</v>
      </c>
      <c r="M41">
        <v>48.48</v>
      </c>
      <c r="N41">
        <v>37.299999999999997</v>
      </c>
      <c r="O41">
        <v>40.21</v>
      </c>
      <c r="P41">
        <v>48.12</v>
      </c>
      <c r="Q41">
        <v>26.57</v>
      </c>
      <c r="R41">
        <v>30.2</v>
      </c>
      <c r="S41">
        <v>46.79</v>
      </c>
      <c r="T41">
        <v>2</v>
      </c>
      <c r="U41">
        <v>3.28</v>
      </c>
      <c r="V41">
        <v>37.93</v>
      </c>
      <c r="W41">
        <v>2.48</v>
      </c>
      <c r="X41">
        <v>2.42</v>
      </c>
      <c r="Y41">
        <v>50.63</v>
      </c>
      <c r="Z41">
        <v>25.29</v>
      </c>
      <c r="AA41">
        <v>27.66</v>
      </c>
      <c r="AB41">
        <v>47.77</v>
      </c>
      <c r="AC41">
        <v>2</v>
      </c>
      <c r="AD41">
        <v>2.73</v>
      </c>
      <c r="AE41">
        <v>42.31</v>
      </c>
      <c r="AF41">
        <v>12.36</v>
      </c>
      <c r="AG41">
        <v>82.35</v>
      </c>
      <c r="AH41">
        <v>11.46</v>
      </c>
      <c r="AI41">
        <v>10.01</v>
      </c>
      <c r="AJ41">
        <v>53.39</v>
      </c>
      <c r="AK41">
        <v>1.46</v>
      </c>
      <c r="AL41">
        <v>1.82</v>
      </c>
      <c r="AM41">
        <v>44.44</v>
      </c>
      <c r="AN41">
        <v>16.670000000000002</v>
      </c>
      <c r="AO41">
        <v>72.97</v>
      </c>
      <c r="AP41">
        <v>7.53</v>
      </c>
      <c r="AQ41">
        <v>89.16</v>
      </c>
      <c r="AR41">
        <v>0.96699999999999997</v>
      </c>
    </row>
    <row r="42" spans="1:44" x14ac:dyDescent="0.35">
      <c r="A42">
        <v>3</v>
      </c>
      <c r="B42" t="s">
        <v>40</v>
      </c>
      <c r="C42">
        <v>10</v>
      </c>
      <c r="D42" t="s">
        <v>327</v>
      </c>
      <c r="E42">
        <v>6</v>
      </c>
      <c r="F42">
        <v>3</v>
      </c>
      <c r="G42">
        <v>1</v>
      </c>
      <c r="H42">
        <v>6</v>
      </c>
      <c r="I42">
        <v>13</v>
      </c>
      <c r="J42">
        <v>0.65</v>
      </c>
      <c r="K42">
        <v>62.88</v>
      </c>
      <c r="L42">
        <v>52.5</v>
      </c>
      <c r="M42">
        <v>54.5</v>
      </c>
      <c r="N42">
        <v>47.85</v>
      </c>
      <c r="O42">
        <v>40.33</v>
      </c>
      <c r="P42">
        <v>54.26</v>
      </c>
      <c r="Q42">
        <v>34.479999999999997</v>
      </c>
      <c r="R42">
        <v>28.04</v>
      </c>
      <c r="S42">
        <v>55.15</v>
      </c>
      <c r="T42">
        <v>2.63</v>
      </c>
      <c r="U42">
        <v>2.86</v>
      </c>
      <c r="V42">
        <v>47.83</v>
      </c>
      <c r="W42">
        <v>2.56</v>
      </c>
      <c r="X42">
        <v>2.2999999999999998</v>
      </c>
      <c r="Y42">
        <v>52.7</v>
      </c>
      <c r="Z42">
        <v>25.77</v>
      </c>
      <c r="AA42">
        <v>25.77</v>
      </c>
      <c r="AB42">
        <v>50</v>
      </c>
      <c r="AC42">
        <v>2.0299999999999998</v>
      </c>
      <c r="AD42">
        <v>2.27</v>
      </c>
      <c r="AE42">
        <v>47.22</v>
      </c>
      <c r="AF42">
        <v>12.23</v>
      </c>
      <c r="AG42">
        <v>85.27</v>
      </c>
      <c r="AH42">
        <v>9.9</v>
      </c>
      <c r="AI42">
        <v>11.1</v>
      </c>
      <c r="AJ42">
        <v>47.16</v>
      </c>
      <c r="AK42">
        <v>1.31</v>
      </c>
      <c r="AL42">
        <v>1.67</v>
      </c>
      <c r="AM42">
        <v>44</v>
      </c>
      <c r="AN42">
        <v>17.190000000000001</v>
      </c>
      <c r="AO42">
        <v>80.28</v>
      </c>
      <c r="AP42">
        <v>7.61</v>
      </c>
      <c r="AQ42">
        <v>89.79</v>
      </c>
      <c r="AR42">
        <v>0.97399999999999998</v>
      </c>
    </row>
    <row r="43" spans="1:44" x14ac:dyDescent="0.35">
      <c r="A43">
        <v>4</v>
      </c>
      <c r="B43" t="s">
        <v>41</v>
      </c>
      <c r="C43">
        <v>10</v>
      </c>
      <c r="D43" t="s">
        <v>328</v>
      </c>
      <c r="E43">
        <v>3</v>
      </c>
      <c r="F43">
        <v>6</v>
      </c>
      <c r="G43">
        <v>1</v>
      </c>
      <c r="H43">
        <v>2</v>
      </c>
      <c r="I43">
        <v>7</v>
      </c>
      <c r="J43">
        <v>0.35</v>
      </c>
      <c r="K43">
        <v>50.84</v>
      </c>
      <c r="L43">
        <v>49.12</v>
      </c>
      <c r="M43">
        <v>50.86</v>
      </c>
      <c r="N43">
        <v>40.409999999999997</v>
      </c>
      <c r="O43">
        <v>37.619999999999997</v>
      </c>
      <c r="P43">
        <v>51.79</v>
      </c>
      <c r="Q43">
        <v>26.65</v>
      </c>
      <c r="R43">
        <v>28.05</v>
      </c>
      <c r="S43">
        <v>48.72</v>
      </c>
      <c r="T43">
        <v>1.83</v>
      </c>
      <c r="U43">
        <v>2.9</v>
      </c>
      <c r="V43">
        <v>38.64</v>
      </c>
      <c r="W43">
        <v>2.13</v>
      </c>
      <c r="X43">
        <v>2.15</v>
      </c>
      <c r="Y43">
        <v>49.77</v>
      </c>
      <c r="Z43">
        <v>23.43</v>
      </c>
      <c r="AA43">
        <v>25.04</v>
      </c>
      <c r="AB43">
        <v>48.34</v>
      </c>
      <c r="AC43">
        <v>1.29</v>
      </c>
      <c r="AD43">
        <v>2.36</v>
      </c>
      <c r="AE43">
        <v>35.29</v>
      </c>
      <c r="AF43">
        <v>9.6</v>
      </c>
      <c r="AG43">
        <v>85.23</v>
      </c>
      <c r="AH43">
        <v>9.67</v>
      </c>
      <c r="AI43">
        <v>9.89</v>
      </c>
      <c r="AJ43">
        <v>49.45</v>
      </c>
      <c r="AK43">
        <v>1.18</v>
      </c>
      <c r="AL43">
        <v>1.93</v>
      </c>
      <c r="AM43">
        <v>37.93</v>
      </c>
      <c r="AN43">
        <v>18.03</v>
      </c>
      <c r="AO43">
        <v>75.34</v>
      </c>
      <c r="AP43">
        <v>6.85</v>
      </c>
      <c r="AQ43">
        <v>89.66</v>
      </c>
      <c r="AR43">
        <v>0.96499999999999997</v>
      </c>
    </row>
    <row r="44" spans="1:44" x14ac:dyDescent="0.35">
      <c r="A44">
        <v>5</v>
      </c>
      <c r="B44" t="s">
        <v>42</v>
      </c>
      <c r="C44">
        <v>10</v>
      </c>
      <c r="D44" t="s">
        <v>329</v>
      </c>
      <c r="E44">
        <v>6</v>
      </c>
      <c r="F44">
        <v>4</v>
      </c>
      <c r="G44">
        <v>0</v>
      </c>
      <c r="H44">
        <v>4</v>
      </c>
      <c r="I44">
        <v>12</v>
      </c>
      <c r="J44">
        <v>0.6</v>
      </c>
      <c r="K44">
        <v>53.29</v>
      </c>
      <c r="L44">
        <v>49.99</v>
      </c>
      <c r="M44">
        <v>51.59</v>
      </c>
      <c r="N44">
        <v>39.409999999999997</v>
      </c>
      <c r="O44">
        <v>38.700000000000003</v>
      </c>
      <c r="P44">
        <v>50.45</v>
      </c>
      <c r="Q44">
        <v>27.05</v>
      </c>
      <c r="R44">
        <v>29.64</v>
      </c>
      <c r="S44">
        <v>47.72</v>
      </c>
      <c r="T44">
        <v>2.71</v>
      </c>
      <c r="U44">
        <v>2.71</v>
      </c>
      <c r="V44">
        <v>50</v>
      </c>
      <c r="W44">
        <v>2.2000000000000002</v>
      </c>
      <c r="X44">
        <v>2.2599999999999998</v>
      </c>
      <c r="Y44">
        <v>49.39</v>
      </c>
      <c r="Z44">
        <v>24.58</v>
      </c>
      <c r="AA44">
        <v>24.35</v>
      </c>
      <c r="AB44">
        <v>50.24</v>
      </c>
      <c r="AC44">
        <v>2.4700000000000002</v>
      </c>
      <c r="AD44">
        <v>2.23</v>
      </c>
      <c r="AE44">
        <v>52.5</v>
      </c>
      <c r="AF44">
        <v>16.940000000000001</v>
      </c>
      <c r="AG44">
        <v>86.33</v>
      </c>
      <c r="AH44">
        <v>10</v>
      </c>
      <c r="AI44">
        <v>9.17</v>
      </c>
      <c r="AJ44">
        <v>52.15</v>
      </c>
      <c r="AK44">
        <v>1.88</v>
      </c>
      <c r="AL44">
        <v>1.65</v>
      </c>
      <c r="AM44">
        <v>53.33</v>
      </c>
      <c r="AN44">
        <v>24.62</v>
      </c>
      <c r="AO44">
        <v>78.13</v>
      </c>
      <c r="AP44">
        <v>10</v>
      </c>
      <c r="AQ44">
        <v>90.87</v>
      </c>
      <c r="AR44">
        <v>1.0089999999999999</v>
      </c>
    </row>
    <row r="45" spans="1:44" x14ac:dyDescent="0.35">
      <c r="A45">
        <v>6</v>
      </c>
      <c r="B45" t="s">
        <v>43</v>
      </c>
      <c r="C45">
        <v>10</v>
      </c>
      <c r="D45" t="s">
        <v>330</v>
      </c>
      <c r="E45">
        <v>3</v>
      </c>
      <c r="F45">
        <v>5</v>
      </c>
      <c r="G45">
        <v>2</v>
      </c>
      <c r="H45">
        <v>3</v>
      </c>
      <c r="I45">
        <v>8</v>
      </c>
      <c r="J45">
        <v>0.4</v>
      </c>
      <c r="K45">
        <v>50.34</v>
      </c>
      <c r="L45">
        <v>54.79</v>
      </c>
      <c r="M45">
        <v>47.88</v>
      </c>
      <c r="N45">
        <v>39.450000000000003</v>
      </c>
      <c r="O45">
        <v>38.75</v>
      </c>
      <c r="P45">
        <v>50.45</v>
      </c>
      <c r="Q45">
        <v>31.14</v>
      </c>
      <c r="R45">
        <v>28.8</v>
      </c>
      <c r="S45">
        <v>51.95</v>
      </c>
      <c r="T45">
        <v>1.99</v>
      </c>
      <c r="U45">
        <v>2.93</v>
      </c>
      <c r="V45">
        <v>40.479999999999997</v>
      </c>
      <c r="W45">
        <v>2.1</v>
      </c>
      <c r="X45">
        <v>1.99</v>
      </c>
      <c r="Y45">
        <v>51.38</v>
      </c>
      <c r="Z45">
        <v>22.71</v>
      </c>
      <c r="AA45">
        <v>23.77</v>
      </c>
      <c r="AB45">
        <v>48.87</v>
      </c>
      <c r="AC45">
        <v>1.76</v>
      </c>
      <c r="AD45">
        <v>2.46</v>
      </c>
      <c r="AE45">
        <v>41.67</v>
      </c>
      <c r="AF45">
        <v>11.19</v>
      </c>
      <c r="AG45">
        <v>83.06</v>
      </c>
      <c r="AH45">
        <v>9.25</v>
      </c>
      <c r="AI45">
        <v>9.6</v>
      </c>
      <c r="AJ45">
        <v>49.07</v>
      </c>
      <c r="AK45">
        <v>1.4</v>
      </c>
      <c r="AL45">
        <v>1.99</v>
      </c>
      <c r="AM45">
        <v>41.38</v>
      </c>
      <c r="AN45">
        <v>18.75</v>
      </c>
      <c r="AO45">
        <v>73.44</v>
      </c>
      <c r="AP45">
        <v>6.39</v>
      </c>
      <c r="AQ45">
        <v>89.84</v>
      </c>
      <c r="AR45">
        <v>0.96199999999999997</v>
      </c>
    </row>
    <row r="46" spans="1:44" x14ac:dyDescent="0.35">
      <c r="A46">
        <v>7</v>
      </c>
      <c r="B46" t="s">
        <v>44</v>
      </c>
      <c r="C46">
        <v>10</v>
      </c>
      <c r="D46" t="s">
        <v>331</v>
      </c>
      <c r="E46">
        <v>4</v>
      </c>
      <c r="F46">
        <v>5</v>
      </c>
      <c r="G46">
        <v>1</v>
      </c>
      <c r="H46">
        <v>4</v>
      </c>
      <c r="I46">
        <v>9</v>
      </c>
      <c r="J46">
        <v>0.45</v>
      </c>
      <c r="K46">
        <v>53.84</v>
      </c>
      <c r="L46">
        <v>61.89</v>
      </c>
      <c r="M46">
        <v>46.52</v>
      </c>
      <c r="N46">
        <v>39.86</v>
      </c>
      <c r="O46">
        <v>47.9</v>
      </c>
      <c r="P46">
        <v>45.42</v>
      </c>
      <c r="Q46">
        <v>30.7</v>
      </c>
      <c r="R46">
        <v>34.29</v>
      </c>
      <c r="S46">
        <v>47.24</v>
      </c>
      <c r="T46">
        <v>1.86</v>
      </c>
      <c r="U46">
        <v>2.97</v>
      </c>
      <c r="V46">
        <v>38.46</v>
      </c>
      <c r="W46">
        <v>2.27</v>
      </c>
      <c r="X46">
        <v>2.63</v>
      </c>
      <c r="Y46">
        <v>46.32</v>
      </c>
      <c r="Z46">
        <v>24.88</v>
      </c>
      <c r="AA46">
        <v>27.73</v>
      </c>
      <c r="AB46">
        <v>47.29</v>
      </c>
      <c r="AC46">
        <v>1.49</v>
      </c>
      <c r="AD46">
        <v>2.48</v>
      </c>
      <c r="AE46">
        <v>37.5</v>
      </c>
      <c r="AF46">
        <v>9.3800000000000008</v>
      </c>
      <c r="AG46">
        <v>85.19</v>
      </c>
      <c r="AH46">
        <v>10.029999999999999</v>
      </c>
      <c r="AI46">
        <v>12.01</v>
      </c>
      <c r="AJ46">
        <v>45.51</v>
      </c>
      <c r="AK46">
        <v>0.74</v>
      </c>
      <c r="AL46">
        <v>1.49</v>
      </c>
      <c r="AM46">
        <v>33.33</v>
      </c>
      <c r="AN46">
        <v>10</v>
      </c>
      <c r="AO46">
        <v>83.1</v>
      </c>
      <c r="AP46">
        <v>6.05</v>
      </c>
      <c r="AQ46">
        <v>91.34</v>
      </c>
      <c r="AR46">
        <v>0.97399999999999998</v>
      </c>
    </row>
    <row r="47" spans="1:44" x14ac:dyDescent="0.35">
      <c r="A47">
        <v>8</v>
      </c>
      <c r="B47" t="s">
        <v>45</v>
      </c>
      <c r="C47">
        <v>10</v>
      </c>
      <c r="D47" t="s">
        <v>332</v>
      </c>
      <c r="E47">
        <v>6</v>
      </c>
      <c r="F47">
        <v>1</v>
      </c>
      <c r="G47">
        <v>3</v>
      </c>
      <c r="H47">
        <v>5</v>
      </c>
      <c r="I47">
        <v>15</v>
      </c>
      <c r="J47">
        <v>0.75</v>
      </c>
      <c r="K47">
        <v>49.46</v>
      </c>
      <c r="L47">
        <v>58.26</v>
      </c>
      <c r="M47">
        <v>45.91</v>
      </c>
      <c r="N47">
        <v>38.22</v>
      </c>
      <c r="O47">
        <v>45.17</v>
      </c>
      <c r="P47">
        <v>45.83</v>
      </c>
      <c r="Q47">
        <v>28.38</v>
      </c>
      <c r="R47">
        <v>30.23</v>
      </c>
      <c r="S47">
        <v>48.42</v>
      </c>
      <c r="T47">
        <v>1.97</v>
      </c>
      <c r="U47">
        <v>1.85</v>
      </c>
      <c r="V47">
        <v>51.52</v>
      </c>
      <c r="W47">
        <v>1.97</v>
      </c>
      <c r="X47">
        <v>2.25</v>
      </c>
      <c r="Y47">
        <v>46.8</v>
      </c>
      <c r="Z47">
        <v>23.28</v>
      </c>
      <c r="AA47">
        <v>28.49</v>
      </c>
      <c r="AB47">
        <v>44.97</v>
      </c>
      <c r="AC47">
        <v>1.39</v>
      </c>
      <c r="AD47">
        <v>1.74</v>
      </c>
      <c r="AE47">
        <v>44.44</v>
      </c>
      <c r="AF47">
        <v>9.09</v>
      </c>
      <c r="AG47">
        <v>88.1</v>
      </c>
      <c r="AH47">
        <v>7.53</v>
      </c>
      <c r="AI47">
        <v>10.31</v>
      </c>
      <c r="AJ47">
        <v>42.21</v>
      </c>
      <c r="AK47">
        <v>0.57999999999999996</v>
      </c>
      <c r="AL47">
        <v>0.81</v>
      </c>
      <c r="AM47">
        <v>41.67</v>
      </c>
      <c r="AN47">
        <v>9.6199999999999992</v>
      </c>
      <c r="AO47">
        <v>87.93</v>
      </c>
      <c r="AP47">
        <v>6.94</v>
      </c>
      <c r="AQ47">
        <v>93.87</v>
      </c>
      <c r="AR47">
        <v>1.008</v>
      </c>
    </row>
    <row r="48" spans="1:44" x14ac:dyDescent="0.35">
      <c r="A48">
        <v>9</v>
      </c>
      <c r="B48" t="s">
        <v>46</v>
      </c>
      <c r="C48">
        <v>10</v>
      </c>
      <c r="D48" t="s">
        <v>333</v>
      </c>
      <c r="E48">
        <v>6</v>
      </c>
      <c r="F48">
        <v>3</v>
      </c>
      <c r="G48">
        <v>1</v>
      </c>
      <c r="H48">
        <v>6</v>
      </c>
      <c r="I48">
        <v>13</v>
      </c>
      <c r="J48">
        <v>0.65</v>
      </c>
      <c r="K48">
        <v>64.319999999999993</v>
      </c>
      <c r="L48">
        <v>48.36</v>
      </c>
      <c r="M48">
        <v>57.08</v>
      </c>
      <c r="N48">
        <v>46.74</v>
      </c>
      <c r="O48">
        <v>36.770000000000003</v>
      </c>
      <c r="P48">
        <v>55.97</v>
      </c>
      <c r="Q48">
        <v>31.29</v>
      </c>
      <c r="R48">
        <v>26.3</v>
      </c>
      <c r="S48">
        <v>54.33</v>
      </c>
      <c r="T48">
        <v>2.87</v>
      </c>
      <c r="U48">
        <v>2.62</v>
      </c>
      <c r="V48">
        <v>52.27</v>
      </c>
      <c r="W48">
        <v>2.57</v>
      </c>
      <c r="X48">
        <v>2.2999999999999998</v>
      </c>
      <c r="Y48">
        <v>52.71</v>
      </c>
      <c r="Z48">
        <v>30.79</v>
      </c>
      <c r="AA48">
        <v>24.31</v>
      </c>
      <c r="AB48">
        <v>55.88</v>
      </c>
      <c r="AC48">
        <v>2.2400000000000002</v>
      </c>
      <c r="AD48">
        <v>2.2400000000000002</v>
      </c>
      <c r="AE48">
        <v>50</v>
      </c>
      <c r="AF48">
        <v>14.29</v>
      </c>
      <c r="AG48">
        <v>84.62</v>
      </c>
      <c r="AH48">
        <v>10.220000000000001</v>
      </c>
      <c r="AI48">
        <v>10.84</v>
      </c>
      <c r="AJ48">
        <v>48.52</v>
      </c>
      <c r="AK48">
        <v>1.1200000000000001</v>
      </c>
      <c r="AL48">
        <v>1.1200000000000001</v>
      </c>
      <c r="AM48">
        <v>50</v>
      </c>
      <c r="AN48">
        <v>16.98</v>
      </c>
      <c r="AO48">
        <v>85</v>
      </c>
      <c r="AP48">
        <v>9.16</v>
      </c>
      <c r="AQ48">
        <v>90.05</v>
      </c>
      <c r="AR48">
        <v>0.99199999999999999</v>
      </c>
    </row>
    <row r="49" spans="1:44" x14ac:dyDescent="0.35">
      <c r="A49">
        <v>10</v>
      </c>
      <c r="B49" t="s">
        <v>47</v>
      </c>
      <c r="C49">
        <v>8</v>
      </c>
      <c r="D49" t="s">
        <v>334</v>
      </c>
      <c r="E49">
        <v>2</v>
      </c>
      <c r="F49">
        <v>5</v>
      </c>
      <c r="G49">
        <v>1</v>
      </c>
      <c r="H49">
        <v>2</v>
      </c>
      <c r="I49">
        <v>5</v>
      </c>
      <c r="J49">
        <v>0.313</v>
      </c>
      <c r="K49">
        <v>45.29</v>
      </c>
      <c r="L49">
        <v>53.92</v>
      </c>
      <c r="M49">
        <v>45.65</v>
      </c>
      <c r="N49">
        <v>35.119999999999997</v>
      </c>
      <c r="O49">
        <v>42.67</v>
      </c>
      <c r="P49">
        <v>45.15</v>
      </c>
      <c r="Q49">
        <v>25.42</v>
      </c>
      <c r="R49">
        <v>32.5</v>
      </c>
      <c r="S49">
        <v>43.88</v>
      </c>
      <c r="T49">
        <v>2.16</v>
      </c>
      <c r="U49">
        <v>2.46</v>
      </c>
      <c r="V49">
        <v>46.67</v>
      </c>
      <c r="W49">
        <v>2.1800000000000002</v>
      </c>
      <c r="X49">
        <v>2.2000000000000002</v>
      </c>
      <c r="Y49">
        <v>49.8</v>
      </c>
      <c r="Z49">
        <v>23.42</v>
      </c>
      <c r="AA49">
        <v>23.88</v>
      </c>
      <c r="AB49">
        <v>49.51</v>
      </c>
      <c r="AC49">
        <v>1.85</v>
      </c>
      <c r="AD49">
        <v>1.08</v>
      </c>
      <c r="AE49">
        <v>63.16</v>
      </c>
      <c r="AF49">
        <v>12.77</v>
      </c>
      <c r="AG49">
        <v>93</v>
      </c>
      <c r="AH49">
        <v>8.7799999999999994</v>
      </c>
      <c r="AI49">
        <v>9.5500000000000007</v>
      </c>
      <c r="AJ49">
        <v>47.9</v>
      </c>
      <c r="AK49">
        <v>1.54</v>
      </c>
      <c r="AL49">
        <v>0.77</v>
      </c>
      <c r="AM49">
        <v>66.67</v>
      </c>
      <c r="AN49">
        <v>23.81</v>
      </c>
      <c r="AO49">
        <v>89.36</v>
      </c>
      <c r="AP49">
        <v>8.48</v>
      </c>
      <c r="AQ49">
        <v>92.42</v>
      </c>
      <c r="AR49">
        <v>1.0089999999999999</v>
      </c>
    </row>
    <row r="50" spans="1:44" x14ac:dyDescent="0.35">
      <c r="A50">
        <v>11</v>
      </c>
      <c r="B50" t="s">
        <v>48</v>
      </c>
      <c r="C50">
        <v>10</v>
      </c>
      <c r="D50" t="s">
        <v>335</v>
      </c>
      <c r="E50">
        <v>3</v>
      </c>
      <c r="F50">
        <v>7</v>
      </c>
      <c r="G50">
        <v>0</v>
      </c>
      <c r="H50">
        <v>3</v>
      </c>
      <c r="I50">
        <v>6</v>
      </c>
      <c r="J50">
        <v>0.3</v>
      </c>
      <c r="K50">
        <v>49.62</v>
      </c>
      <c r="L50">
        <v>55.68</v>
      </c>
      <c r="M50">
        <v>47.12</v>
      </c>
      <c r="N50">
        <v>39.26</v>
      </c>
      <c r="O50">
        <v>42.98</v>
      </c>
      <c r="P50">
        <v>47.73</v>
      </c>
      <c r="Q50">
        <v>30.4</v>
      </c>
      <c r="R50">
        <v>30.4</v>
      </c>
      <c r="S50">
        <v>50</v>
      </c>
      <c r="T50">
        <v>2.21</v>
      </c>
      <c r="U50">
        <v>3.38</v>
      </c>
      <c r="V50">
        <v>39.58</v>
      </c>
      <c r="W50">
        <v>1.96</v>
      </c>
      <c r="X50">
        <v>2.4</v>
      </c>
      <c r="Y50">
        <v>44.94</v>
      </c>
      <c r="Z50">
        <v>23.06</v>
      </c>
      <c r="AA50">
        <v>26.91</v>
      </c>
      <c r="AB50">
        <v>46.15</v>
      </c>
      <c r="AC50">
        <v>2.1</v>
      </c>
      <c r="AD50">
        <v>2.56</v>
      </c>
      <c r="AE50">
        <v>45</v>
      </c>
      <c r="AF50">
        <v>14.4</v>
      </c>
      <c r="AG50">
        <v>83.7</v>
      </c>
      <c r="AH50">
        <v>8.5</v>
      </c>
      <c r="AI50">
        <v>9.09</v>
      </c>
      <c r="AJ50">
        <v>48.34</v>
      </c>
      <c r="AK50">
        <v>1.4</v>
      </c>
      <c r="AL50">
        <v>1.4</v>
      </c>
      <c r="AM50">
        <v>50</v>
      </c>
      <c r="AN50">
        <v>19.670000000000002</v>
      </c>
      <c r="AO50">
        <v>76.92</v>
      </c>
      <c r="AP50">
        <v>7.28</v>
      </c>
      <c r="AQ50">
        <v>88.89</v>
      </c>
      <c r="AR50">
        <v>0.96199999999999997</v>
      </c>
    </row>
    <row r="51" spans="1:44" x14ac:dyDescent="0.35">
      <c r="A51">
        <v>12</v>
      </c>
      <c r="B51" t="s">
        <v>49</v>
      </c>
      <c r="C51">
        <v>10</v>
      </c>
      <c r="D51" t="s">
        <v>327</v>
      </c>
      <c r="E51">
        <v>7</v>
      </c>
      <c r="F51">
        <v>3</v>
      </c>
      <c r="G51">
        <v>0</v>
      </c>
      <c r="H51">
        <v>7</v>
      </c>
      <c r="I51">
        <v>14</v>
      </c>
      <c r="J51">
        <v>0.7</v>
      </c>
      <c r="K51">
        <v>54.29</v>
      </c>
      <c r="L51">
        <v>58.95</v>
      </c>
      <c r="M51">
        <v>47.95</v>
      </c>
      <c r="N51">
        <v>41.76</v>
      </c>
      <c r="O51">
        <v>44.39</v>
      </c>
      <c r="P51">
        <v>48.48</v>
      </c>
      <c r="Q51">
        <v>29.71</v>
      </c>
      <c r="R51">
        <v>32.58</v>
      </c>
      <c r="S51">
        <v>47.7</v>
      </c>
      <c r="T51">
        <v>2.86</v>
      </c>
      <c r="U51">
        <v>2.5099999999999998</v>
      </c>
      <c r="V51">
        <v>53.33</v>
      </c>
      <c r="W51">
        <v>2.64</v>
      </c>
      <c r="X51">
        <v>2.44</v>
      </c>
      <c r="Y51">
        <v>51.89</v>
      </c>
      <c r="Z51">
        <v>26.13</v>
      </c>
      <c r="AA51">
        <v>28.28</v>
      </c>
      <c r="AB51">
        <v>48.03</v>
      </c>
      <c r="AC51">
        <v>2.39</v>
      </c>
      <c r="AD51">
        <v>2.0299999999999998</v>
      </c>
      <c r="AE51">
        <v>54.05</v>
      </c>
      <c r="AF51">
        <v>14.49</v>
      </c>
      <c r="AG51">
        <v>88.19</v>
      </c>
      <c r="AH51">
        <v>11.81</v>
      </c>
      <c r="AI51">
        <v>10.74</v>
      </c>
      <c r="AJ51">
        <v>52.38</v>
      </c>
      <c r="AK51">
        <v>1.43</v>
      </c>
      <c r="AL51">
        <v>1.31</v>
      </c>
      <c r="AM51">
        <v>52.17</v>
      </c>
      <c r="AN51">
        <v>15.38</v>
      </c>
      <c r="AO51">
        <v>83.33</v>
      </c>
      <c r="AP51">
        <v>9.64</v>
      </c>
      <c r="AQ51">
        <v>92.31</v>
      </c>
      <c r="AR51">
        <v>1.0189999999999999</v>
      </c>
    </row>
    <row r="52" spans="1:44" x14ac:dyDescent="0.35">
      <c r="A52">
        <v>13</v>
      </c>
      <c r="B52" t="s">
        <v>50</v>
      </c>
      <c r="C52">
        <v>10</v>
      </c>
      <c r="D52" t="s">
        <v>336</v>
      </c>
      <c r="E52">
        <v>7</v>
      </c>
      <c r="F52">
        <v>2</v>
      </c>
      <c r="G52">
        <v>1</v>
      </c>
      <c r="H52">
        <v>7</v>
      </c>
      <c r="I52">
        <v>15</v>
      </c>
      <c r="J52">
        <v>0.75</v>
      </c>
      <c r="K52">
        <v>51.72</v>
      </c>
      <c r="L52">
        <v>56.73</v>
      </c>
      <c r="M52">
        <v>47.69</v>
      </c>
      <c r="N52">
        <v>40.49</v>
      </c>
      <c r="O52">
        <v>45.86</v>
      </c>
      <c r="P52">
        <v>46.89</v>
      </c>
      <c r="Q52">
        <v>30.22</v>
      </c>
      <c r="R52">
        <v>31.17</v>
      </c>
      <c r="S52">
        <v>49.22</v>
      </c>
      <c r="T52">
        <v>3.34</v>
      </c>
      <c r="U52">
        <v>2.63</v>
      </c>
      <c r="V52">
        <v>56</v>
      </c>
      <c r="W52">
        <v>1.98</v>
      </c>
      <c r="X52">
        <v>2.34</v>
      </c>
      <c r="Y52">
        <v>45.79</v>
      </c>
      <c r="Z52">
        <v>21.5</v>
      </c>
      <c r="AA52">
        <v>26.99</v>
      </c>
      <c r="AB52">
        <v>44.33</v>
      </c>
      <c r="AC52">
        <v>2.75</v>
      </c>
      <c r="AD52">
        <v>2.0299999999999998</v>
      </c>
      <c r="AE52">
        <v>57.5</v>
      </c>
      <c r="AF52">
        <v>19.829999999999998</v>
      </c>
      <c r="AG52">
        <v>86.4</v>
      </c>
      <c r="AH52">
        <v>8.1199999999999992</v>
      </c>
      <c r="AI52">
        <v>9.08</v>
      </c>
      <c r="AJ52">
        <v>47.22</v>
      </c>
      <c r="AK52">
        <v>2.0299999999999998</v>
      </c>
      <c r="AL52">
        <v>1.67</v>
      </c>
      <c r="AM52">
        <v>54.84</v>
      </c>
      <c r="AN52">
        <v>29.31</v>
      </c>
      <c r="AO52">
        <v>74.55</v>
      </c>
      <c r="AP52">
        <v>11.07</v>
      </c>
      <c r="AQ52">
        <v>91.57</v>
      </c>
      <c r="AR52">
        <v>1.026</v>
      </c>
    </row>
    <row r="53" spans="1:44" x14ac:dyDescent="0.35">
      <c r="A53">
        <v>14</v>
      </c>
      <c r="B53" t="s">
        <v>51</v>
      </c>
      <c r="C53">
        <v>10</v>
      </c>
      <c r="D53" t="s">
        <v>337</v>
      </c>
      <c r="E53">
        <v>5</v>
      </c>
      <c r="F53">
        <v>4</v>
      </c>
      <c r="G53">
        <v>1</v>
      </c>
      <c r="H53">
        <v>4</v>
      </c>
      <c r="I53">
        <v>11</v>
      </c>
      <c r="J53">
        <v>0.55000000000000004</v>
      </c>
      <c r="K53">
        <v>49.6</v>
      </c>
      <c r="L53">
        <v>51.52</v>
      </c>
      <c r="M53">
        <v>49.05</v>
      </c>
      <c r="N53">
        <v>36.42</v>
      </c>
      <c r="O53">
        <v>39.299999999999997</v>
      </c>
      <c r="P53">
        <v>48.1</v>
      </c>
      <c r="Q53">
        <v>26.24</v>
      </c>
      <c r="R53">
        <v>29.95</v>
      </c>
      <c r="S53">
        <v>46.7</v>
      </c>
      <c r="T53">
        <v>2.04</v>
      </c>
      <c r="U53">
        <v>2.76</v>
      </c>
      <c r="V53">
        <v>42.5</v>
      </c>
      <c r="W53">
        <v>2.0099999999999998</v>
      </c>
      <c r="X53">
        <v>2.1800000000000002</v>
      </c>
      <c r="Y53">
        <v>47.97</v>
      </c>
      <c r="Z53">
        <v>19.05</v>
      </c>
      <c r="AA53">
        <v>25.88</v>
      </c>
      <c r="AB53">
        <v>42.4</v>
      </c>
      <c r="AC53">
        <v>1.68</v>
      </c>
      <c r="AD53">
        <v>2.52</v>
      </c>
      <c r="AE53">
        <v>40</v>
      </c>
      <c r="AF53">
        <v>13.86</v>
      </c>
      <c r="AG53">
        <v>85.21</v>
      </c>
      <c r="AH53">
        <v>7.67</v>
      </c>
      <c r="AI53">
        <v>10.06</v>
      </c>
      <c r="AJ53">
        <v>43.24</v>
      </c>
      <c r="AK53">
        <v>0.96</v>
      </c>
      <c r="AL53">
        <v>1.56</v>
      </c>
      <c r="AM53">
        <v>38.1</v>
      </c>
      <c r="AN53">
        <v>17.02</v>
      </c>
      <c r="AO53">
        <v>78.69</v>
      </c>
      <c r="AP53">
        <v>7.76</v>
      </c>
      <c r="AQ53">
        <v>90.8</v>
      </c>
      <c r="AR53">
        <v>0.98599999999999999</v>
      </c>
    </row>
    <row r="54" spans="1:44" x14ac:dyDescent="0.35">
      <c r="A54">
        <v>15</v>
      </c>
      <c r="B54" t="s">
        <v>52</v>
      </c>
      <c r="C54">
        <v>10</v>
      </c>
      <c r="D54" t="s">
        <v>338</v>
      </c>
      <c r="E54">
        <v>5</v>
      </c>
      <c r="F54">
        <v>4</v>
      </c>
      <c r="G54">
        <v>1</v>
      </c>
      <c r="H54">
        <v>5</v>
      </c>
      <c r="I54">
        <v>11</v>
      </c>
      <c r="J54">
        <v>0.55000000000000004</v>
      </c>
      <c r="K54">
        <v>50.78</v>
      </c>
      <c r="L54">
        <v>60.27</v>
      </c>
      <c r="M54">
        <v>45.73</v>
      </c>
      <c r="N54">
        <v>40.340000000000003</v>
      </c>
      <c r="O54">
        <v>42.98</v>
      </c>
      <c r="P54">
        <v>48.41</v>
      </c>
      <c r="Q54">
        <v>30.01</v>
      </c>
      <c r="R54">
        <v>28.81</v>
      </c>
      <c r="S54">
        <v>51.02</v>
      </c>
      <c r="T54">
        <v>3.48</v>
      </c>
      <c r="U54">
        <v>2.76</v>
      </c>
      <c r="V54">
        <v>55.77</v>
      </c>
      <c r="W54">
        <v>2.75</v>
      </c>
      <c r="X54">
        <v>2.86</v>
      </c>
      <c r="Y54">
        <v>49.01</v>
      </c>
      <c r="Z54">
        <v>25.93</v>
      </c>
      <c r="AA54">
        <v>27.73</v>
      </c>
      <c r="AB54">
        <v>48.32</v>
      </c>
      <c r="AC54">
        <v>3.12</v>
      </c>
      <c r="AD54">
        <v>2.52</v>
      </c>
      <c r="AE54">
        <v>55.32</v>
      </c>
      <c r="AF54">
        <v>17.93</v>
      </c>
      <c r="AG54">
        <v>84.21</v>
      </c>
      <c r="AH54">
        <v>11.77</v>
      </c>
      <c r="AI54">
        <v>11.65</v>
      </c>
      <c r="AJ54">
        <v>50.26</v>
      </c>
      <c r="AK54">
        <v>2.04</v>
      </c>
      <c r="AL54">
        <v>1.8</v>
      </c>
      <c r="AM54">
        <v>53.13</v>
      </c>
      <c r="AN54">
        <v>20.99</v>
      </c>
      <c r="AO54">
        <v>78.87</v>
      </c>
      <c r="AP54">
        <v>11.6</v>
      </c>
      <c r="AQ54">
        <v>90.42</v>
      </c>
      <c r="AR54">
        <v>1.02</v>
      </c>
    </row>
    <row r="55" spans="1:44" x14ac:dyDescent="0.35">
      <c r="A55">
        <v>16</v>
      </c>
      <c r="B55" t="s">
        <v>53</v>
      </c>
      <c r="C55">
        <v>10</v>
      </c>
      <c r="D55" t="s">
        <v>339</v>
      </c>
      <c r="E55">
        <v>5</v>
      </c>
      <c r="F55">
        <v>1</v>
      </c>
      <c r="G55">
        <v>4</v>
      </c>
      <c r="H55">
        <v>5</v>
      </c>
      <c r="I55">
        <v>14</v>
      </c>
      <c r="J55">
        <v>0.7</v>
      </c>
      <c r="K55">
        <v>64.599999999999994</v>
      </c>
      <c r="L55">
        <v>49.01</v>
      </c>
      <c r="M55">
        <v>56.86</v>
      </c>
      <c r="N55">
        <v>47.9</v>
      </c>
      <c r="O55">
        <v>38.57</v>
      </c>
      <c r="P55">
        <v>55.4</v>
      </c>
      <c r="Q55">
        <v>34.39</v>
      </c>
      <c r="R55">
        <v>24.93</v>
      </c>
      <c r="S55">
        <v>57.97</v>
      </c>
      <c r="T55">
        <v>3.19</v>
      </c>
      <c r="U55">
        <v>2.21</v>
      </c>
      <c r="V55">
        <v>59.09</v>
      </c>
      <c r="W55">
        <v>2.5099999999999998</v>
      </c>
      <c r="X55">
        <v>2.08</v>
      </c>
      <c r="Y55">
        <v>54.63</v>
      </c>
      <c r="Z55">
        <v>28.99</v>
      </c>
      <c r="AA55">
        <v>23.09</v>
      </c>
      <c r="AB55">
        <v>55.66</v>
      </c>
      <c r="AC55">
        <v>2.58</v>
      </c>
      <c r="AD55">
        <v>2.21</v>
      </c>
      <c r="AE55">
        <v>53.85</v>
      </c>
      <c r="AF55">
        <v>14.89</v>
      </c>
      <c r="AG55">
        <v>82.69</v>
      </c>
      <c r="AH55">
        <v>10.44</v>
      </c>
      <c r="AI55">
        <v>8.4700000000000006</v>
      </c>
      <c r="AJ55">
        <v>55.19</v>
      </c>
      <c r="AK55">
        <v>1.72</v>
      </c>
      <c r="AL55">
        <v>1.35</v>
      </c>
      <c r="AM55">
        <v>56</v>
      </c>
      <c r="AN55">
        <v>20.59</v>
      </c>
      <c r="AO55">
        <v>78.430000000000007</v>
      </c>
      <c r="AP55">
        <v>9.2899999999999991</v>
      </c>
      <c r="AQ55">
        <v>91.13</v>
      </c>
      <c r="AR55">
        <v>1.004</v>
      </c>
    </row>
    <row r="56" spans="1:44" x14ac:dyDescent="0.35">
      <c r="A56">
        <v>17</v>
      </c>
      <c r="B56" t="s">
        <v>54</v>
      </c>
      <c r="C56">
        <v>9</v>
      </c>
      <c r="D56" t="s">
        <v>340</v>
      </c>
      <c r="E56">
        <v>6</v>
      </c>
      <c r="F56">
        <v>2</v>
      </c>
      <c r="G56">
        <v>1</v>
      </c>
      <c r="H56">
        <v>6</v>
      </c>
      <c r="I56">
        <v>13</v>
      </c>
      <c r="J56">
        <v>0.72199999999999998</v>
      </c>
      <c r="K56">
        <v>59.54</v>
      </c>
      <c r="L56">
        <v>59.27</v>
      </c>
      <c r="M56">
        <v>50.11</v>
      </c>
      <c r="N56">
        <v>45.15</v>
      </c>
      <c r="O56">
        <v>46.34</v>
      </c>
      <c r="P56">
        <v>49.35</v>
      </c>
      <c r="Q56">
        <v>33.14</v>
      </c>
      <c r="R56">
        <v>34.06</v>
      </c>
      <c r="S56">
        <v>49.31</v>
      </c>
      <c r="T56">
        <v>3.04</v>
      </c>
      <c r="U56">
        <v>1.32</v>
      </c>
      <c r="V56">
        <v>69.7</v>
      </c>
      <c r="W56">
        <v>2.92</v>
      </c>
      <c r="X56">
        <v>2.5299999999999998</v>
      </c>
      <c r="Y56">
        <v>53.54</v>
      </c>
      <c r="Z56">
        <v>28.51</v>
      </c>
      <c r="AA56">
        <v>27.33</v>
      </c>
      <c r="AB56">
        <v>51.06</v>
      </c>
      <c r="AC56">
        <v>2.64</v>
      </c>
      <c r="AD56">
        <v>1.19</v>
      </c>
      <c r="AE56">
        <v>68.97</v>
      </c>
      <c r="AF56">
        <v>14.71</v>
      </c>
      <c r="AG56">
        <v>92.97</v>
      </c>
      <c r="AH56">
        <v>12.67</v>
      </c>
      <c r="AI56">
        <v>12.81</v>
      </c>
      <c r="AJ56">
        <v>49.74</v>
      </c>
      <c r="AK56">
        <v>1.72</v>
      </c>
      <c r="AL56">
        <v>0.66</v>
      </c>
      <c r="AM56">
        <v>72.22</v>
      </c>
      <c r="AN56">
        <v>18.84</v>
      </c>
      <c r="AO56">
        <v>93.15</v>
      </c>
      <c r="AP56">
        <v>9.16</v>
      </c>
      <c r="AQ56">
        <v>96.12</v>
      </c>
      <c r="AR56">
        <v>1.0529999999999999</v>
      </c>
    </row>
    <row r="57" spans="1:44" x14ac:dyDescent="0.35">
      <c r="A57">
        <v>18</v>
      </c>
      <c r="B57" t="s">
        <v>55</v>
      </c>
      <c r="C57">
        <v>10</v>
      </c>
      <c r="D57" t="s">
        <v>341</v>
      </c>
      <c r="E57">
        <v>4</v>
      </c>
      <c r="F57">
        <v>6</v>
      </c>
      <c r="G57">
        <v>0</v>
      </c>
      <c r="H57">
        <v>3</v>
      </c>
      <c r="I57">
        <v>8</v>
      </c>
      <c r="J57">
        <v>0.4</v>
      </c>
      <c r="K57">
        <v>54.76</v>
      </c>
      <c r="L57">
        <v>51.56</v>
      </c>
      <c r="M57">
        <v>51.51</v>
      </c>
      <c r="N57">
        <v>40.53</v>
      </c>
      <c r="O57">
        <v>38.64</v>
      </c>
      <c r="P57">
        <v>51.2</v>
      </c>
      <c r="Q57">
        <v>29.75</v>
      </c>
      <c r="R57">
        <v>28.44</v>
      </c>
      <c r="S57">
        <v>51.12</v>
      </c>
      <c r="T57">
        <v>1.66</v>
      </c>
      <c r="U57">
        <v>2.61</v>
      </c>
      <c r="V57">
        <v>38.89</v>
      </c>
      <c r="W57">
        <v>2.13</v>
      </c>
      <c r="X57">
        <v>2.37</v>
      </c>
      <c r="Y57">
        <v>47.38</v>
      </c>
      <c r="Z57">
        <v>23.7</v>
      </c>
      <c r="AA57">
        <v>24.65</v>
      </c>
      <c r="AB57">
        <v>49.02</v>
      </c>
      <c r="AC57">
        <v>1.54</v>
      </c>
      <c r="AD57">
        <v>1.54</v>
      </c>
      <c r="AE57">
        <v>50</v>
      </c>
      <c r="AF57">
        <v>10.57</v>
      </c>
      <c r="AG57">
        <v>89.17</v>
      </c>
      <c r="AH57">
        <v>10.19</v>
      </c>
      <c r="AI57">
        <v>9.84</v>
      </c>
      <c r="AJ57">
        <v>50.89</v>
      </c>
      <c r="AK57">
        <v>1.07</v>
      </c>
      <c r="AL57">
        <v>1.07</v>
      </c>
      <c r="AM57">
        <v>50</v>
      </c>
      <c r="AN57">
        <v>14.75</v>
      </c>
      <c r="AO57">
        <v>85</v>
      </c>
      <c r="AP57">
        <v>5.58</v>
      </c>
      <c r="AQ57">
        <v>90.83</v>
      </c>
      <c r="AR57">
        <v>0.96399999999999997</v>
      </c>
    </row>
    <row r="58" spans="1:44" x14ac:dyDescent="0.35">
      <c r="A58">
        <v>19</v>
      </c>
      <c r="B58" t="s">
        <v>56</v>
      </c>
      <c r="C58">
        <v>10</v>
      </c>
      <c r="D58" t="s">
        <v>342</v>
      </c>
      <c r="E58">
        <v>4</v>
      </c>
      <c r="F58">
        <v>4</v>
      </c>
      <c r="G58">
        <v>2</v>
      </c>
      <c r="H58">
        <v>4</v>
      </c>
      <c r="I58">
        <v>10</v>
      </c>
      <c r="J58">
        <v>0.5</v>
      </c>
      <c r="K58">
        <v>53.65</v>
      </c>
      <c r="L58">
        <v>50.75</v>
      </c>
      <c r="M58">
        <v>51.39</v>
      </c>
      <c r="N58">
        <v>39.630000000000003</v>
      </c>
      <c r="O58">
        <v>35.57</v>
      </c>
      <c r="P58">
        <v>52.7</v>
      </c>
      <c r="Q58">
        <v>29.2</v>
      </c>
      <c r="R58">
        <v>24.57</v>
      </c>
      <c r="S58">
        <v>54.31</v>
      </c>
      <c r="T58">
        <v>2.2000000000000002</v>
      </c>
      <c r="U58">
        <v>2.2000000000000002</v>
      </c>
      <c r="V58">
        <v>50</v>
      </c>
      <c r="W58">
        <v>2.09</v>
      </c>
      <c r="X58">
        <v>1.9</v>
      </c>
      <c r="Y58">
        <v>52.36</v>
      </c>
      <c r="Z58">
        <v>22.71</v>
      </c>
      <c r="AA58">
        <v>22.13</v>
      </c>
      <c r="AB58">
        <v>50.65</v>
      </c>
      <c r="AC58">
        <v>1.51</v>
      </c>
      <c r="AD58">
        <v>1.85</v>
      </c>
      <c r="AE58">
        <v>44.83</v>
      </c>
      <c r="AF58">
        <v>11.5</v>
      </c>
      <c r="AG58">
        <v>84.91</v>
      </c>
      <c r="AH58">
        <v>8.34</v>
      </c>
      <c r="AI58">
        <v>7.65</v>
      </c>
      <c r="AJ58">
        <v>52.17</v>
      </c>
      <c r="AK58">
        <v>0.93</v>
      </c>
      <c r="AL58">
        <v>1.1599999999999999</v>
      </c>
      <c r="AM58">
        <v>44.44</v>
      </c>
      <c r="AN58">
        <v>14.29</v>
      </c>
      <c r="AO58">
        <v>80</v>
      </c>
      <c r="AP58">
        <v>7.54</v>
      </c>
      <c r="AQ58">
        <v>91.04</v>
      </c>
      <c r="AR58">
        <v>0.98599999999999999</v>
      </c>
    </row>
    <row r="59" spans="1:44" x14ac:dyDescent="0.35">
      <c r="A59">
        <v>20</v>
      </c>
      <c r="B59" t="s">
        <v>57</v>
      </c>
      <c r="C59">
        <v>10</v>
      </c>
      <c r="D59" t="s">
        <v>343</v>
      </c>
      <c r="E59">
        <v>5</v>
      </c>
      <c r="F59">
        <v>4</v>
      </c>
      <c r="G59">
        <v>1</v>
      </c>
      <c r="H59">
        <v>4</v>
      </c>
      <c r="I59">
        <v>11</v>
      </c>
      <c r="J59">
        <v>0.55000000000000004</v>
      </c>
      <c r="K59">
        <v>45.62</v>
      </c>
      <c r="L59">
        <v>50.95</v>
      </c>
      <c r="M59">
        <v>47.24</v>
      </c>
      <c r="N59">
        <v>35.94</v>
      </c>
      <c r="O59">
        <v>38</v>
      </c>
      <c r="P59">
        <v>48.61</v>
      </c>
      <c r="Q59">
        <v>27.47</v>
      </c>
      <c r="R59">
        <v>26.38</v>
      </c>
      <c r="S59">
        <v>51.01</v>
      </c>
      <c r="T59">
        <v>2.9</v>
      </c>
      <c r="U59">
        <v>2.54</v>
      </c>
      <c r="V59">
        <v>53.33</v>
      </c>
      <c r="W59">
        <v>2.02</v>
      </c>
      <c r="X59">
        <v>2.23</v>
      </c>
      <c r="Y59">
        <v>47.53</v>
      </c>
      <c r="Z59">
        <v>19.850000000000001</v>
      </c>
      <c r="AA59">
        <v>23.84</v>
      </c>
      <c r="AB59">
        <v>45.43</v>
      </c>
      <c r="AC59">
        <v>2.1800000000000002</v>
      </c>
      <c r="AD59">
        <v>1.94</v>
      </c>
      <c r="AE59">
        <v>52.94</v>
      </c>
      <c r="AF59">
        <v>17.48</v>
      </c>
      <c r="AG59">
        <v>85.59</v>
      </c>
      <c r="AH59">
        <v>8.59</v>
      </c>
      <c r="AI59">
        <v>8.9600000000000009</v>
      </c>
      <c r="AJ59">
        <v>48.97</v>
      </c>
      <c r="AK59">
        <v>1.33</v>
      </c>
      <c r="AL59">
        <v>1.21</v>
      </c>
      <c r="AM59">
        <v>52.38</v>
      </c>
      <c r="AN59">
        <v>20.75</v>
      </c>
      <c r="AO59">
        <v>80.39</v>
      </c>
      <c r="AP59">
        <v>10.57</v>
      </c>
      <c r="AQ59">
        <v>90.37</v>
      </c>
      <c r="AR59">
        <v>1.0089999999999999</v>
      </c>
    </row>
    <row r="60" spans="1:44" x14ac:dyDescent="0.35">
      <c r="A60">
        <v>21</v>
      </c>
      <c r="B60" t="s">
        <v>58</v>
      </c>
      <c r="C60">
        <v>10</v>
      </c>
      <c r="D60" t="s">
        <v>344</v>
      </c>
      <c r="E60">
        <v>4</v>
      </c>
      <c r="F60">
        <v>6</v>
      </c>
      <c r="G60">
        <v>0</v>
      </c>
      <c r="H60">
        <v>3</v>
      </c>
      <c r="I60">
        <v>8</v>
      </c>
      <c r="J60">
        <v>0.4</v>
      </c>
      <c r="K60">
        <v>56.13</v>
      </c>
      <c r="L60">
        <v>56.6</v>
      </c>
      <c r="M60">
        <v>49.79</v>
      </c>
      <c r="N60">
        <v>43.34</v>
      </c>
      <c r="O60">
        <v>41.8</v>
      </c>
      <c r="P60">
        <v>50.9</v>
      </c>
      <c r="Q60">
        <v>30.08</v>
      </c>
      <c r="R60">
        <v>29.72</v>
      </c>
      <c r="S60">
        <v>50.3</v>
      </c>
      <c r="T60">
        <v>2.61</v>
      </c>
      <c r="U60">
        <v>3.67</v>
      </c>
      <c r="V60">
        <v>41.51</v>
      </c>
      <c r="W60">
        <v>2.2799999999999998</v>
      </c>
      <c r="X60">
        <v>2.4900000000000002</v>
      </c>
      <c r="Y60">
        <v>47.87</v>
      </c>
      <c r="Z60">
        <v>28.42</v>
      </c>
      <c r="AA60">
        <v>29.84</v>
      </c>
      <c r="AB60">
        <v>48.78</v>
      </c>
      <c r="AC60">
        <v>2.13</v>
      </c>
      <c r="AD60">
        <v>3.32</v>
      </c>
      <c r="AE60">
        <v>39.130000000000003</v>
      </c>
      <c r="AF60">
        <v>13.24</v>
      </c>
      <c r="AG60">
        <v>81.459999999999994</v>
      </c>
      <c r="AH60">
        <v>9.83</v>
      </c>
      <c r="AI60">
        <v>11.84</v>
      </c>
      <c r="AJ60">
        <v>45.36</v>
      </c>
      <c r="AK60">
        <v>1.42</v>
      </c>
      <c r="AL60">
        <v>1.66</v>
      </c>
      <c r="AM60">
        <v>46.15</v>
      </c>
      <c r="AN60">
        <v>21.82</v>
      </c>
      <c r="AO60">
        <v>81.33</v>
      </c>
      <c r="AP60">
        <v>8.66</v>
      </c>
      <c r="AQ60">
        <v>87.65</v>
      </c>
      <c r="AR60">
        <v>0.96299999999999997</v>
      </c>
    </row>
    <row r="61" spans="1:44" x14ac:dyDescent="0.35">
      <c r="A61">
        <v>22</v>
      </c>
      <c r="B61" t="s">
        <v>59</v>
      </c>
      <c r="C61">
        <v>10</v>
      </c>
      <c r="D61" t="s">
        <v>345</v>
      </c>
      <c r="E61">
        <v>6</v>
      </c>
      <c r="F61">
        <v>4</v>
      </c>
      <c r="G61">
        <v>0</v>
      </c>
      <c r="H61">
        <v>6</v>
      </c>
      <c r="I61">
        <v>12</v>
      </c>
      <c r="J61">
        <v>0.6</v>
      </c>
      <c r="K61">
        <v>49.11</v>
      </c>
      <c r="L61">
        <v>50.9</v>
      </c>
      <c r="M61">
        <v>49.1</v>
      </c>
      <c r="N61">
        <v>37.97</v>
      </c>
      <c r="O61">
        <v>40.24</v>
      </c>
      <c r="P61">
        <v>48.55</v>
      </c>
      <c r="Q61">
        <v>26.47</v>
      </c>
      <c r="R61">
        <v>29.1</v>
      </c>
      <c r="S61">
        <v>47.63</v>
      </c>
      <c r="T61">
        <v>3.47</v>
      </c>
      <c r="U61">
        <v>2.99</v>
      </c>
      <c r="V61">
        <v>53.7</v>
      </c>
      <c r="W61">
        <v>2.62</v>
      </c>
      <c r="X61">
        <v>2.36</v>
      </c>
      <c r="Y61">
        <v>52.64</v>
      </c>
      <c r="Z61">
        <v>23.35</v>
      </c>
      <c r="AA61">
        <v>26.11</v>
      </c>
      <c r="AB61">
        <v>47.22</v>
      </c>
      <c r="AC61">
        <v>2.99</v>
      </c>
      <c r="AD61">
        <v>2.2799999999999998</v>
      </c>
      <c r="AE61">
        <v>56.82</v>
      </c>
      <c r="AF61">
        <v>20.16</v>
      </c>
      <c r="AG61">
        <v>85.5</v>
      </c>
      <c r="AH61">
        <v>10.9</v>
      </c>
      <c r="AI61">
        <v>11.14</v>
      </c>
      <c r="AJ61">
        <v>49.46</v>
      </c>
      <c r="AK61">
        <v>2.16</v>
      </c>
      <c r="AL61">
        <v>1.68</v>
      </c>
      <c r="AM61">
        <v>56.25</v>
      </c>
      <c r="AN61">
        <v>23.38</v>
      </c>
      <c r="AO61">
        <v>81.08</v>
      </c>
      <c r="AP61">
        <v>13.12</v>
      </c>
      <c r="AQ61">
        <v>89.71</v>
      </c>
      <c r="AR61">
        <v>1.028</v>
      </c>
    </row>
    <row r="62" spans="1:44" x14ac:dyDescent="0.35">
      <c r="A62">
        <v>23</v>
      </c>
      <c r="B62" t="s">
        <v>60</v>
      </c>
      <c r="C62">
        <v>10</v>
      </c>
      <c r="D62" t="s">
        <v>346</v>
      </c>
      <c r="E62">
        <v>4</v>
      </c>
      <c r="F62">
        <v>5</v>
      </c>
      <c r="G62">
        <v>1</v>
      </c>
      <c r="H62">
        <v>3</v>
      </c>
      <c r="I62">
        <v>9</v>
      </c>
      <c r="J62">
        <v>0.45</v>
      </c>
      <c r="K62">
        <v>55.43</v>
      </c>
      <c r="L62">
        <v>50.62</v>
      </c>
      <c r="M62">
        <v>52.27</v>
      </c>
      <c r="N62">
        <v>42.16</v>
      </c>
      <c r="O62">
        <v>37.46</v>
      </c>
      <c r="P62">
        <v>52.95</v>
      </c>
      <c r="Q62">
        <v>28.54</v>
      </c>
      <c r="R62">
        <v>26.89</v>
      </c>
      <c r="S62">
        <v>51.48</v>
      </c>
      <c r="T62">
        <v>2.4700000000000002</v>
      </c>
      <c r="U62">
        <v>2.4700000000000002</v>
      </c>
      <c r="V62">
        <v>50</v>
      </c>
      <c r="W62">
        <v>2.17</v>
      </c>
      <c r="X62">
        <v>2.52</v>
      </c>
      <c r="Y62">
        <v>46.32</v>
      </c>
      <c r="Z62">
        <v>28.19</v>
      </c>
      <c r="AA62">
        <v>26.54</v>
      </c>
      <c r="AB62">
        <v>51.5</v>
      </c>
      <c r="AC62">
        <v>2.35</v>
      </c>
      <c r="AD62">
        <v>2.11</v>
      </c>
      <c r="AE62">
        <v>52.63</v>
      </c>
      <c r="AF62">
        <v>14.49</v>
      </c>
      <c r="AG62">
        <v>86.36</v>
      </c>
      <c r="AH62">
        <v>10.45</v>
      </c>
      <c r="AI62">
        <v>12.1</v>
      </c>
      <c r="AJ62">
        <v>46.35</v>
      </c>
      <c r="AK62">
        <v>1.53</v>
      </c>
      <c r="AL62">
        <v>1.76</v>
      </c>
      <c r="AM62">
        <v>46.43</v>
      </c>
      <c r="AN62">
        <v>18.84</v>
      </c>
      <c r="AO62">
        <v>80.77</v>
      </c>
      <c r="AP62">
        <v>8.64</v>
      </c>
      <c r="AQ62">
        <v>90.83</v>
      </c>
      <c r="AR62">
        <v>0.995</v>
      </c>
    </row>
    <row r="63" spans="1:44" x14ac:dyDescent="0.35">
      <c r="A63">
        <v>24</v>
      </c>
      <c r="B63" t="s">
        <v>61</v>
      </c>
      <c r="C63">
        <v>10</v>
      </c>
      <c r="D63" t="s">
        <v>341</v>
      </c>
      <c r="E63">
        <v>4</v>
      </c>
      <c r="F63">
        <v>4</v>
      </c>
      <c r="G63">
        <v>2</v>
      </c>
      <c r="H63">
        <v>2</v>
      </c>
      <c r="I63">
        <v>10</v>
      </c>
      <c r="J63">
        <v>0.5</v>
      </c>
      <c r="K63">
        <v>56.64</v>
      </c>
      <c r="L63">
        <v>58.18</v>
      </c>
      <c r="M63">
        <v>49.33</v>
      </c>
      <c r="N63">
        <v>42.89</v>
      </c>
      <c r="O63">
        <v>44.67</v>
      </c>
      <c r="P63">
        <v>48.99</v>
      </c>
      <c r="Q63">
        <v>30.33</v>
      </c>
      <c r="R63">
        <v>31.87</v>
      </c>
      <c r="S63">
        <v>48.76</v>
      </c>
      <c r="T63">
        <v>2.73</v>
      </c>
      <c r="U63">
        <v>3.32</v>
      </c>
      <c r="V63">
        <v>45.1</v>
      </c>
      <c r="W63">
        <v>2.38</v>
      </c>
      <c r="X63">
        <v>2.4500000000000002</v>
      </c>
      <c r="Y63">
        <v>49.24</v>
      </c>
      <c r="Z63">
        <v>27.25</v>
      </c>
      <c r="AA63">
        <v>27.02</v>
      </c>
      <c r="AB63">
        <v>50.22</v>
      </c>
      <c r="AC63">
        <v>2.37</v>
      </c>
      <c r="AD63">
        <v>2.84</v>
      </c>
      <c r="AE63">
        <v>45.45</v>
      </c>
      <c r="AF63">
        <v>13.99</v>
      </c>
      <c r="AG63">
        <v>81.680000000000007</v>
      </c>
      <c r="AH63">
        <v>11.02</v>
      </c>
      <c r="AI63">
        <v>11.97</v>
      </c>
      <c r="AJ63">
        <v>47.94</v>
      </c>
      <c r="AK63">
        <v>1.78</v>
      </c>
      <c r="AL63">
        <v>2.0099999999999998</v>
      </c>
      <c r="AM63">
        <v>46.88</v>
      </c>
      <c r="AN63">
        <v>19.48</v>
      </c>
      <c r="AO63">
        <v>73.02</v>
      </c>
      <c r="AP63">
        <v>8.98</v>
      </c>
      <c r="AQ63">
        <v>89.59</v>
      </c>
      <c r="AR63">
        <v>0.98599999999999999</v>
      </c>
    </row>
    <row r="64" spans="1:44" x14ac:dyDescent="0.35">
      <c r="A64">
        <v>25</v>
      </c>
      <c r="B64" t="s">
        <v>62</v>
      </c>
      <c r="C64">
        <v>10</v>
      </c>
      <c r="D64" t="s">
        <v>347</v>
      </c>
      <c r="E64">
        <v>8</v>
      </c>
      <c r="F64">
        <v>1</v>
      </c>
      <c r="G64">
        <v>1</v>
      </c>
      <c r="H64">
        <v>8</v>
      </c>
      <c r="I64">
        <v>17</v>
      </c>
      <c r="J64">
        <v>0.85</v>
      </c>
      <c r="K64">
        <v>49.61</v>
      </c>
      <c r="L64">
        <v>50.77</v>
      </c>
      <c r="M64">
        <v>49.42</v>
      </c>
      <c r="N64">
        <v>35.94</v>
      </c>
      <c r="O64">
        <v>38.6</v>
      </c>
      <c r="P64">
        <v>48.21</v>
      </c>
      <c r="Q64">
        <v>27.01</v>
      </c>
      <c r="R64">
        <v>27.7</v>
      </c>
      <c r="S64">
        <v>49.36</v>
      </c>
      <c r="T64">
        <v>3.36</v>
      </c>
      <c r="U64">
        <v>2.3199999999999998</v>
      </c>
      <c r="V64">
        <v>59.18</v>
      </c>
      <c r="W64">
        <v>2.44</v>
      </c>
      <c r="X64">
        <v>2</v>
      </c>
      <c r="Y64">
        <v>54.91</v>
      </c>
      <c r="Z64">
        <v>25.97</v>
      </c>
      <c r="AA64">
        <v>24.34</v>
      </c>
      <c r="AB64">
        <v>51.61</v>
      </c>
      <c r="AC64">
        <v>2.9</v>
      </c>
      <c r="AD64">
        <v>2.2000000000000002</v>
      </c>
      <c r="AE64">
        <v>56.82</v>
      </c>
      <c r="AF64">
        <v>18.52</v>
      </c>
      <c r="AG64">
        <v>84.92</v>
      </c>
      <c r="AH64">
        <v>10.78</v>
      </c>
      <c r="AI64">
        <v>10.43</v>
      </c>
      <c r="AJ64">
        <v>50.82</v>
      </c>
      <c r="AK64">
        <v>1.85</v>
      </c>
      <c r="AL64">
        <v>1.28</v>
      </c>
      <c r="AM64">
        <v>59.26</v>
      </c>
      <c r="AN64">
        <v>23.53</v>
      </c>
      <c r="AO64">
        <v>82.81</v>
      </c>
      <c r="AP64">
        <v>12.45</v>
      </c>
      <c r="AQ64">
        <v>91.63</v>
      </c>
      <c r="AR64">
        <v>1.0409999999999999</v>
      </c>
    </row>
    <row r="65" spans="1:44" x14ac:dyDescent="0.35">
      <c r="A65">
        <v>26</v>
      </c>
      <c r="B65" t="s">
        <v>63</v>
      </c>
      <c r="C65">
        <v>10</v>
      </c>
      <c r="D65" t="s">
        <v>348</v>
      </c>
      <c r="E65">
        <v>7</v>
      </c>
      <c r="F65">
        <v>2</v>
      </c>
      <c r="G65">
        <v>1</v>
      </c>
      <c r="H65">
        <v>7</v>
      </c>
      <c r="I65">
        <v>15</v>
      </c>
      <c r="J65">
        <v>0.75</v>
      </c>
      <c r="K65">
        <v>55.87</v>
      </c>
      <c r="L65">
        <v>60.07</v>
      </c>
      <c r="M65">
        <v>48.19</v>
      </c>
      <c r="N65">
        <v>41.44</v>
      </c>
      <c r="O65">
        <v>42.92</v>
      </c>
      <c r="P65">
        <v>49.12</v>
      </c>
      <c r="Q65">
        <v>29.97</v>
      </c>
      <c r="R65">
        <v>30.1</v>
      </c>
      <c r="S65">
        <v>49.9</v>
      </c>
      <c r="T65">
        <v>2.59</v>
      </c>
      <c r="U65">
        <v>1.97</v>
      </c>
      <c r="V65">
        <v>56.76</v>
      </c>
      <c r="W65">
        <v>2.86</v>
      </c>
      <c r="X65">
        <v>2.67</v>
      </c>
      <c r="Y65">
        <v>51.72</v>
      </c>
      <c r="Z65">
        <v>25.9</v>
      </c>
      <c r="AA65">
        <v>30.59</v>
      </c>
      <c r="AB65">
        <v>45.85</v>
      </c>
      <c r="AC65">
        <v>2.1</v>
      </c>
      <c r="AD65">
        <v>1.6</v>
      </c>
      <c r="AE65">
        <v>56.67</v>
      </c>
      <c r="AF65">
        <v>12.88</v>
      </c>
      <c r="AG65">
        <v>90.71</v>
      </c>
      <c r="AH65">
        <v>10.11</v>
      </c>
      <c r="AI65">
        <v>11.47</v>
      </c>
      <c r="AJ65">
        <v>46.86</v>
      </c>
      <c r="AK65">
        <v>1.36</v>
      </c>
      <c r="AL65">
        <v>1.1100000000000001</v>
      </c>
      <c r="AM65">
        <v>55</v>
      </c>
      <c r="AN65">
        <v>16.420000000000002</v>
      </c>
      <c r="AO65">
        <v>88</v>
      </c>
      <c r="AP65">
        <v>8.64</v>
      </c>
      <c r="AQ65">
        <v>93.44</v>
      </c>
      <c r="AR65">
        <v>1.0209999999999999</v>
      </c>
    </row>
    <row r="66" spans="1:44" x14ac:dyDescent="0.35">
      <c r="A66">
        <v>27</v>
      </c>
      <c r="B66" t="s">
        <v>64</v>
      </c>
      <c r="C66">
        <v>10</v>
      </c>
      <c r="D66" t="s">
        <v>349</v>
      </c>
      <c r="E66">
        <v>7</v>
      </c>
      <c r="F66">
        <v>2</v>
      </c>
      <c r="G66">
        <v>1</v>
      </c>
      <c r="H66">
        <v>7</v>
      </c>
      <c r="I66">
        <v>15</v>
      </c>
      <c r="J66">
        <v>0.75</v>
      </c>
      <c r="K66">
        <v>46</v>
      </c>
      <c r="L66">
        <v>57.35</v>
      </c>
      <c r="M66">
        <v>44.51</v>
      </c>
      <c r="N66">
        <v>34.75</v>
      </c>
      <c r="O66">
        <v>42.36</v>
      </c>
      <c r="P66">
        <v>45.07</v>
      </c>
      <c r="Q66">
        <v>26.01</v>
      </c>
      <c r="R66">
        <v>30.44</v>
      </c>
      <c r="S66">
        <v>46.08</v>
      </c>
      <c r="T66">
        <v>2.84</v>
      </c>
      <c r="U66">
        <v>1.82</v>
      </c>
      <c r="V66">
        <v>60.98</v>
      </c>
      <c r="W66">
        <v>2.2400000000000002</v>
      </c>
      <c r="X66">
        <v>2.36</v>
      </c>
      <c r="Y66">
        <v>48.71</v>
      </c>
      <c r="Z66">
        <v>24.19</v>
      </c>
      <c r="AA66">
        <v>25.33</v>
      </c>
      <c r="AB66">
        <v>48.85</v>
      </c>
      <c r="AC66">
        <v>2.27</v>
      </c>
      <c r="AD66">
        <v>1.82</v>
      </c>
      <c r="AE66">
        <v>55.56</v>
      </c>
      <c r="AF66">
        <v>14.39</v>
      </c>
      <c r="AG66">
        <v>86.78</v>
      </c>
      <c r="AH66">
        <v>9.09</v>
      </c>
      <c r="AI66">
        <v>11.58</v>
      </c>
      <c r="AJ66">
        <v>43.96</v>
      </c>
      <c r="AK66">
        <v>1.36</v>
      </c>
      <c r="AL66">
        <v>1.36</v>
      </c>
      <c r="AM66">
        <v>50</v>
      </c>
      <c r="AN66">
        <v>19.05</v>
      </c>
      <c r="AO66">
        <v>82.86</v>
      </c>
      <c r="AP66">
        <v>10.92</v>
      </c>
      <c r="AQ66">
        <v>94.03</v>
      </c>
      <c r="AR66">
        <v>1.0489999999999999</v>
      </c>
    </row>
    <row r="67" spans="1:44" x14ac:dyDescent="0.35">
      <c r="A67">
        <v>28</v>
      </c>
      <c r="B67" t="s">
        <v>65</v>
      </c>
      <c r="C67">
        <v>10</v>
      </c>
      <c r="D67" t="s">
        <v>343</v>
      </c>
      <c r="E67">
        <v>3</v>
      </c>
      <c r="F67">
        <v>7</v>
      </c>
      <c r="G67">
        <v>0</v>
      </c>
      <c r="H67">
        <v>3</v>
      </c>
      <c r="I67">
        <v>6</v>
      </c>
      <c r="J67">
        <v>0.3</v>
      </c>
      <c r="K67">
        <v>47.67</v>
      </c>
      <c r="L67">
        <v>58.2</v>
      </c>
      <c r="M67">
        <v>45.03</v>
      </c>
      <c r="N67">
        <v>37.630000000000003</v>
      </c>
      <c r="O67">
        <v>45.98</v>
      </c>
      <c r="P67">
        <v>45.01</v>
      </c>
      <c r="Q67">
        <v>29.16</v>
      </c>
      <c r="R67">
        <v>33.15</v>
      </c>
      <c r="S67">
        <v>46.8</v>
      </c>
      <c r="T67">
        <v>2.42</v>
      </c>
      <c r="U67">
        <v>3.75</v>
      </c>
      <c r="V67">
        <v>39.22</v>
      </c>
      <c r="W67">
        <v>2.08</v>
      </c>
      <c r="X67">
        <v>2.99</v>
      </c>
      <c r="Y67">
        <v>40.950000000000003</v>
      </c>
      <c r="Z67">
        <v>21.78</v>
      </c>
      <c r="AA67">
        <v>31.1</v>
      </c>
      <c r="AB67">
        <v>41.19</v>
      </c>
      <c r="AC67">
        <v>1.94</v>
      </c>
      <c r="AD67">
        <v>3.27</v>
      </c>
      <c r="AE67">
        <v>37.21</v>
      </c>
      <c r="AF67">
        <v>13.68</v>
      </c>
      <c r="AG67">
        <v>83.23</v>
      </c>
      <c r="AH67">
        <v>10.29</v>
      </c>
      <c r="AI67">
        <v>12.22</v>
      </c>
      <c r="AJ67">
        <v>45.7</v>
      </c>
      <c r="AK67">
        <v>1.0900000000000001</v>
      </c>
      <c r="AL67">
        <v>2.54</v>
      </c>
      <c r="AM67">
        <v>30</v>
      </c>
      <c r="AN67">
        <v>13.43</v>
      </c>
      <c r="AO67">
        <v>72.73</v>
      </c>
      <c r="AP67">
        <v>8.3000000000000007</v>
      </c>
      <c r="AQ67">
        <v>88.69</v>
      </c>
      <c r="AR67">
        <v>0.97</v>
      </c>
    </row>
    <row r="68" spans="1:44" x14ac:dyDescent="0.35">
      <c r="A68">
        <v>29</v>
      </c>
      <c r="B68" t="s">
        <v>68</v>
      </c>
      <c r="C68">
        <v>8</v>
      </c>
      <c r="D68" t="s">
        <v>345</v>
      </c>
      <c r="E68">
        <v>6</v>
      </c>
      <c r="F68">
        <v>2</v>
      </c>
      <c r="G68">
        <v>0</v>
      </c>
      <c r="H68">
        <v>6</v>
      </c>
      <c r="I68">
        <v>12</v>
      </c>
      <c r="J68">
        <v>0.75</v>
      </c>
      <c r="K68">
        <v>58.08</v>
      </c>
      <c r="L68">
        <v>54.19</v>
      </c>
      <c r="M68">
        <v>51.73</v>
      </c>
      <c r="N68">
        <v>41.32</v>
      </c>
      <c r="O68">
        <v>39.22</v>
      </c>
      <c r="P68">
        <v>51.3</v>
      </c>
      <c r="Q68">
        <v>28.14</v>
      </c>
      <c r="R68">
        <v>28.14</v>
      </c>
      <c r="S68">
        <v>50</v>
      </c>
      <c r="T68">
        <v>2.69</v>
      </c>
      <c r="U68">
        <v>1.8</v>
      </c>
      <c r="V68">
        <v>60</v>
      </c>
      <c r="W68">
        <v>2.16</v>
      </c>
      <c r="X68">
        <v>2.23</v>
      </c>
      <c r="Y68">
        <v>49.23</v>
      </c>
      <c r="Z68">
        <v>27.54</v>
      </c>
      <c r="AA68">
        <v>24.7</v>
      </c>
      <c r="AB68">
        <v>52.72</v>
      </c>
      <c r="AC68">
        <v>2.4</v>
      </c>
      <c r="AD68">
        <v>1.35</v>
      </c>
      <c r="AE68">
        <v>64</v>
      </c>
      <c r="AF68">
        <v>15.69</v>
      </c>
      <c r="AG68">
        <v>91.51</v>
      </c>
      <c r="AH68">
        <v>10.93</v>
      </c>
      <c r="AI68">
        <v>10.63</v>
      </c>
      <c r="AJ68">
        <v>50.69</v>
      </c>
      <c r="AK68">
        <v>1.35</v>
      </c>
      <c r="AL68">
        <v>0.6</v>
      </c>
      <c r="AM68">
        <v>69.23</v>
      </c>
      <c r="AN68">
        <v>21.43</v>
      </c>
      <c r="AO68">
        <v>92.86</v>
      </c>
      <c r="AP68">
        <v>9.57</v>
      </c>
      <c r="AQ68">
        <v>93.62</v>
      </c>
      <c r="AR68">
        <v>1.032</v>
      </c>
    </row>
    <row r="69" spans="1:44" x14ac:dyDescent="0.35">
      <c r="A69">
        <v>30</v>
      </c>
      <c r="B69" t="s">
        <v>66</v>
      </c>
      <c r="C69">
        <v>10</v>
      </c>
      <c r="D69" t="s">
        <v>350</v>
      </c>
      <c r="E69">
        <v>6</v>
      </c>
      <c r="F69">
        <v>4</v>
      </c>
      <c r="G69">
        <v>0</v>
      </c>
      <c r="H69">
        <v>6</v>
      </c>
      <c r="I69">
        <v>12</v>
      </c>
      <c r="J69">
        <v>0.6</v>
      </c>
      <c r="K69">
        <v>48.7</v>
      </c>
      <c r="L69">
        <v>57.07</v>
      </c>
      <c r="M69">
        <v>46.04</v>
      </c>
      <c r="N69">
        <v>35.659999999999997</v>
      </c>
      <c r="O69">
        <v>43.67</v>
      </c>
      <c r="P69">
        <v>44.95</v>
      </c>
      <c r="Q69">
        <v>27.64</v>
      </c>
      <c r="R69">
        <v>31.71</v>
      </c>
      <c r="S69">
        <v>46.57</v>
      </c>
      <c r="T69">
        <v>2.87</v>
      </c>
      <c r="U69">
        <v>2.75</v>
      </c>
      <c r="V69">
        <v>51.06</v>
      </c>
      <c r="W69">
        <v>1.96</v>
      </c>
      <c r="X69">
        <v>2.57</v>
      </c>
      <c r="Y69">
        <v>43.19</v>
      </c>
      <c r="Z69">
        <v>23.57</v>
      </c>
      <c r="AA69">
        <v>28.96</v>
      </c>
      <c r="AB69">
        <v>44.87</v>
      </c>
      <c r="AC69">
        <v>2.63</v>
      </c>
      <c r="AD69">
        <v>2.39</v>
      </c>
      <c r="AE69">
        <v>52.38</v>
      </c>
      <c r="AF69">
        <v>19.64</v>
      </c>
      <c r="AG69">
        <v>86.3</v>
      </c>
      <c r="AH69">
        <v>8.26</v>
      </c>
      <c r="AI69">
        <v>11.85</v>
      </c>
      <c r="AJ69">
        <v>41.07</v>
      </c>
      <c r="AK69">
        <v>1.91</v>
      </c>
      <c r="AL69">
        <v>1.79</v>
      </c>
      <c r="AM69">
        <v>51.61</v>
      </c>
      <c r="AN69">
        <v>31.37</v>
      </c>
      <c r="AO69">
        <v>79.17</v>
      </c>
      <c r="AP69">
        <v>10.39</v>
      </c>
      <c r="AQ69">
        <v>91.32</v>
      </c>
      <c r="AR69">
        <v>1.0169999999999999</v>
      </c>
    </row>
    <row r="70" spans="1:44" x14ac:dyDescent="0.35">
      <c r="A70">
        <v>31</v>
      </c>
      <c r="B70" t="s">
        <v>67</v>
      </c>
      <c r="C70">
        <v>10</v>
      </c>
      <c r="D70" t="s">
        <v>351</v>
      </c>
      <c r="E70">
        <v>5</v>
      </c>
      <c r="F70">
        <v>3</v>
      </c>
      <c r="G70">
        <v>2</v>
      </c>
      <c r="H70">
        <v>4</v>
      </c>
      <c r="I70">
        <v>12</v>
      </c>
      <c r="J70">
        <v>0.6</v>
      </c>
      <c r="K70">
        <v>49.56</v>
      </c>
      <c r="L70">
        <v>49.56</v>
      </c>
      <c r="M70">
        <v>50</v>
      </c>
      <c r="N70">
        <v>36.9</v>
      </c>
      <c r="O70">
        <v>38.909999999999997</v>
      </c>
      <c r="P70">
        <v>48.67</v>
      </c>
      <c r="Q70">
        <v>27.68</v>
      </c>
      <c r="R70">
        <v>28.15</v>
      </c>
      <c r="S70">
        <v>49.58</v>
      </c>
      <c r="T70">
        <v>3.08</v>
      </c>
      <c r="U70">
        <v>2.96</v>
      </c>
      <c r="V70">
        <v>50.98</v>
      </c>
      <c r="W70">
        <v>2.33</v>
      </c>
      <c r="X70">
        <v>2.08</v>
      </c>
      <c r="Y70">
        <v>52.85</v>
      </c>
      <c r="Z70">
        <v>22.83</v>
      </c>
      <c r="AA70">
        <v>22.59</v>
      </c>
      <c r="AB70">
        <v>50.26</v>
      </c>
      <c r="AC70">
        <v>3.08</v>
      </c>
      <c r="AD70">
        <v>2.6</v>
      </c>
      <c r="AE70">
        <v>54.17</v>
      </c>
      <c r="AF70">
        <v>20.47</v>
      </c>
      <c r="AG70">
        <v>82.11</v>
      </c>
      <c r="AH70">
        <v>10.29</v>
      </c>
      <c r="AI70">
        <v>8.4</v>
      </c>
      <c r="AJ70">
        <v>55.06</v>
      </c>
      <c r="AK70">
        <v>1.77</v>
      </c>
      <c r="AL70">
        <v>1.66</v>
      </c>
      <c r="AM70">
        <v>51.72</v>
      </c>
      <c r="AN70">
        <v>19.48</v>
      </c>
      <c r="AO70">
        <v>76.67</v>
      </c>
      <c r="AP70">
        <v>11.11</v>
      </c>
      <c r="AQ70">
        <v>89.5</v>
      </c>
      <c r="AR70">
        <v>1.006</v>
      </c>
    </row>
    <row r="72" spans="1:44" x14ac:dyDescent="0.35">
      <c r="A72" s="80" t="s">
        <v>255</v>
      </c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</row>
    <row r="73" spans="1:44" x14ac:dyDescent="0.3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</row>
    <row r="74" spans="1:44" x14ac:dyDescent="0.35">
      <c r="A74" t="s">
        <v>79</v>
      </c>
      <c r="B74" t="s">
        <v>0</v>
      </c>
      <c r="C74" t="s">
        <v>1</v>
      </c>
      <c r="D74" t="s">
        <v>90</v>
      </c>
      <c r="E74" t="s">
        <v>2</v>
      </c>
      <c r="F74" t="s">
        <v>3</v>
      </c>
      <c r="G74" t="s">
        <v>4</v>
      </c>
      <c r="H74" t="s">
        <v>5</v>
      </c>
      <c r="I74" t="s">
        <v>6</v>
      </c>
      <c r="J74" t="s">
        <v>7</v>
      </c>
      <c r="K74" t="s">
        <v>91</v>
      </c>
      <c r="L74" t="s">
        <v>92</v>
      </c>
      <c r="M74" t="s">
        <v>8</v>
      </c>
      <c r="N74" t="s">
        <v>93</v>
      </c>
      <c r="O74" t="s">
        <v>94</v>
      </c>
      <c r="P74" t="s">
        <v>9</v>
      </c>
      <c r="Q74" t="s">
        <v>95</v>
      </c>
      <c r="R74" t="s">
        <v>71</v>
      </c>
      <c r="S74" t="s">
        <v>10</v>
      </c>
      <c r="T74" t="s">
        <v>96</v>
      </c>
      <c r="U74" t="s">
        <v>97</v>
      </c>
      <c r="V74" t="s">
        <v>11</v>
      </c>
      <c r="W74" t="s">
        <v>98</v>
      </c>
      <c r="X74" t="s">
        <v>99</v>
      </c>
      <c r="Y74" t="s">
        <v>14</v>
      </c>
      <c r="Z74" t="s">
        <v>100</v>
      </c>
      <c r="AA74" t="s">
        <v>101</v>
      </c>
      <c r="AB74" t="s">
        <v>15</v>
      </c>
      <c r="AC74" t="s">
        <v>104</v>
      </c>
      <c r="AD74" t="s">
        <v>105</v>
      </c>
      <c r="AE74" t="s">
        <v>17</v>
      </c>
      <c r="AF74" t="s">
        <v>18</v>
      </c>
      <c r="AG74" t="s">
        <v>19</v>
      </c>
      <c r="AH74" t="s">
        <v>106</v>
      </c>
      <c r="AI74" t="s">
        <v>107</v>
      </c>
      <c r="AJ74" t="s">
        <v>20</v>
      </c>
      <c r="AK74" t="s">
        <v>109</v>
      </c>
      <c r="AL74" t="s">
        <v>73</v>
      </c>
      <c r="AM74" t="s">
        <v>22</v>
      </c>
      <c r="AN74" t="s">
        <v>23</v>
      </c>
      <c r="AO74" t="s">
        <v>24</v>
      </c>
      <c r="AP74" t="s">
        <v>35</v>
      </c>
      <c r="AQ74" t="s">
        <v>36</v>
      </c>
      <c r="AR74" t="s">
        <v>37</v>
      </c>
    </row>
    <row r="75" spans="1:44" x14ac:dyDescent="0.35">
      <c r="A75">
        <v>1</v>
      </c>
      <c r="B75" t="s">
        <v>38</v>
      </c>
      <c r="C75">
        <v>10</v>
      </c>
      <c r="D75" t="s">
        <v>232</v>
      </c>
      <c r="E75">
        <v>2</v>
      </c>
      <c r="F75">
        <v>6</v>
      </c>
      <c r="G75">
        <v>2</v>
      </c>
      <c r="H75">
        <v>1</v>
      </c>
      <c r="I75">
        <v>6</v>
      </c>
      <c r="J75">
        <v>0.3</v>
      </c>
      <c r="K75">
        <v>83.85</v>
      </c>
      <c r="L75">
        <v>12.46</v>
      </c>
      <c r="M75">
        <v>87.06</v>
      </c>
      <c r="N75">
        <v>61.19</v>
      </c>
      <c r="O75">
        <v>12.46</v>
      </c>
      <c r="P75">
        <v>83.08</v>
      </c>
      <c r="Q75">
        <v>43.06</v>
      </c>
      <c r="R75">
        <v>7.93</v>
      </c>
      <c r="S75">
        <v>84.44</v>
      </c>
      <c r="T75">
        <v>2.27</v>
      </c>
      <c r="U75">
        <v>2.27</v>
      </c>
      <c r="V75">
        <v>50</v>
      </c>
      <c r="W75">
        <v>4.74</v>
      </c>
      <c r="X75">
        <v>0.88</v>
      </c>
      <c r="Y75">
        <v>84.41</v>
      </c>
      <c r="Z75">
        <v>45.33</v>
      </c>
      <c r="AA75">
        <v>4.53</v>
      </c>
      <c r="AB75">
        <v>90.91</v>
      </c>
      <c r="AC75">
        <v>2.27</v>
      </c>
      <c r="AD75">
        <v>1.1299999999999999</v>
      </c>
      <c r="AE75" t="s">
        <v>217</v>
      </c>
      <c r="AF75">
        <v>9.09</v>
      </c>
      <c r="AG75" t="s">
        <v>218</v>
      </c>
      <c r="AH75">
        <v>9.07</v>
      </c>
      <c r="AI75">
        <v>2.27</v>
      </c>
      <c r="AJ75">
        <v>80</v>
      </c>
      <c r="AK75">
        <v>1.1299999999999999</v>
      </c>
      <c r="AL75">
        <v>1.1299999999999999</v>
      </c>
      <c r="AM75" t="s">
        <v>218</v>
      </c>
      <c r="AN75">
        <v>20</v>
      </c>
      <c r="AO75" t="s">
        <v>219</v>
      </c>
      <c r="AP75">
        <v>5.26</v>
      </c>
      <c r="AQ75">
        <v>71.430000000000007</v>
      </c>
      <c r="AR75">
        <v>0.76700000000000002</v>
      </c>
    </row>
    <row r="76" spans="1:44" x14ac:dyDescent="0.35">
      <c r="A76">
        <v>2</v>
      </c>
      <c r="B76" t="s">
        <v>39</v>
      </c>
      <c r="C76">
        <v>10</v>
      </c>
      <c r="D76" t="s">
        <v>233</v>
      </c>
      <c r="E76">
        <v>4</v>
      </c>
      <c r="F76">
        <v>4</v>
      </c>
      <c r="G76">
        <v>2</v>
      </c>
      <c r="H76">
        <v>3</v>
      </c>
      <c r="I76">
        <v>10</v>
      </c>
      <c r="J76">
        <v>0.5</v>
      </c>
      <c r="K76">
        <v>76.55</v>
      </c>
      <c r="L76">
        <v>10.94</v>
      </c>
      <c r="M76">
        <v>87.5</v>
      </c>
      <c r="N76">
        <v>59.05</v>
      </c>
      <c r="O76">
        <v>10.94</v>
      </c>
      <c r="P76">
        <v>84.38</v>
      </c>
      <c r="Q76">
        <v>33.9</v>
      </c>
      <c r="R76">
        <v>8.75</v>
      </c>
      <c r="S76">
        <v>79.489999999999995</v>
      </c>
      <c r="T76">
        <v>4.37</v>
      </c>
      <c r="U76">
        <v>1.0900000000000001</v>
      </c>
      <c r="V76">
        <v>80</v>
      </c>
      <c r="W76">
        <v>5.52</v>
      </c>
      <c r="X76">
        <v>0.46</v>
      </c>
      <c r="Y76">
        <v>92.31</v>
      </c>
      <c r="Z76">
        <v>42.65</v>
      </c>
      <c r="AA76">
        <v>4.37</v>
      </c>
      <c r="AB76">
        <v>90.7</v>
      </c>
      <c r="AC76">
        <v>3.28</v>
      </c>
      <c r="AD76">
        <v>1.0900000000000001</v>
      </c>
      <c r="AE76" t="s">
        <v>220</v>
      </c>
      <c r="AF76">
        <v>15.79</v>
      </c>
      <c r="AG76" t="s">
        <v>217</v>
      </c>
      <c r="AH76">
        <v>21.87</v>
      </c>
      <c r="AI76">
        <v>3.28</v>
      </c>
      <c r="AJ76">
        <v>86.96</v>
      </c>
      <c r="AK76">
        <v>1.0900000000000001</v>
      </c>
      <c r="AL76">
        <v>1.0900000000000001</v>
      </c>
      <c r="AM76" t="s">
        <v>218</v>
      </c>
      <c r="AN76">
        <v>14.29</v>
      </c>
      <c r="AO76" t="s">
        <v>217</v>
      </c>
      <c r="AP76">
        <v>12.9</v>
      </c>
      <c r="AQ76">
        <v>87.5</v>
      </c>
      <c r="AR76">
        <v>1.004</v>
      </c>
    </row>
    <row r="77" spans="1:44" x14ac:dyDescent="0.35">
      <c r="A77">
        <v>3</v>
      </c>
      <c r="B77" t="s">
        <v>40</v>
      </c>
      <c r="C77">
        <v>9</v>
      </c>
      <c r="D77" t="s">
        <v>359</v>
      </c>
      <c r="E77">
        <v>6</v>
      </c>
      <c r="F77">
        <v>2</v>
      </c>
      <c r="G77">
        <v>1</v>
      </c>
      <c r="H77">
        <v>5</v>
      </c>
      <c r="I77">
        <v>13</v>
      </c>
      <c r="J77">
        <v>0.72199999999999998</v>
      </c>
      <c r="K77">
        <v>76.38</v>
      </c>
      <c r="L77">
        <v>9.9600000000000009</v>
      </c>
      <c r="M77">
        <v>88.46</v>
      </c>
      <c r="N77">
        <v>63.1</v>
      </c>
      <c r="O77">
        <v>6.64</v>
      </c>
      <c r="P77">
        <v>90.48</v>
      </c>
      <c r="Q77">
        <v>49.82</v>
      </c>
      <c r="R77">
        <v>4.9800000000000004</v>
      </c>
      <c r="S77">
        <v>90.91</v>
      </c>
      <c r="T77">
        <v>14.94</v>
      </c>
      <c r="U77">
        <v>1.66</v>
      </c>
      <c r="V77">
        <v>90</v>
      </c>
      <c r="W77">
        <v>6.9</v>
      </c>
      <c r="X77">
        <v>0.31</v>
      </c>
      <c r="Y77">
        <v>95.66</v>
      </c>
      <c r="Z77">
        <v>53.14</v>
      </c>
      <c r="AA77">
        <v>4.9800000000000004</v>
      </c>
      <c r="AB77">
        <v>91.43</v>
      </c>
      <c r="AC77">
        <v>13.28</v>
      </c>
      <c r="AD77">
        <v>1.66</v>
      </c>
      <c r="AE77" t="s">
        <v>221</v>
      </c>
      <c r="AF77">
        <v>40</v>
      </c>
      <c r="AG77" t="s">
        <v>219</v>
      </c>
      <c r="AH77">
        <v>24.91</v>
      </c>
      <c r="AI77">
        <v>3.32</v>
      </c>
      <c r="AJ77">
        <v>88.24</v>
      </c>
      <c r="AK77">
        <v>9.9600000000000009</v>
      </c>
      <c r="AL77">
        <v>1.66</v>
      </c>
      <c r="AM77" t="s">
        <v>222</v>
      </c>
      <c r="AN77">
        <v>50</v>
      </c>
      <c r="AO77" t="s">
        <v>219</v>
      </c>
      <c r="AP77">
        <v>30</v>
      </c>
      <c r="AQ77">
        <v>66.67</v>
      </c>
      <c r="AR77">
        <v>0.96699999999999997</v>
      </c>
    </row>
    <row r="78" spans="1:44" x14ac:dyDescent="0.35">
      <c r="A78">
        <v>4</v>
      </c>
      <c r="B78" t="s">
        <v>41</v>
      </c>
      <c r="C78">
        <v>10</v>
      </c>
      <c r="D78" t="s">
        <v>234</v>
      </c>
      <c r="E78">
        <v>2</v>
      </c>
      <c r="F78">
        <v>6</v>
      </c>
      <c r="G78">
        <v>2</v>
      </c>
      <c r="H78">
        <v>1</v>
      </c>
      <c r="I78">
        <v>6</v>
      </c>
      <c r="J78">
        <v>0.3</v>
      </c>
      <c r="K78">
        <v>92.86</v>
      </c>
      <c r="L78">
        <v>5.86</v>
      </c>
      <c r="M78">
        <v>94.06</v>
      </c>
      <c r="N78">
        <v>77.22</v>
      </c>
      <c r="O78">
        <v>4.8899999999999997</v>
      </c>
      <c r="P78">
        <v>94.05</v>
      </c>
      <c r="Q78">
        <v>55.72</v>
      </c>
      <c r="R78">
        <v>4.8899999999999997</v>
      </c>
      <c r="S78">
        <v>91.94</v>
      </c>
      <c r="T78">
        <v>8.8000000000000007</v>
      </c>
      <c r="U78">
        <v>0</v>
      </c>
      <c r="V78">
        <v>100</v>
      </c>
      <c r="W78">
        <v>7.35</v>
      </c>
      <c r="X78">
        <v>0.33</v>
      </c>
      <c r="Y78">
        <v>95.64</v>
      </c>
      <c r="Z78">
        <v>45.94</v>
      </c>
      <c r="AA78">
        <v>2.93</v>
      </c>
      <c r="AB78">
        <v>94</v>
      </c>
      <c r="AC78">
        <v>7.82</v>
      </c>
      <c r="AD78">
        <v>0</v>
      </c>
      <c r="AE78" t="s">
        <v>223</v>
      </c>
      <c r="AF78">
        <v>25</v>
      </c>
      <c r="AG78" t="s">
        <v>223</v>
      </c>
      <c r="AH78">
        <v>22.48</v>
      </c>
      <c r="AI78">
        <v>2.93</v>
      </c>
      <c r="AJ78">
        <v>88.46</v>
      </c>
      <c r="AK78">
        <v>3.91</v>
      </c>
      <c r="AL78">
        <v>0</v>
      </c>
      <c r="AM78" t="s">
        <v>223</v>
      </c>
      <c r="AN78">
        <v>22.22</v>
      </c>
      <c r="AO78" t="s">
        <v>223</v>
      </c>
      <c r="AP78">
        <v>15.79</v>
      </c>
      <c r="AQ78">
        <v>100</v>
      </c>
      <c r="AR78">
        <v>1.1579999999999999</v>
      </c>
    </row>
    <row r="79" spans="1:44" x14ac:dyDescent="0.35">
      <c r="A79">
        <v>5</v>
      </c>
      <c r="B79" t="s">
        <v>42</v>
      </c>
      <c r="C79">
        <v>10</v>
      </c>
      <c r="D79" t="s">
        <v>360</v>
      </c>
      <c r="E79">
        <v>8</v>
      </c>
      <c r="F79">
        <v>1</v>
      </c>
      <c r="G79">
        <v>1</v>
      </c>
      <c r="H79">
        <v>7</v>
      </c>
      <c r="I79">
        <v>17</v>
      </c>
      <c r="J79">
        <v>0.85</v>
      </c>
      <c r="K79">
        <v>123.27</v>
      </c>
      <c r="L79">
        <v>8.81</v>
      </c>
      <c r="M79">
        <v>93.33</v>
      </c>
      <c r="N79">
        <v>91.82</v>
      </c>
      <c r="O79">
        <v>6.29</v>
      </c>
      <c r="P79">
        <v>93.59</v>
      </c>
      <c r="Q79">
        <v>66.67</v>
      </c>
      <c r="R79">
        <v>6.29</v>
      </c>
      <c r="S79">
        <v>91.38</v>
      </c>
      <c r="T79">
        <v>15.09</v>
      </c>
      <c r="U79">
        <v>0</v>
      </c>
      <c r="V79">
        <v>100</v>
      </c>
      <c r="W79">
        <v>8.06</v>
      </c>
      <c r="X79">
        <v>0.26</v>
      </c>
      <c r="Y79">
        <v>96.92</v>
      </c>
      <c r="Z79">
        <v>56.6</v>
      </c>
      <c r="AA79">
        <v>3.77</v>
      </c>
      <c r="AB79">
        <v>93.75</v>
      </c>
      <c r="AC79">
        <v>11.32</v>
      </c>
      <c r="AD79">
        <v>0</v>
      </c>
      <c r="AE79" t="s">
        <v>223</v>
      </c>
      <c r="AF79">
        <v>37.5</v>
      </c>
      <c r="AG79" t="s">
        <v>223</v>
      </c>
      <c r="AH79">
        <v>28.93</v>
      </c>
      <c r="AI79">
        <v>1.26</v>
      </c>
      <c r="AJ79">
        <v>95.83</v>
      </c>
      <c r="AK79">
        <v>11.32</v>
      </c>
      <c r="AL79">
        <v>0</v>
      </c>
      <c r="AM79" t="s">
        <v>223</v>
      </c>
      <c r="AN79">
        <v>56.25</v>
      </c>
      <c r="AO79" t="s">
        <v>223</v>
      </c>
      <c r="AP79">
        <v>22.64</v>
      </c>
      <c r="AQ79">
        <v>100</v>
      </c>
      <c r="AR79">
        <v>1.226</v>
      </c>
    </row>
    <row r="80" spans="1:44" x14ac:dyDescent="0.35">
      <c r="A80">
        <v>6</v>
      </c>
      <c r="B80" t="s">
        <v>43</v>
      </c>
      <c r="C80">
        <v>10</v>
      </c>
      <c r="D80" t="s">
        <v>235</v>
      </c>
      <c r="E80">
        <v>5</v>
      </c>
      <c r="F80">
        <v>4</v>
      </c>
      <c r="G80">
        <v>1</v>
      </c>
      <c r="H80">
        <v>4</v>
      </c>
      <c r="I80">
        <v>11</v>
      </c>
      <c r="J80">
        <v>0.55000000000000004</v>
      </c>
      <c r="K80">
        <v>68.349999999999994</v>
      </c>
      <c r="L80">
        <v>18.13</v>
      </c>
      <c r="M80">
        <v>79.03</v>
      </c>
      <c r="N80">
        <v>54.4</v>
      </c>
      <c r="O80">
        <v>13.95</v>
      </c>
      <c r="P80">
        <v>79.59</v>
      </c>
      <c r="Q80">
        <v>36.270000000000003</v>
      </c>
      <c r="R80">
        <v>12.55</v>
      </c>
      <c r="S80">
        <v>74.290000000000006</v>
      </c>
      <c r="T80">
        <v>9.76</v>
      </c>
      <c r="U80">
        <v>0</v>
      </c>
      <c r="V80">
        <v>100</v>
      </c>
      <c r="W80">
        <v>3.35</v>
      </c>
      <c r="X80">
        <v>0.64</v>
      </c>
      <c r="Y80">
        <v>83.99</v>
      </c>
      <c r="Z80">
        <v>23.71</v>
      </c>
      <c r="AA80">
        <v>2.79</v>
      </c>
      <c r="AB80">
        <v>89.47</v>
      </c>
      <c r="AC80">
        <v>4.18</v>
      </c>
      <c r="AD80">
        <v>0</v>
      </c>
      <c r="AE80" t="s">
        <v>223</v>
      </c>
      <c r="AF80">
        <v>27.27</v>
      </c>
      <c r="AG80" t="s">
        <v>223</v>
      </c>
      <c r="AH80">
        <v>5.58</v>
      </c>
      <c r="AI80">
        <v>0</v>
      </c>
      <c r="AJ80">
        <v>100</v>
      </c>
      <c r="AK80">
        <v>0</v>
      </c>
      <c r="AL80">
        <v>0</v>
      </c>
      <c r="AM80" t="s">
        <v>85</v>
      </c>
      <c r="AN80">
        <v>0</v>
      </c>
      <c r="AO80" t="s">
        <v>85</v>
      </c>
      <c r="AP80">
        <v>26.92</v>
      </c>
      <c r="AQ80">
        <v>100</v>
      </c>
      <c r="AR80">
        <v>1.2689999999999999</v>
      </c>
    </row>
    <row r="81" spans="1:44" x14ac:dyDescent="0.35">
      <c r="A81">
        <v>7</v>
      </c>
      <c r="B81" t="s">
        <v>44</v>
      </c>
      <c r="C81">
        <v>10</v>
      </c>
      <c r="D81" t="s">
        <v>361</v>
      </c>
      <c r="E81">
        <v>5</v>
      </c>
      <c r="F81">
        <v>4</v>
      </c>
      <c r="G81">
        <v>1</v>
      </c>
      <c r="H81">
        <v>5</v>
      </c>
      <c r="I81">
        <v>11</v>
      </c>
      <c r="J81">
        <v>0.55000000000000004</v>
      </c>
      <c r="K81">
        <v>89.53</v>
      </c>
      <c r="L81">
        <v>16.79</v>
      </c>
      <c r="M81">
        <v>84.21</v>
      </c>
      <c r="N81">
        <v>69.02</v>
      </c>
      <c r="O81">
        <v>16.79</v>
      </c>
      <c r="P81">
        <v>80.430000000000007</v>
      </c>
      <c r="Q81">
        <v>48.5</v>
      </c>
      <c r="R81">
        <v>12.12</v>
      </c>
      <c r="S81">
        <v>80</v>
      </c>
      <c r="T81">
        <v>9.33</v>
      </c>
      <c r="U81">
        <v>0.93</v>
      </c>
      <c r="V81">
        <v>90.91</v>
      </c>
      <c r="W81">
        <v>6.32</v>
      </c>
      <c r="X81">
        <v>0.6</v>
      </c>
      <c r="Y81">
        <v>91.36</v>
      </c>
      <c r="Z81">
        <v>46.63</v>
      </c>
      <c r="AA81">
        <v>6.53</v>
      </c>
      <c r="AB81">
        <v>87.72</v>
      </c>
      <c r="AC81">
        <v>7.46</v>
      </c>
      <c r="AD81">
        <v>0.93</v>
      </c>
      <c r="AE81" t="s">
        <v>221</v>
      </c>
      <c r="AF81">
        <v>24.24</v>
      </c>
      <c r="AG81" t="s">
        <v>228</v>
      </c>
      <c r="AH81">
        <v>18.649999999999999</v>
      </c>
      <c r="AI81">
        <v>1.87</v>
      </c>
      <c r="AJ81">
        <v>90.91</v>
      </c>
      <c r="AK81">
        <v>4.66</v>
      </c>
      <c r="AL81">
        <v>0</v>
      </c>
      <c r="AM81" t="s">
        <v>223</v>
      </c>
      <c r="AN81">
        <v>31.25</v>
      </c>
      <c r="AO81" t="s">
        <v>223</v>
      </c>
      <c r="AP81">
        <v>19.23</v>
      </c>
      <c r="AQ81">
        <v>92.31</v>
      </c>
      <c r="AR81">
        <v>1.115</v>
      </c>
    </row>
    <row r="82" spans="1:44" x14ac:dyDescent="0.35">
      <c r="A82">
        <v>8</v>
      </c>
      <c r="B82" t="s">
        <v>45</v>
      </c>
      <c r="C82">
        <v>10</v>
      </c>
      <c r="D82" t="s">
        <v>324</v>
      </c>
      <c r="E82">
        <v>5</v>
      </c>
      <c r="F82">
        <v>3</v>
      </c>
      <c r="G82">
        <v>2</v>
      </c>
      <c r="H82">
        <v>4</v>
      </c>
      <c r="I82">
        <v>12</v>
      </c>
      <c r="J82">
        <v>0.6</v>
      </c>
      <c r="K82">
        <v>77.44</v>
      </c>
      <c r="L82">
        <v>16.43</v>
      </c>
      <c r="M82">
        <v>82.5</v>
      </c>
      <c r="N82">
        <v>58.67</v>
      </c>
      <c r="O82">
        <v>14.08</v>
      </c>
      <c r="P82">
        <v>80.650000000000006</v>
      </c>
      <c r="Q82">
        <v>43.42</v>
      </c>
      <c r="R82">
        <v>10.56</v>
      </c>
      <c r="S82">
        <v>80.430000000000007</v>
      </c>
      <c r="T82">
        <v>9.39</v>
      </c>
      <c r="U82">
        <v>2.35</v>
      </c>
      <c r="V82">
        <v>80</v>
      </c>
      <c r="W82">
        <v>5.07</v>
      </c>
      <c r="X82">
        <v>1.65</v>
      </c>
      <c r="Y82">
        <v>75.42</v>
      </c>
      <c r="Z82">
        <v>51.63</v>
      </c>
      <c r="AA82">
        <v>10.56</v>
      </c>
      <c r="AB82">
        <v>83.02</v>
      </c>
      <c r="AC82">
        <v>8.2100000000000009</v>
      </c>
      <c r="AD82">
        <v>2.35</v>
      </c>
      <c r="AE82" t="s">
        <v>226</v>
      </c>
      <c r="AF82">
        <v>29.17</v>
      </c>
      <c r="AG82" t="s">
        <v>266</v>
      </c>
      <c r="AH82">
        <v>16.43</v>
      </c>
      <c r="AI82">
        <v>8.2100000000000009</v>
      </c>
      <c r="AJ82">
        <v>66.67</v>
      </c>
      <c r="AK82">
        <v>4.6900000000000004</v>
      </c>
      <c r="AL82">
        <v>0</v>
      </c>
      <c r="AM82" t="s">
        <v>223</v>
      </c>
      <c r="AN82">
        <v>44.44</v>
      </c>
      <c r="AO82" t="s">
        <v>223</v>
      </c>
      <c r="AP82">
        <v>21.62</v>
      </c>
      <c r="AQ82">
        <v>77.78</v>
      </c>
      <c r="AR82">
        <v>0.99399999999999999</v>
      </c>
    </row>
    <row r="83" spans="1:44" x14ac:dyDescent="0.35">
      <c r="A83">
        <v>9</v>
      </c>
      <c r="B83" t="s">
        <v>46</v>
      </c>
      <c r="C83">
        <v>10</v>
      </c>
      <c r="D83" t="s">
        <v>237</v>
      </c>
      <c r="E83">
        <v>6</v>
      </c>
      <c r="F83">
        <v>3</v>
      </c>
      <c r="G83">
        <v>1</v>
      </c>
      <c r="H83">
        <v>6</v>
      </c>
      <c r="I83">
        <v>13</v>
      </c>
      <c r="J83">
        <v>0.65</v>
      </c>
      <c r="K83">
        <v>117.76</v>
      </c>
      <c r="L83">
        <v>18.59</v>
      </c>
      <c r="M83">
        <v>86.36</v>
      </c>
      <c r="N83">
        <v>100.2</v>
      </c>
      <c r="O83">
        <v>16.53</v>
      </c>
      <c r="P83">
        <v>85.84</v>
      </c>
      <c r="Q83">
        <v>77.47</v>
      </c>
      <c r="R83">
        <v>13.43</v>
      </c>
      <c r="S83">
        <v>85.23</v>
      </c>
      <c r="T83">
        <v>10.33</v>
      </c>
      <c r="U83">
        <v>1.03</v>
      </c>
      <c r="V83">
        <v>90.91</v>
      </c>
      <c r="W83">
        <v>8.74</v>
      </c>
      <c r="X83">
        <v>0.93</v>
      </c>
      <c r="Y83">
        <v>90.4</v>
      </c>
      <c r="Z83">
        <v>65.08</v>
      </c>
      <c r="AA83">
        <v>9.3000000000000007</v>
      </c>
      <c r="AB83">
        <v>87.5</v>
      </c>
      <c r="AC83">
        <v>9.3000000000000007</v>
      </c>
      <c r="AD83">
        <v>1.03</v>
      </c>
      <c r="AE83" t="s">
        <v>227</v>
      </c>
      <c r="AF83">
        <v>21.43</v>
      </c>
      <c r="AG83" t="s">
        <v>224</v>
      </c>
      <c r="AH83">
        <v>24.79</v>
      </c>
      <c r="AI83">
        <v>6.2</v>
      </c>
      <c r="AJ83">
        <v>80</v>
      </c>
      <c r="AK83">
        <v>1.03</v>
      </c>
      <c r="AL83">
        <v>0</v>
      </c>
      <c r="AM83" t="s">
        <v>223</v>
      </c>
      <c r="AN83">
        <v>6.25</v>
      </c>
      <c r="AO83" t="s">
        <v>223</v>
      </c>
      <c r="AP83">
        <v>13.33</v>
      </c>
      <c r="AQ83">
        <v>92.31</v>
      </c>
      <c r="AR83">
        <v>1.056</v>
      </c>
    </row>
    <row r="84" spans="1:44" x14ac:dyDescent="0.35">
      <c r="A84">
        <v>10</v>
      </c>
      <c r="B84" t="s">
        <v>47</v>
      </c>
      <c r="C84">
        <v>10</v>
      </c>
      <c r="D84" t="s">
        <v>284</v>
      </c>
      <c r="E84">
        <v>3</v>
      </c>
      <c r="F84">
        <v>3</v>
      </c>
      <c r="G84">
        <v>4</v>
      </c>
      <c r="H84">
        <v>3</v>
      </c>
      <c r="I84">
        <v>10</v>
      </c>
      <c r="J84">
        <v>0.5</v>
      </c>
      <c r="K84">
        <v>86.06</v>
      </c>
      <c r="L84">
        <v>9.33</v>
      </c>
      <c r="M84">
        <v>90.22</v>
      </c>
      <c r="N84">
        <v>68.430000000000007</v>
      </c>
      <c r="O84">
        <v>9.33</v>
      </c>
      <c r="P84">
        <v>88</v>
      </c>
      <c r="Q84">
        <v>49.77</v>
      </c>
      <c r="R84">
        <v>9.33</v>
      </c>
      <c r="S84">
        <v>84.21</v>
      </c>
      <c r="T84">
        <v>6.22</v>
      </c>
      <c r="U84">
        <v>0</v>
      </c>
      <c r="V84">
        <v>100</v>
      </c>
      <c r="W84">
        <v>5.45</v>
      </c>
      <c r="X84">
        <v>0.15</v>
      </c>
      <c r="Y84">
        <v>97.26</v>
      </c>
      <c r="Z84">
        <v>46.66</v>
      </c>
      <c r="AA84">
        <v>0</v>
      </c>
      <c r="AB84">
        <v>100</v>
      </c>
      <c r="AC84">
        <v>4.1500000000000004</v>
      </c>
      <c r="AD84">
        <v>0</v>
      </c>
      <c r="AE84" t="s">
        <v>223</v>
      </c>
      <c r="AF84">
        <v>14.29</v>
      </c>
      <c r="AG84" t="s">
        <v>85</v>
      </c>
      <c r="AH84">
        <v>17.63</v>
      </c>
      <c r="AI84">
        <v>0</v>
      </c>
      <c r="AJ84">
        <v>100</v>
      </c>
      <c r="AK84">
        <v>3.11</v>
      </c>
      <c r="AL84">
        <v>0</v>
      </c>
      <c r="AM84" t="s">
        <v>223</v>
      </c>
      <c r="AN84">
        <v>25</v>
      </c>
      <c r="AO84" t="s">
        <v>85</v>
      </c>
      <c r="AP84">
        <v>12.5</v>
      </c>
      <c r="AQ84">
        <v>100</v>
      </c>
      <c r="AR84">
        <v>1.125</v>
      </c>
    </row>
    <row r="85" spans="1:44" x14ac:dyDescent="0.35">
      <c r="A85">
        <v>11</v>
      </c>
      <c r="B85" t="s">
        <v>48</v>
      </c>
      <c r="C85">
        <v>10</v>
      </c>
      <c r="D85" t="s">
        <v>238</v>
      </c>
      <c r="E85">
        <v>3</v>
      </c>
      <c r="F85">
        <v>5</v>
      </c>
      <c r="G85">
        <v>2</v>
      </c>
      <c r="H85">
        <v>3</v>
      </c>
      <c r="I85">
        <v>8</v>
      </c>
      <c r="J85">
        <v>0.4</v>
      </c>
      <c r="K85">
        <v>74.38</v>
      </c>
      <c r="L85">
        <v>12</v>
      </c>
      <c r="M85">
        <v>86.11</v>
      </c>
      <c r="N85">
        <v>63.58</v>
      </c>
      <c r="O85">
        <v>8.4</v>
      </c>
      <c r="P85">
        <v>88.33</v>
      </c>
      <c r="Q85">
        <v>41.99</v>
      </c>
      <c r="R85">
        <v>7.2</v>
      </c>
      <c r="S85">
        <v>85.37</v>
      </c>
      <c r="T85">
        <v>1.2</v>
      </c>
      <c r="U85">
        <v>0</v>
      </c>
      <c r="V85">
        <v>100</v>
      </c>
      <c r="W85">
        <v>5.21</v>
      </c>
      <c r="X85">
        <v>0.83</v>
      </c>
      <c r="Y85">
        <v>86.32</v>
      </c>
      <c r="Z85">
        <v>31.19</v>
      </c>
      <c r="AA85">
        <v>6</v>
      </c>
      <c r="AB85">
        <v>83.87</v>
      </c>
      <c r="AC85">
        <v>0</v>
      </c>
      <c r="AD85">
        <v>0</v>
      </c>
      <c r="AE85" t="s">
        <v>85</v>
      </c>
      <c r="AF85">
        <v>0</v>
      </c>
      <c r="AG85" t="s">
        <v>223</v>
      </c>
      <c r="AH85">
        <v>12</v>
      </c>
      <c r="AI85">
        <v>3.6</v>
      </c>
      <c r="AJ85">
        <v>76.92</v>
      </c>
      <c r="AK85">
        <v>0</v>
      </c>
      <c r="AL85">
        <v>0</v>
      </c>
      <c r="AM85" t="s">
        <v>85</v>
      </c>
      <c r="AN85">
        <v>0</v>
      </c>
      <c r="AO85" t="s">
        <v>223</v>
      </c>
      <c r="AP85">
        <v>2.86</v>
      </c>
      <c r="AQ85">
        <v>100</v>
      </c>
      <c r="AR85">
        <v>1.0289999999999999</v>
      </c>
    </row>
    <row r="86" spans="1:44" x14ac:dyDescent="0.35">
      <c r="A86">
        <v>12</v>
      </c>
      <c r="B86" t="s">
        <v>49</v>
      </c>
      <c r="C86">
        <v>10</v>
      </c>
      <c r="D86" t="s">
        <v>239</v>
      </c>
      <c r="E86">
        <v>6</v>
      </c>
      <c r="F86">
        <v>4</v>
      </c>
      <c r="G86">
        <v>0</v>
      </c>
      <c r="H86">
        <v>6</v>
      </c>
      <c r="I86">
        <v>12</v>
      </c>
      <c r="J86">
        <v>0.6</v>
      </c>
      <c r="K86">
        <v>122.9</v>
      </c>
      <c r="L86">
        <v>11.05</v>
      </c>
      <c r="M86">
        <v>91.75</v>
      </c>
      <c r="N86">
        <v>93.9</v>
      </c>
      <c r="O86">
        <v>11.05</v>
      </c>
      <c r="P86">
        <v>89.47</v>
      </c>
      <c r="Q86">
        <v>66.28</v>
      </c>
      <c r="R86">
        <v>11.05</v>
      </c>
      <c r="S86">
        <v>85.71</v>
      </c>
      <c r="T86">
        <v>13.81</v>
      </c>
      <c r="U86">
        <v>0</v>
      </c>
      <c r="V86">
        <v>100</v>
      </c>
      <c r="W86">
        <v>9.2899999999999991</v>
      </c>
      <c r="X86">
        <v>0.91</v>
      </c>
      <c r="Y86">
        <v>91.07</v>
      </c>
      <c r="Z86">
        <v>75.95</v>
      </c>
      <c r="AA86">
        <v>6.9</v>
      </c>
      <c r="AB86">
        <v>91.67</v>
      </c>
      <c r="AC86">
        <v>11.05</v>
      </c>
      <c r="AD86">
        <v>0</v>
      </c>
      <c r="AE86" t="s">
        <v>223</v>
      </c>
      <c r="AF86">
        <v>21.62</v>
      </c>
      <c r="AG86" t="s">
        <v>223</v>
      </c>
      <c r="AH86">
        <v>24.86</v>
      </c>
      <c r="AI86">
        <v>2.76</v>
      </c>
      <c r="AJ86">
        <v>90</v>
      </c>
      <c r="AK86">
        <v>6.9</v>
      </c>
      <c r="AL86">
        <v>0</v>
      </c>
      <c r="AM86" t="s">
        <v>223</v>
      </c>
      <c r="AN86">
        <v>38.46</v>
      </c>
      <c r="AO86" t="s">
        <v>223</v>
      </c>
      <c r="AP86">
        <v>20.83</v>
      </c>
      <c r="AQ86">
        <v>100</v>
      </c>
      <c r="AR86">
        <v>1.208</v>
      </c>
    </row>
    <row r="87" spans="1:44" x14ac:dyDescent="0.35">
      <c r="A87">
        <v>13</v>
      </c>
      <c r="B87" t="s">
        <v>50</v>
      </c>
      <c r="C87">
        <v>10</v>
      </c>
      <c r="D87" t="s">
        <v>240</v>
      </c>
      <c r="E87">
        <v>5</v>
      </c>
      <c r="F87">
        <v>3</v>
      </c>
      <c r="G87">
        <v>2</v>
      </c>
      <c r="H87">
        <v>5</v>
      </c>
      <c r="I87">
        <v>12</v>
      </c>
      <c r="J87">
        <v>0.6</v>
      </c>
      <c r="K87">
        <v>118.1</v>
      </c>
      <c r="L87">
        <v>23.08</v>
      </c>
      <c r="M87">
        <v>83.65</v>
      </c>
      <c r="N87">
        <v>97.74</v>
      </c>
      <c r="O87">
        <v>20.36</v>
      </c>
      <c r="P87">
        <v>82.76</v>
      </c>
      <c r="Q87">
        <v>76.02</v>
      </c>
      <c r="R87">
        <v>16.29</v>
      </c>
      <c r="S87">
        <v>82.35</v>
      </c>
      <c r="T87">
        <v>4.07</v>
      </c>
      <c r="U87">
        <v>0</v>
      </c>
      <c r="V87">
        <v>100</v>
      </c>
      <c r="W87">
        <v>9.25</v>
      </c>
      <c r="X87">
        <v>0.93</v>
      </c>
      <c r="Y87">
        <v>90.89</v>
      </c>
      <c r="Z87">
        <v>52.94</v>
      </c>
      <c r="AA87">
        <v>9.5</v>
      </c>
      <c r="AB87">
        <v>84.78</v>
      </c>
      <c r="AC87">
        <v>2.71</v>
      </c>
      <c r="AD87">
        <v>0</v>
      </c>
      <c r="AE87" t="s">
        <v>223</v>
      </c>
      <c r="AF87">
        <v>6.06</v>
      </c>
      <c r="AG87" t="s">
        <v>223</v>
      </c>
      <c r="AH87">
        <v>31.22</v>
      </c>
      <c r="AI87">
        <v>2.71</v>
      </c>
      <c r="AJ87">
        <v>92</v>
      </c>
      <c r="AK87">
        <v>2.71</v>
      </c>
      <c r="AL87">
        <v>0</v>
      </c>
      <c r="AM87" t="s">
        <v>223</v>
      </c>
      <c r="AN87">
        <v>9.52</v>
      </c>
      <c r="AO87" t="s">
        <v>223</v>
      </c>
      <c r="AP87">
        <v>5.36</v>
      </c>
      <c r="AQ87">
        <v>100</v>
      </c>
      <c r="AR87">
        <v>1.054</v>
      </c>
    </row>
    <row r="88" spans="1:44" x14ac:dyDescent="0.35">
      <c r="A88">
        <v>14</v>
      </c>
      <c r="B88" t="s">
        <v>51</v>
      </c>
      <c r="C88">
        <v>10</v>
      </c>
      <c r="D88" t="s">
        <v>241</v>
      </c>
      <c r="E88">
        <v>4</v>
      </c>
      <c r="F88">
        <v>3</v>
      </c>
      <c r="G88">
        <v>3</v>
      </c>
      <c r="H88">
        <v>4</v>
      </c>
      <c r="I88">
        <v>11</v>
      </c>
      <c r="J88">
        <v>0.55000000000000004</v>
      </c>
      <c r="K88">
        <v>100.68</v>
      </c>
      <c r="L88">
        <v>10.71</v>
      </c>
      <c r="M88">
        <v>90.38</v>
      </c>
      <c r="N88">
        <v>77.12</v>
      </c>
      <c r="O88">
        <v>10.71</v>
      </c>
      <c r="P88">
        <v>87.8</v>
      </c>
      <c r="Q88">
        <v>58.91</v>
      </c>
      <c r="R88">
        <v>10.71</v>
      </c>
      <c r="S88">
        <v>84.62</v>
      </c>
      <c r="T88">
        <v>11.78</v>
      </c>
      <c r="U88">
        <v>0</v>
      </c>
      <c r="V88">
        <v>100</v>
      </c>
      <c r="W88">
        <v>6.94</v>
      </c>
      <c r="X88">
        <v>0.33</v>
      </c>
      <c r="Y88">
        <v>95.44</v>
      </c>
      <c r="Z88">
        <v>48.2</v>
      </c>
      <c r="AA88">
        <v>3.21</v>
      </c>
      <c r="AB88">
        <v>93.75</v>
      </c>
      <c r="AC88">
        <v>5.36</v>
      </c>
      <c r="AD88">
        <v>0</v>
      </c>
      <c r="AE88" t="s">
        <v>223</v>
      </c>
      <c r="AF88">
        <v>21.74</v>
      </c>
      <c r="AG88" t="s">
        <v>223</v>
      </c>
      <c r="AH88">
        <v>18.21</v>
      </c>
      <c r="AI88">
        <v>2.14</v>
      </c>
      <c r="AJ88">
        <v>89.47</v>
      </c>
      <c r="AK88">
        <v>3.21</v>
      </c>
      <c r="AL88">
        <v>0</v>
      </c>
      <c r="AM88" t="s">
        <v>223</v>
      </c>
      <c r="AN88">
        <v>23.08</v>
      </c>
      <c r="AO88" t="s">
        <v>223</v>
      </c>
      <c r="AP88">
        <v>20</v>
      </c>
      <c r="AQ88">
        <v>100</v>
      </c>
      <c r="AR88">
        <v>1.2</v>
      </c>
    </row>
    <row r="89" spans="1:44" x14ac:dyDescent="0.35">
      <c r="A89">
        <v>15</v>
      </c>
      <c r="B89" t="s">
        <v>52</v>
      </c>
      <c r="C89">
        <v>8</v>
      </c>
      <c r="D89" t="s">
        <v>242</v>
      </c>
      <c r="E89">
        <v>5</v>
      </c>
      <c r="F89">
        <v>3</v>
      </c>
      <c r="G89">
        <v>0</v>
      </c>
      <c r="H89">
        <v>5</v>
      </c>
      <c r="I89">
        <v>10</v>
      </c>
      <c r="J89">
        <v>0.625</v>
      </c>
      <c r="K89">
        <v>68.760000000000005</v>
      </c>
      <c r="L89">
        <v>10.58</v>
      </c>
      <c r="M89">
        <v>86.67</v>
      </c>
      <c r="N89">
        <v>52.89</v>
      </c>
      <c r="O89">
        <v>9.52</v>
      </c>
      <c r="P89">
        <v>84.75</v>
      </c>
      <c r="Q89">
        <v>39.14</v>
      </c>
      <c r="R89">
        <v>6.35</v>
      </c>
      <c r="S89">
        <v>86.05</v>
      </c>
      <c r="T89">
        <v>1.06</v>
      </c>
      <c r="U89">
        <v>0</v>
      </c>
      <c r="V89">
        <v>100</v>
      </c>
      <c r="W89">
        <v>4.0199999999999996</v>
      </c>
      <c r="X89">
        <v>0.83</v>
      </c>
      <c r="Y89">
        <v>82.97</v>
      </c>
      <c r="Z89">
        <v>26.45</v>
      </c>
      <c r="AA89">
        <v>5.29</v>
      </c>
      <c r="AB89">
        <v>83.33</v>
      </c>
      <c r="AC89">
        <v>0</v>
      </c>
      <c r="AD89">
        <v>0</v>
      </c>
      <c r="AE89" t="s">
        <v>85</v>
      </c>
      <c r="AF89">
        <v>0</v>
      </c>
      <c r="AG89" t="s">
        <v>223</v>
      </c>
      <c r="AH89">
        <v>11.64</v>
      </c>
      <c r="AI89">
        <v>3.17</v>
      </c>
      <c r="AJ89">
        <v>78.569999999999993</v>
      </c>
      <c r="AK89">
        <v>0</v>
      </c>
      <c r="AL89">
        <v>0</v>
      </c>
      <c r="AM89" t="s">
        <v>85</v>
      </c>
      <c r="AN89">
        <v>0</v>
      </c>
      <c r="AO89" t="s">
        <v>223</v>
      </c>
      <c r="AP89">
        <v>2.7</v>
      </c>
      <c r="AQ89">
        <v>100</v>
      </c>
      <c r="AR89">
        <v>1.0269999999999999</v>
      </c>
    </row>
    <row r="90" spans="1:44" x14ac:dyDescent="0.35">
      <c r="A90">
        <v>16</v>
      </c>
      <c r="B90" t="s">
        <v>53</v>
      </c>
      <c r="C90">
        <v>10</v>
      </c>
      <c r="D90" t="s">
        <v>243</v>
      </c>
      <c r="E90">
        <v>4</v>
      </c>
      <c r="F90">
        <v>5</v>
      </c>
      <c r="G90">
        <v>1</v>
      </c>
      <c r="H90">
        <v>4</v>
      </c>
      <c r="I90">
        <v>9</v>
      </c>
      <c r="J90">
        <v>0.45</v>
      </c>
      <c r="K90">
        <v>82.22</v>
      </c>
      <c r="L90">
        <v>5.39</v>
      </c>
      <c r="M90">
        <v>93.85</v>
      </c>
      <c r="N90">
        <v>57.96</v>
      </c>
      <c r="O90">
        <v>1.35</v>
      </c>
      <c r="P90">
        <v>97.73</v>
      </c>
      <c r="Q90">
        <v>47.17</v>
      </c>
      <c r="R90">
        <v>1.35</v>
      </c>
      <c r="S90">
        <v>97.22</v>
      </c>
      <c r="T90">
        <v>5.39</v>
      </c>
      <c r="U90">
        <v>0</v>
      </c>
      <c r="V90">
        <v>100</v>
      </c>
      <c r="W90">
        <v>4.84</v>
      </c>
      <c r="X90">
        <v>0.02</v>
      </c>
      <c r="Y90">
        <v>99.6</v>
      </c>
      <c r="Z90">
        <v>47.17</v>
      </c>
      <c r="AA90">
        <v>2.7</v>
      </c>
      <c r="AB90">
        <v>94.59</v>
      </c>
      <c r="AC90">
        <v>4.04</v>
      </c>
      <c r="AD90">
        <v>0</v>
      </c>
      <c r="AE90" t="s">
        <v>223</v>
      </c>
      <c r="AF90">
        <v>15</v>
      </c>
      <c r="AG90" t="s">
        <v>85</v>
      </c>
      <c r="AH90">
        <v>12.13</v>
      </c>
      <c r="AI90">
        <v>0</v>
      </c>
      <c r="AJ90">
        <v>100</v>
      </c>
      <c r="AK90">
        <v>4.04</v>
      </c>
      <c r="AL90">
        <v>0</v>
      </c>
      <c r="AM90" t="s">
        <v>223</v>
      </c>
      <c r="AN90">
        <v>33.33</v>
      </c>
      <c r="AO90" t="s">
        <v>85</v>
      </c>
      <c r="AP90">
        <v>11.43</v>
      </c>
      <c r="AQ90">
        <v>100</v>
      </c>
      <c r="AR90">
        <v>1.1140000000000001</v>
      </c>
    </row>
    <row r="91" spans="1:44" x14ac:dyDescent="0.35">
      <c r="A91">
        <v>17</v>
      </c>
      <c r="B91" t="s">
        <v>54</v>
      </c>
      <c r="C91">
        <v>10</v>
      </c>
      <c r="D91" t="s">
        <v>244</v>
      </c>
      <c r="E91">
        <v>1</v>
      </c>
      <c r="F91">
        <v>9</v>
      </c>
      <c r="G91">
        <v>0</v>
      </c>
      <c r="H91">
        <v>1</v>
      </c>
      <c r="I91">
        <v>2</v>
      </c>
      <c r="J91">
        <v>0.1</v>
      </c>
      <c r="K91">
        <v>75.28</v>
      </c>
      <c r="L91">
        <v>6.17</v>
      </c>
      <c r="M91">
        <v>92.42</v>
      </c>
      <c r="N91">
        <v>58</v>
      </c>
      <c r="O91">
        <v>4.9400000000000004</v>
      </c>
      <c r="P91">
        <v>92.16</v>
      </c>
      <c r="Q91">
        <v>44.43</v>
      </c>
      <c r="R91">
        <v>2.4700000000000002</v>
      </c>
      <c r="S91">
        <v>94.74</v>
      </c>
      <c r="T91">
        <v>3.7</v>
      </c>
      <c r="U91">
        <v>0</v>
      </c>
      <c r="V91">
        <v>100</v>
      </c>
      <c r="W91">
        <v>4.84</v>
      </c>
      <c r="X91">
        <v>0.27</v>
      </c>
      <c r="Y91">
        <v>94.79</v>
      </c>
      <c r="Z91">
        <v>37.020000000000003</v>
      </c>
      <c r="AA91">
        <v>2.4700000000000002</v>
      </c>
      <c r="AB91">
        <v>93.75</v>
      </c>
      <c r="AC91">
        <v>2.4700000000000002</v>
      </c>
      <c r="AD91">
        <v>0</v>
      </c>
      <c r="AE91" t="s">
        <v>223</v>
      </c>
      <c r="AF91">
        <v>10.53</v>
      </c>
      <c r="AG91" t="s">
        <v>223</v>
      </c>
      <c r="AH91">
        <v>13.58</v>
      </c>
      <c r="AI91">
        <v>0</v>
      </c>
      <c r="AJ91">
        <v>100</v>
      </c>
      <c r="AK91">
        <v>2.4700000000000002</v>
      </c>
      <c r="AL91">
        <v>0</v>
      </c>
      <c r="AM91" t="s">
        <v>223</v>
      </c>
      <c r="AN91">
        <v>33.33</v>
      </c>
      <c r="AO91" t="s">
        <v>85</v>
      </c>
      <c r="AP91">
        <v>8.33</v>
      </c>
      <c r="AQ91">
        <v>100</v>
      </c>
      <c r="AR91">
        <v>1.083</v>
      </c>
    </row>
    <row r="92" spans="1:44" x14ac:dyDescent="0.35">
      <c r="A92">
        <v>18</v>
      </c>
      <c r="B92" t="s">
        <v>55</v>
      </c>
      <c r="C92">
        <v>10</v>
      </c>
      <c r="D92" t="s">
        <v>245</v>
      </c>
      <c r="E92">
        <v>4</v>
      </c>
      <c r="F92">
        <v>6</v>
      </c>
      <c r="G92">
        <v>0</v>
      </c>
      <c r="H92">
        <v>3</v>
      </c>
      <c r="I92">
        <v>8</v>
      </c>
      <c r="J92">
        <v>0.4</v>
      </c>
      <c r="K92">
        <v>77.44</v>
      </c>
      <c r="L92">
        <v>5.69</v>
      </c>
      <c r="M92">
        <v>93.15</v>
      </c>
      <c r="N92">
        <v>51.25</v>
      </c>
      <c r="O92">
        <v>4.5599999999999996</v>
      </c>
      <c r="P92">
        <v>91.84</v>
      </c>
      <c r="Q92">
        <v>39.86</v>
      </c>
      <c r="R92">
        <v>4.5599999999999996</v>
      </c>
      <c r="S92">
        <v>89.74</v>
      </c>
      <c r="T92">
        <v>5.69</v>
      </c>
      <c r="U92">
        <v>0</v>
      </c>
      <c r="V92">
        <v>100</v>
      </c>
      <c r="W92">
        <v>3.63</v>
      </c>
      <c r="X92">
        <v>0.13</v>
      </c>
      <c r="Y92">
        <v>96.54</v>
      </c>
      <c r="Z92">
        <v>34.17</v>
      </c>
      <c r="AA92">
        <v>1.1399999999999999</v>
      </c>
      <c r="AB92">
        <v>96.77</v>
      </c>
      <c r="AC92">
        <v>3.42</v>
      </c>
      <c r="AD92">
        <v>0</v>
      </c>
      <c r="AE92" t="s">
        <v>223</v>
      </c>
      <c r="AF92">
        <v>16.670000000000002</v>
      </c>
      <c r="AG92" t="s">
        <v>223</v>
      </c>
      <c r="AH92">
        <v>10.25</v>
      </c>
      <c r="AI92">
        <v>0</v>
      </c>
      <c r="AJ92">
        <v>100</v>
      </c>
      <c r="AK92">
        <v>1.1399999999999999</v>
      </c>
      <c r="AL92">
        <v>0</v>
      </c>
      <c r="AM92" t="s">
        <v>223</v>
      </c>
      <c r="AN92">
        <v>16.670000000000002</v>
      </c>
      <c r="AO92" t="s">
        <v>85</v>
      </c>
      <c r="AP92">
        <v>14.29</v>
      </c>
      <c r="AQ92">
        <v>100</v>
      </c>
      <c r="AR92">
        <v>1.143</v>
      </c>
    </row>
    <row r="93" spans="1:44" x14ac:dyDescent="0.35">
      <c r="A93">
        <v>19</v>
      </c>
      <c r="B93" t="s">
        <v>56</v>
      </c>
      <c r="C93">
        <v>10</v>
      </c>
      <c r="D93" t="s">
        <v>362</v>
      </c>
      <c r="E93">
        <v>8</v>
      </c>
      <c r="F93">
        <v>0</v>
      </c>
      <c r="G93">
        <v>2</v>
      </c>
      <c r="H93">
        <v>8</v>
      </c>
      <c r="I93">
        <v>18</v>
      </c>
      <c r="J93">
        <v>0.9</v>
      </c>
      <c r="K93">
        <v>91.57</v>
      </c>
      <c r="L93">
        <v>12.57</v>
      </c>
      <c r="M93">
        <v>87.93</v>
      </c>
      <c r="N93">
        <v>62.84</v>
      </c>
      <c r="O93">
        <v>8.98</v>
      </c>
      <c r="P93">
        <v>87.5</v>
      </c>
      <c r="Q93">
        <v>55.66</v>
      </c>
      <c r="R93">
        <v>8.98</v>
      </c>
      <c r="S93">
        <v>86.11</v>
      </c>
      <c r="T93">
        <v>12.57</v>
      </c>
      <c r="U93">
        <v>0</v>
      </c>
      <c r="V93">
        <v>100</v>
      </c>
      <c r="W93">
        <v>8.59</v>
      </c>
      <c r="X93">
        <v>0.69</v>
      </c>
      <c r="Y93">
        <v>92.54</v>
      </c>
      <c r="Z93">
        <v>55.66</v>
      </c>
      <c r="AA93">
        <v>5.39</v>
      </c>
      <c r="AB93">
        <v>91.18</v>
      </c>
      <c r="AC93">
        <v>12.57</v>
      </c>
      <c r="AD93">
        <v>0</v>
      </c>
      <c r="AE93" t="s">
        <v>223</v>
      </c>
      <c r="AF93">
        <v>33.33</v>
      </c>
      <c r="AG93" t="s">
        <v>223</v>
      </c>
      <c r="AH93">
        <v>30.52</v>
      </c>
      <c r="AI93">
        <v>1.8</v>
      </c>
      <c r="AJ93">
        <v>94.44</v>
      </c>
      <c r="AK93">
        <v>10.77</v>
      </c>
      <c r="AL93">
        <v>0</v>
      </c>
      <c r="AM93" t="s">
        <v>223</v>
      </c>
      <c r="AN93">
        <v>40</v>
      </c>
      <c r="AO93" t="s">
        <v>223</v>
      </c>
      <c r="AP93">
        <v>22.58</v>
      </c>
      <c r="AQ93">
        <v>100</v>
      </c>
      <c r="AR93">
        <v>1.226</v>
      </c>
    </row>
    <row r="94" spans="1:44" x14ac:dyDescent="0.35">
      <c r="A94">
        <v>20</v>
      </c>
      <c r="B94" t="s">
        <v>57</v>
      </c>
      <c r="C94">
        <v>10</v>
      </c>
      <c r="D94" t="s">
        <v>246</v>
      </c>
      <c r="E94">
        <v>4</v>
      </c>
      <c r="F94">
        <v>4</v>
      </c>
      <c r="G94">
        <v>2</v>
      </c>
      <c r="H94">
        <v>4</v>
      </c>
      <c r="I94">
        <v>10</v>
      </c>
      <c r="J94">
        <v>0.5</v>
      </c>
      <c r="K94">
        <v>90.83</v>
      </c>
      <c r="L94">
        <v>14.4</v>
      </c>
      <c r="M94">
        <v>86.32</v>
      </c>
      <c r="N94">
        <v>64.25</v>
      </c>
      <c r="O94">
        <v>13.29</v>
      </c>
      <c r="P94">
        <v>82.86</v>
      </c>
      <c r="Q94">
        <v>43.2</v>
      </c>
      <c r="R94">
        <v>9.9700000000000006</v>
      </c>
      <c r="S94">
        <v>81.25</v>
      </c>
      <c r="T94">
        <v>3.32</v>
      </c>
      <c r="U94">
        <v>2.2200000000000002</v>
      </c>
      <c r="V94">
        <v>60</v>
      </c>
      <c r="W94">
        <v>5.55</v>
      </c>
      <c r="X94">
        <v>0.92</v>
      </c>
      <c r="Y94">
        <v>85.84</v>
      </c>
      <c r="Z94">
        <v>47.63</v>
      </c>
      <c r="AA94">
        <v>5.54</v>
      </c>
      <c r="AB94">
        <v>89.58</v>
      </c>
      <c r="AC94">
        <v>3.32</v>
      </c>
      <c r="AD94">
        <v>1.1100000000000001</v>
      </c>
      <c r="AE94" t="s">
        <v>220</v>
      </c>
      <c r="AF94">
        <v>12</v>
      </c>
      <c r="AG94" t="s">
        <v>225</v>
      </c>
      <c r="AH94">
        <v>19.940000000000001</v>
      </c>
      <c r="AI94">
        <v>3.32</v>
      </c>
      <c r="AJ94">
        <v>85.71</v>
      </c>
      <c r="AK94">
        <v>1.1100000000000001</v>
      </c>
      <c r="AL94">
        <v>1.1100000000000001</v>
      </c>
      <c r="AM94" t="s">
        <v>218</v>
      </c>
      <c r="AN94">
        <v>6.67</v>
      </c>
      <c r="AO94" t="s">
        <v>217</v>
      </c>
      <c r="AP94">
        <v>7.69</v>
      </c>
      <c r="AQ94">
        <v>77.78</v>
      </c>
      <c r="AR94">
        <v>0.85499999999999998</v>
      </c>
    </row>
    <row r="95" spans="1:44" x14ac:dyDescent="0.35">
      <c r="A95">
        <v>21</v>
      </c>
      <c r="B95" t="s">
        <v>58</v>
      </c>
      <c r="C95">
        <v>10</v>
      </c>
      <c r="D95" t="s">
        <v>247</v>
      </c>
      <c r="E95">
        <v>4</v>
      </c>
      <c r="F95">
        <v>5</v>
      </c>
      <c r="G95">
        <v>1</v>
      </c>
      <c r="H95">
        <v>3</v>
      </c>
      <c r="I95">
        <v>9</v>
      </c>
      <c r="J95">
        <v>0.45</v>
      </c>
      <c r="K95">
        <v>117.22</v>
      </c>
      <c r="L95">
        <v>9.67</v>
      </c>
      <c r="M95">
        <v>92.38</v>
      </c>
      <c r="N95">
        <v>96.68</v>
      </c>
      <c r="O95">
        <v>9.67</v>
      </c>
      <c r="P95">
        <v>90.91</v>
      </c>
      <c r="Q95">
        <v>74.92</v>
      </c>
      <c r="R95">
        <v>6.04</v>
      </c>
      <c r="S95">
        <v>92.54</v>
      </c>
      <c r="T95">
        <v>9.67</v>
      </c>
      <c r="U95">
        <v>1.21</v>
      </c>
      <c r="V95">
        <v>88.89</v>
      </c>
      <c r="W95">
        <v>8.86</v>
      </c>
      <c r="X95">
        <v>0.85</v>
      </c>
      <c r="Y95">
        <v>91.29</v>
      </c>
      <c r="Z95">
        <v>72.510000000000005</v>
      </c>
      <c r="AA95">
        <v>4.83</v>
      </c>
      <c r="AB95">
        <v>93.75</v>
      </c>
      <c r="AC95">
        <v>6.04</v>
      </c>
      <c r="AD95">
        <v>1.21</v>
      </c>
      <c r="AE95" t="s">
        <v>228</v>
      </c>
      <c r="AF95">
        <v>12.82</v>
      </c>
      <c r="AG95" t="s">
        <v>218</v>
      </c>
      <c r="AH95">
        <v>27.79</v>
      </c>
      <c r="AI95">
        <v>3.63</v>
      </c>
      <c r="AJ95">
        <v>88.46</v>
      </c>
      <c r="AK95">
        <v>3.63</v>
      </c>
      <c r="AL95">
        <v>1.21</v>
      </c>
      <c r="AM95" t="s">
        <v>220</v>
      </c>
      <c r="AN95">
        <v>16.670000000000002</v>
      </c>
      <c r="AO95" t="s">
        <v>218</v>
      </c>
      <c r="AP95">
        <v>12.9</v>
      </c>
      <c r="AQ95">
        <v>80</v>
      </c>
      <c r="AR95">
        <v>0.92900000000000005</v>
      </c>
    </row>
    <row r="96" spans="1:44" x14ac:dyDescent="0.35">
      <c r="A96">
        <v>22</v>
      </c>
      <c r="B96" t="s">
        <v>59</v>
      </c>
      <c r="C96">
        <v>10</v>
      </c>
      <c r="D96" t="s">
        <v>363</v>
      </c>
      <c r="E96">
        <v>5</v>
      </c>
      <c r="F96">
        <v>3</v>
      </c>
      <c r="G96">
        <v>2</v>
      </c>
      <c r="H96">
        <v>5</v>
      </c>
      <c r="I96">
        <v>12</v>
      </c>
      <c r="J96">
        <v>0.6</v>
      </c>
      <c r="K96">
        <v>86.74</v>
      </c>
      <c r="L96">
        <v>17.16</v>
      </c>
      <c r="M96">
        <v>83.49</v>
      </c>
      <c r="N96">
        <v>61.95</v>
      </c>
      <c r="O96">
        <v>17.16</v>
      </c>
      <c r="P96">
        <v>78.31</v>
      </c>
      <c r="Q96">
        <v>40.98</v>
      </c>
      <c r="R96">
        <v>14.3</v>
      </c>
      <c r="S96">
        <v>74.14</v>
      </c>
      <c r="T96">
        <v>4.7699999999999996</v>
      </c>
      <c r="U96">
        <v>0</v>
      </c>
      <c r="V96">
        <v>100</v>
      </c>
      <c r="W96">
        <v>5.66</v>
      </c>
      <c r="X96">
        <v>0.88</v>
      </c>
      <c r="Y96">
        <v>86.49</v>
      </c>
      <c r="Z96">
        <v>44.8</v>
      </c>
      <c r="AA96">
        <v>6.67</v>
      </c>
      <c r="AB96">
        <v>87.04</v>
      </c>
      <c r="AC96">
        <v>4.7699999999999996</v>
      </c>
      <c r="AD96">
        <v>0</v>
      </c>
      <c r="AE96" t="s">
        <v>223</v>
      </c>
      <c r="AF96">
        <v>23.81</v>
      </c>
      <c r="AG96" t="s">
        <v>223</v>
      </c>
      <c r="AH96">
        <v>17.16</v>
      </c>
      <c r="AI96">
        <v>4.7699999999999996</v>
      </c>
      <c r="AJ96">
        <v>78.260000000000005</v>
      </c>
      <c r="AK96">
        <v>4.7699999999999996</v>
      </c>
      <c r="AL96">
        <v>0</v>
      </c>
      <c r="AM96" t="s">
        <v>223</v>
      </c>
      <c r="AN96">
        <v>35.71</v>
      </c>
      <c r="AO96" t="s">
        <v>223</v>
      </c>
      <c r="AP96">
        <v>11.63</v>
      </c>
      <c r="AQ96">
        <v>100</v>
      </c>
      <c r="AR96">
        <v>1.1160000000000001</v>
      </c>
    </row>
    <row r="97" spans="1:44" x14ac:dyDescent="0.35">
      <c r="A97">
        <v>23</v>
      </c>
      <c r="B97" t="s">
        <v>60</v>
      </c>
      <c r="C97">
        <v>10</v>
      </c>
      <c r="D97" t="s">
        <v>316</v>
      </c>
      <c r="E97">
        <v>8</v>
      </c>
      <c r="F97">
        <v>2</v>
      </c>
      <c r="G97">
        <v>0</v>
      </c>
      <c r="H97">
        <v>7</v>
      </c>
      <c r="I97">
        <v>16</v>
      </c>
      <c r="J97">
        <v>0.8</v>
      </c>
      <c r="K97">
        <v>113.4</v>
      </c>
      <c r="L97">
        <v>20.309999999999999</v>
      </c>
      <c r="M97">
        <v>84.81</v>
      </c>
      <c r="N97">
        <v>89.7</v>
      </c>
      <c r="O97">
        <v>16.93</v>
      </c>
      <c r="P97">
        <v>84.13</v>
      </c>
      <c r="Q97">
        <v>76.16</v>
      </c>
      <c r="R97">
        <v>15.23</v>
      </c>
      <c r="S97">
        <v>83.33</v>
      </c>
      <c r="T97">
        <v>10.16</v>
      </c>
      <c r="U97">
        <v>0</v>
      </c>
      <c r="V97">
        <v>100</v>
      </c>
      <c r="W97">
        <v>11.28</v>
      </c>
      <c r="X97">
        <v>0.86</v>
      </c>
      <c r="Y97">
        <v>92.95</v>
      </c>
      <c r="Z97">
        <v>76.16</v>
      </c>
      <c r="AA97">
        <v>8.4600000000000009</v>
      </c>
      <c r="AB97">
        <v>90</v>
      </c>
      <c r="AC97">
        <v>10.16</v>
      </c>
      <c r="AD97">
        <v>0</v>
      </c>
      <c r="AE97" t="s">
        <v>223</v>
      </c>
      <c r="AF97">
        <v>18.18</v>
      </c>
      <c r="AG97" t="s">
        <v>223</v>
      </c>
      <c r="AH97">
        <v>40.619999999999997</v>
      </c>
      <c r="AI97">
        <v>5.08</v>
      </c>
      <c r="AJ97">
        <v>88.89</v>
      </c>
      <c r="AK97">
        <v>6.77</v>
      </c>
      <c r="AL97">
        <v>0</v>
      </c>
      <c r="AM97" t="s">
        <v>223</v>
      </c>
      <c r="AN97">
        <v>18.18</v>
      </c>
      <c r="AO97" t="s">
        <v>223</v>
      </c>
      <c r="AP97">
        <v>13.33</v>
      </c>
      <c r="AQ97">
        <v>100</v>
      </c>
      <c r="AR97">
        <v>1.133</v>
      </c>
    </row>
    <row r="98" spans="1:44" x14ac:dyDescent="0.35">
      <c r="A98">
        <v>24</v>
      </c>
      <c r="B98" t="s">
        <v>61</v>
      </c>
      <c r="C98">
        <v>8</v>
      </c>
      <c r="D98" t="s">
        <v>249</v>
      </c>
      <c r="E98">
        <v>2</v>
      </c>
      <c r="F98">
        <v>5</v>
      </c>
      <c r="G98">
        <v>1</v>
      </c>
      <c r="H98">
        <v>2</v>
      </c>
      <c r="I98">
        <v>5</v>
      </c>
      <c r="J98">
        <v>0.313</v>
      </c>
      <c r="K98">
        <v>88.39</v>
      </c>
      <c r="L98">
        <v>19.64</v>
      </c>
      <c r="M98">
        <v>81.819999999999993</v>
      </c>
      <c r="N98">
        <v>60.33</v>
      </c>
      <c r="O98">
        <v>16.84</v>
      </c>
      <c r="P98">
        <v>78.180000000000007</v>
      </c>
      <c r="Q98">
        <v>43.49</v>
      </c>
      <c r="R98">
        <v>15.43</v>
      </c>
      <c r="S98">
        <v>73.81</v>
      </c>
      <c r="T98">
        <v>7.01</v>
      </c>
      <c r="U98">
        <v>1.4</v>
      </c>
      <c r="V98">
        <v>83.33</v>
      </c>
      <c r="W98">
        <v>5.13</v>
      </c>
      <c r="X98">
        <v>0.73</v>
      </c>
      <c r="Y98">
        <v>87.51</v>
      </c>
      <c r="Z98">
        <v>46.3</v>
      </c>
      <c r="AA98">
        <v>5.61</v>
      </c>
      <c r="AB98">
        <v>89.19</v>
      </c>
      <c r="AC98">
        <v>2.81</v>
      </c>
      <c r="AD98">
        <v>1.4</v>
      </c>
      <c r="AE98" t="s">
        <v>217</v>
      </c>
      <c r="AF98">
        <v>11.76</v>
      </c>
      <c r="AG98" t="s">
        <v>220</v>
      </c>
      <c r="AH98">
        <v>15.43</v>
      </c>
      <c r="AI98">
        <v>2.81</v>
      </c>
      <c r="AJ98">
        <v>84.62</v>
      </c>
      <c r="AK98">
        <v>1.4</v>
      </c>
      <c r="AL98">
        <v>1.4</v>
      </c>
      <c r="AM98" t="s">
        <v>218</v>
      </c>
      <c r="AN98">
        <v>12.5</v>
      </c>
      <c r="AO98" t="s">
        <v>218</v>
      </c>
      <c r="AP98">
        <v>16.13</v>
      </c>
      <c r="AQ98">
        <v>90.91</v>
      </c>
      <c r="AR98">
        <v>1.07</v>
      </c>
    </row>
    <row r="99" spans="1:44" x14ac:dyDescent="0.35">
      <c r="A99">
        <v>25</v>
      </c>
      <c r="B99" t="s">
        <v>62</v>
      </c>
      <c r="C99">
        <v>10</v>
      </c>
      <c r="D99" t="s">
        <v>250</v>
      </c>
      <c r="E99">
        <v>3</v>
      </c>
      <c r="F99">
        <v>6</v>
      </c>
      <c r="G99">
        <v>1</v>
      </c>
      <c r="H99">
        <v>3</v>
      </c>
      <c r="I99">
        <v>7</v>
      </c>
      <c r="J99">
        <v>0.35</v>
      </c>
      <c r="K99">
        <v>106.57</v>
      </c>
      <c r="L99">
        <v>12.79</v>
      </c>
      <c r="M99">
        <v>89.29</v>
      </c>
      <c r="N99">
        <v>79.930000000000007</v>
      </c>
      <c r="O99">
        <v>9.59</v>
      </c>
      <c r="P99">
        <v>89.29</v>
      </c>
      <c r="Q99">
        <v>63.94</v>
      </c>
      <c r="R99">
        <v>5.33</v>
      </c>
      <c r="S99">
        <v>92.31</v>
      </c>
      <c r="T99">
        <v>4.26</v>
      </c>
      <c r="U99">
        <v>0</v>
      </c>
      <c r="V99">
        <v>100</v>
      </c>
      <c r="W99">
        <v>7.43</v>
      </c>
      <c r="X99">
        <v>0.68</v>
      </c>
      <c r="Y99">
        <v>91.64</v>
      </c>
      <c r="Z99">
        <v>33.04</v>
      </c>
      <c r="AA99">
        <v>6.39</v>
      </c>
      <c r="AB99">
        <v>83.78</v>
      </c>
      <c r="AC99">
        <v>3.2</v>
      </c>
      <c r="AD99">
        <v>0</v>
      </c>
      <c r="AE99" t="s">
        <v>223</v>
      </c>
      <c r="AF99">
        <v>15</v>
      </c>
      <c r="AG99" t="s">
        <v>223</v>
      </c>
      <c r="AH99">
        <v>13.85</v>
      </c>
      <c r="AI99">
        <v>3.2</v>
      </c>
      <c r="AJ99">
        <v>81.25</v>
      </c>
      <c r="AK99">
        <v>3.2</v>
      </c>
      <c r="AL99">
        <v>0</v>
      </c>
      <c r="AM99" t="s">
        <v>223</v>
      </c>
      <c r="AN99">
        <v>25</v>
      </c>
      <c r="AO99" t="s">
        <v>223</v>
      </c>
      <c r="AP99">
        <v>6.67</v>
      </c>
      <c r="AQ99">
        <v>100</v>
      </c>
      <c r="AR99">
        <v>1.0669999999999999</v>
      </c>
    </row>
    <row r="100" spans="1:44" x14ac:dyDescent="0.35">
      <c r="A100">
        <v>26</v>
      </c>
      <c r="B100" t="s">
        <v>63</v>
      </c>
      <c r="C100">
        <v>10</v>
      </c>
      <c r="D100" t="s">
        <v>251</v>
      </c>
      <c r="E100">
        <v>9</v>
      </c>
      <c r="F100">
        <v>1</v>
      </c>
      <c r="G100">
        <v>0</v>
      </c>
      <c r="H100">
        <v>9</v>
      </c>
      <c r="I100">
        <v>18</v>
      </c>
      <c r="J100">
        <v>0.9</v>
      </c>
      <c r="K100">
        <v>77.430000000000007</v>
      </c>
      <c r="L100">
        <v>8.6</v>
      </c>
      <c r="M100">
        <v>90</v>
      </c>
      <c r="N100">
        <v>67.87</v>
      </c>
      <c r="O100">
        <v>7.65</v>
      </c>
      <c r="P100">
        <v>89.87</v>
      </c>
      <c r="Q100">
        <v>53.53</v>
      </c>
      <c r="R100">
        <v>5.74</v>
      </c>
      <c r="S100">
        <v>90.32</v>
      </c>
      <c r="T100">
        <v>7.65</v>
      </c>
      <c r="U100">
        <v>0</v>
      </c>
      <c r="V100">
        <v>100</v>
      </c>
      <c r="W100">
        <v>5.8</v>
      </c>
      <c r="X100">
        <v>0.42</v>
      </c>
      <c r="Y100">
        <v>93.23</v>
      </c>
      <c r="Z100">
        <v>37.28</v>
      </c>
      <c r="AA100">
        <v>3.82</v>
      </c>
      <c r="AB100">
        <v>90.7</v>
      </c>
      <c r="AC100">
        <v>4.78</v>
      </c>
      <c r="AD100">
        <v>0</v>
      </c>
      <c r="AE100" t="s">
        <v>223</v>
      </c>
      <c r="AF100">
        <v>15.15</v>
      </c>
      <c r="AG100" t="s">
        <v>223</v>
      </c>
      <c r="AH100">
        <v>17.21</v>
      </c>
      <c r="AI100">
        <v>0.96</v>
      </c>
      <c r="AJ100">
        <v>94.74</v>
      </c>
      <c r="AK100">
        <v>4.78</v>
      </c>
      <c r="AL100">
        <v>0</v>
      </c>
      <c r="AM100" t="s">
        <v>223</v>
      </c>
      <c r="AN100">
        <v>31.25</v>
      </c>
      <c r="AO100" t="s">
        <v>223</v>
      </c>
      <c r="AP100">
        <v>14.29</v>
      </c>
      <c r="AQ100">
        <v>100</v>
      </c>
      <c r="AR100">
        <v>1.143</v>
      </c>
    </row>
    <row r="101" spans="1:44" x14ac:dyDescent="0.35">
      <c r="A101">
        <v>27</v>
      </c>
      <c r="B101" t="s">
        <v>64</v>
      </c>
      <c r="C101">
        <v>10</v>
      </c>
      <c r="D101" t="s">
        <v>250</v>
      </c>
      <c r="E101">
        <v>7</v>
      </c>
      <c r="F101">
        <v>2</v>
      </c>
      <c r="G101">
        <v>1</v>
      </c>
      <c r="H101">
        <v>7</v>
      </c>
      <c r="I101">
        <v>15</v>
      </c>
      <c r="J101">
        <v>0.75</v>
      </c>
      <c r="K101">
        <v>83.08</v>
      </c>
      <c r="L101">
        <v>13.85</v>
      </c>
      <c r="M101">
        <v>85.71</v>
      </c>
      <c r="N101">
        <v>62.84</v>
      </c>
      <c r="O101">
        <v>13.85</v>
      </c>
      <c r="P101">
        <v>81.94</v>
      </c>
      <c r="Q101">
        <v>43.67</v>
      </c>
      <c r="R101">
        <v>9.59</v>
      </c>
      <c r="S101">
        <v>82</v>
      </c>
      <c r="T101">
        <v>7.46</v>
      </c>
      <c r="U101">
        <v>2.13</v>
      </c>
      <c r="V101">
        <v>77.78</v>
      </c>
      <c r="W101">
        <v>6.08</v>
      </c>
      <c r="X101">
        <v>1.97</v>
      </c>
      <c r="Y101">
        <v>75.56</v>
      </c>
      <c r="Z101">
        <v>54.32</v>
      </c>
      <c r="AA101">
        <v>9.59</v>
      </c>
      <c r="AB101">
        <v>85</v>
      </c>
      <c r="AC101">
        <v>6.39</v>
      </c>
      <c r="AD101">
        <v>2.13</v>
      </c>
      <c r="AE101" t="s">
        <v>220</v>
      </c>
      <c r="AF101">
        <v>22.22</v>
      </c>
      <c r="AG101" t="s">
        <v>217</v>
      </c>
      <c r="AH101">
        <v>17.04</v>
      </c>
      <c r="AI101">
        <v>3.2</v>
      </c>
      <c r="AJ101">
        <v>84.21</v>
      </c>
      <c r="AK101">
        <v>3.2</v>
      </c>
      <c r="AL101">
        <v>2.13</v>
      </c>
      <c r="AM101" t="s">
        <v>229</v>
      </c>
      <c r="AN101">
        <v>25</v>
      </c>
      <c r="AO101" t="s">
        <v>230</v>
      </c>
      <c r="AP101">
        <v>17.07</v>
      </c>
      <c r="AQ101">
        <v>77.78</v>
      </c>
      <c r="AR101">
        <v>0.94899999999999995</v>
      </c>
    </row>
    <row r="102" spans="1:44" x14ac:dyDescent="0.35">
      <c r="A102">
        <v>28</v>
      </c>
      <c r="B102" t="s">
        <v>65</v>
      </c>
      <c r="C102">
        <v>10</v>
      </c>
      <c r="D102" t="s">
        <v>252</v>
      </c>
      <c r="E102">
        <v>4</v>
      </c>
      <c r="F102">
        <v>4</v>
      </c>
      <c r="G102">
        <v>2</v>
      </c>
      <c r="H102">
        <v>4</v>
      </c>
      <c r="I102">
        <v>10</v>
      </c>
      <c r="J102">
        <v>0.5</v>
      </c>
      <c r="K102">
        <v>113.57</v>
      </c>
      <c r="L102">
        <v>7.72</v>
      </c>
      <c r="M102">
        <v>93.64</v>
      </c>
      <c r="N102">
        <v>77.180000000000007</v>
      </c>
      <c r="O102">
        <v>6.62</v>
      </c>
      <c r="P102">
        <v>92.11</v>
      </c>
      <c r="Q102">
        <v>49.62</v>
      </c>
      <c r="R102">
        <v>6.62</v>
      </c>
      <c r="S102">
        <v>88.24</v>
      </c>
      <c r="T102">
        <v>7.72</v>
      </c>
      <c r="U102">
        <v>0</v>
      </c>
      <c r="V102">
        <v>100</v>
      </c>
      <c r="W102">
        <v>7.05</v>
      </c>
      <c r="X102">
        <v>0.4</v>
      </c>
      <c r="Y102">
        <v>94.62</v>
      </c>
      <c r="Z102">
        <v>68.36</v>
      </c>
      <c r="AA102">
        <v>3.31</v>
      </c>
      <c r="AB102">
        <v>95.38</v>
      </c>
      <c r="AC102">
        <v>6.62</v>
      </c>
      <c r="AD102">
        <v>0</v>
      </c>
      <c r="AE102" t="s">
        <v>223</v>
      </c>
      <c r="AF102">
        <v>20.69</v>
      </c>
      <c r="AG102" t="s">
        <v>223</v>
      </c>
      <c r="AH102">
        <v>23.15</v>
      </c>
      <c r="AI102">
        <v>1.1000000000000001</v>
      </c>
      <c r="AJ102">
        <v>95.45</v>
      </c>
      <c r="AK102">
        <v>5.51</v>
      </c>
      <c r="AL102">
        <v>0</v>
      </c>
      <c r="AM102" t="s">
        <v>223</v>
      </c>
      <c r="AN102">
        <v>33.33</v>
      </c>
      <c r="AO102" t="s">
        <v>223</v>
      </c>
      <c r="AP102">
        <v>15.56</v>
      </c>
      <c r="AQ102">
        <v>100</v>
      </c>
      <c r="AR102">
        <v>1.1559999999999999</v>
      </c>
    </row>
    <row r="103" spans="1:44" x14ac:dyDescent="0.35">
      <c r="A103">
        <v>29</v>
      </c>
      <c r="B103" t="s">
        <v>68</v>
      </c>
      <c r="C103">
        <v>10</v>
      </c>
      <c r="D103" t="s">
        <v>253</v>
      </c>
      <c r="E103">
        <v>7</v>
      </c>
      <c r="F103">
        <v>2</v>
      </c>
      <c r="G103">
        <v>1</v>
      </c>
      <c r="H103">
        <v>7</v>
      </c>
      <c r="I103">
        <v>15</v>
      </c>
      <c r="J103">
        <v>0.75</v>
      </c>
      <c r="K103">
        <v>113.37</v>
      </c>
      <c r="L103">
        <v>10.41</v>
      </c>
      <c r="M103">
        <v>91.59</v>
      </c>
      <c r="N103">
        <v>93.7</v>
      </c>
      <c r="O103">
        <v>8.1</v>
      </c>
      <c r="P103">
        <v>92.05</v>
      </c>
      <c r="Q103">
        <v>74.040000000000006</v>
      </c>
      <c r="R103">
        <v>6.94</v>
      </c>
      <c r="S103">
        <v>91.43</v>
      </c>
      <c r="T103">
        <v>8.1</v>
      </c>
      <c r="U103">
        <v>0</v>
      </c>
      <c r="V103">
        <v>100</v>
      </c>
      <c r="W103">
        <v>7.66</v>
      </c>
      <c r="X103">
        <v>0.55000000000000004</v>
      </c>
      <c r="Y103">
        <v>93.32</v>
      </c>
      <c r="Z103">
        <v>49.74</v>
      </c>
      <c r="AA103">
        <v>4.63</v>
      </c>
      <c r="AB103">
        <v>91.49</v>
      </c>
      <c r="AC103">
        <v>3.47</v>
      </c>
      <c r="AD103">
        <v>0</v>
      </c>
      <c r="AE103" t="s">
        <v>223</v>
      </c>
      <c r="AF103">
        <v>10.34</v>
      </c>
      <c r="AG103" t="s">
        <v>223</v>
      </c>
      <c r="AH103">
        <v>21.98</v>
      </c>
      <c r="AI103">
        <v>2.31</v>
      </c>
      <c r="AJ103">
        <v>90.48</v>
      </c>
      <c r="AK103">
        <v>3.47</v>
      </c>
      <c r="AL103">
        <v>0</v>
      </c>
      <c r="AM103" t="s">
        <v>223</v>
      </c>
      <c r="AN103">
        <v>20</v>
      </c>
      <c r="AO103" t="s">
        <v>223</v>
      </c>
      <c r="AP103">
        <v>10.94</v>
      </c>
      <c r="AQ103">
        <v>100</v>
      </c>
      <c r="AR103">
        <v>1.109</v>
      </c>
    </row>
    <row r="104" spans="1:44" x14ac:dyDescent="0.35">
      <c r="A104">
        <v>30</v>
      </c>
      <c r="B104" t="s">
        <v>66</v>
      </c>
      <c r="C104">
        <v>10</v>
      </c>
      <c r="D104" t="s">
        <v>254</v>
      </c>
      <c r="E104">
        <v>6</v>
      </c>
      <c r="F104">
        <v>3</v>
      </c>
      <c r="G104">
        <v>1</v>
      </c>
      <c r="H104">
        <v>6</v>
      </c>
      <c r="I104">
        <v>13</v>
      </c>
      <c r="J104">
        <v>0.65</v>
      </c>
      <c r="K104">
        <v>78.930000000000007</v>
      </c>
      <c r="L104">
        <v>16.05</v>
      </c>
      <c r="M104">
        <v>83.1</v>
      </c>
      <c r="N104">
        <v>61.54</v>
      </c>
      <c r="O104">
        <v>12.04</v>
      </c>
      <c r="P104">
        <v>83.64</v>
      </c>
      <c r="Q104">
        <v>37.46</v>
      </c>
      <c r="R104">
        <v>10.7</v>
      </c>
      <c r="S104">
        <v>77.78</v>
      </c>
      <c r="T104">
        <v>8.0299999999999994</v>
      </c>
      <c r="U104">
        <v>0</v>
      </c>
      <c r="V104">
        <v>100</v>
      </c>
      <c r="W104">
        <v>5.51</v>
      </c>
      <c r="X104">
        <v>0.53</v>
      </c>
      <c r="Y104">
        <v>91.18</v>
      </c>
      <c r="Z104">
        <v>45.48</v>
      </c>
      <c r="AA104">
        <v>8.0299999999999994</v>
      </c>
      <c r="AB104">
        <v>85</v>
      </c>
      <c r="AC104">
        <v>5.35</v>
      </c>
      <c r="AD104">
        <v>0</v>
      </c>
      <c r="AE104" t="s">
        <v>223</v>
      </c>
      <c r="AF104">
        <v>26.67</v>
      </c>
      <c r="AG104" t="s">
        <v>223</v>
      </c>
      <c r="AH104">
        <v>17.39</v>
      </c>
      <c r="AI104">
        <v>1.34</v>
      </c>
      <c r="AJ104">
        <v>92.86</v>
      </c>
      <c r="AK104">
        <v>2.68</v>
      </c>
      <c r="AL104">
        <v>0</v>
      </c>
      <c r="AM104" t="s">
        <v>223</v>
      </c>
      <c r="AN104">
        <v>28.57</v>
      </c>
      <c r="AO104" t="s">
        <v>85</v>
      </c>
      <c r="AP104">
        <v>21.43</v>
      </c>
      <c r="AQ104">
        <v>100</v>
      </c>
      <c r="AR104">
        <v>1.214</v>
      </c>
    </row>
    <row r="105" spans="1:44" x14ac:dyDescent="0.35">
      <c r="A105">
        <v>31</v>
      </c>
      <c r="B105" t="s">
        <v>67</v>
      </c>
      <c r="C105">
        <v>10</v>
      </c>
      <c r="D105" t="s">
        <v>235</v>
      </c>
      <c r="E105">
        <v>6</v>
      </c>
      <c r="F105">
        <v>3</v>
      </c>
      <c r="G105">
        <v>1</v>
      </c>
      <c r="H105">
        <v>6</v>
      </c>
      <c r="I105">
        <v>13</v>
      </c>
      <c r="J105">
        <v>0.65</v>
      </c>
      <c r="K105">
        <v>90.52</v>
      </c>
      <c r="L105">
        <v>13.93</v>
      </c>
      <c r="M105">
        <v>86.67</v>
      </c>
      <c r="N105">
        <v>73.81</v>
      </c>
      <c r="O105">
        <v>12.53</v>
      </c>
      <c r="P105">
        <v>85.48</v>
      </c>
      <c r="Q105">
        <v>50.14</v>
      </c>
      <c r="R105">
        <v>11.14</v>
      </c>
      <c r="S105">
        <v>81.819999999999993</v>
      </c>
      <c r="T105">
        <v>15.32</v>
      </c>
      <c r="U105">
        <v>2.79</v>
      </c>
      <c r="V105">
        <v>84.62</v>
      </c>
      <c r="W105">
        <v>7.32</v>
      </c>
      <c r="X105">
        <v>1.56</v>
      </c>
      <c r="Y105">
        <v>82.46</v>
      </c>
      <c r="Z105">
        <v>41.78</v>
      </c>
      <c r="AA105">
        <v>4.18</v>
      </c>
      <c r="AB105">
        <v>90.91</v>
      </c>
      <c r="AC105">
        <v>13.93</v>
      </c>
      <c r="AD105">
        <v>1.39</v>
      </c>
      <c r="AE105" t="s">
        <v>231</v>
      </c>
      <c r="AF105">
        <v>45.45</v>
      </c>
      <c r="AG105" t="s">
        <v>218</v>
      </c>
      <c r="AH105">
        <v>13.93</v>
      </c>
      <c r="AI105">
        <v>1.39</v>
      </c>
      <c r="AJ105">
        <v>90.91</v>
      </c>
      <c r="AK105">
        <v>8.36</v>
      </c>
      <c r="AL105">
        <v>0</v>
      </c>
      <c r="AM105" t="s">
        <v>223</v>
      </c>
      <c r="AN105">
        <v>60</v>
      </c>
      <c r="AO105" t="s">
        <v>223</v>
      </c>
      <c r="AP105">
        <v>30.56</v>
      </c>
      <c r="AQ105">
        <v>75</v>
      </c>
      <c r="AR105">
        <v>1.056</v>
      </c>
    </row>
    <row r="106" spans="1:44" x14ac:dyDescent="0.35">
      <c r="D106" s="60"/>
    </row>
    <row r="107" spans="1:44" x14ac:dyDescent="0.35">
      <c r="A107" s="80" t="s">
        <v>256</v>
      </c>
      <c r="B107" s="80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</row>
    <row r="108" spans="1:44" x14ac:dyDescent="0.35">
      <c r="A108" s="80"/>
      <c r="B108" s="80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</row>
    <row r="109" spans="1:44" x14ac:dyDescent="0.35">
      <c r="A109" t="s">
        <v>79</v>
      </c>
      <c r="B109" t="s">
        <v>0</v>
      </c>
      <c r="C109" t="s">
        <v>1</v>
      </c>
      <c r="D109" t="s">
        <v>90</v>
      </c>
      <c r="E109" t="s">
        <v>2</v>
      </c>
      <c r="F109" t="s">
        <v>3</v>
      </c>
      <c r="G109" t="s">
        <v>4</v>
      </c>
      <c r="H109" t="s">
        <v>5</v>
      </c>
      <c r="I109" t="s">
        <v>6</v>
      </c>
      <c r="J109" t="s">
        <v>7</v>
      </c>
      <c r="K109" t="s">
        <v>91</v>
      </c>
      <c r="L109" t="s">
        <v>92</v>
      </c>
      <c r="M109" t="s">
        <v>8</v>
      </c>
      <c r="N109" t="s">
        <v>93</v>
      </c>
      <c r="O109" t="s">
        <v>94</v>
      </c>
      <c r="P109" t="s">
        <v>9</v>
      </c>
      <c r="Q109" t="s">
        <v>95</v>
      </c>
      <c r="R109" t="s">
        <v>71</v>
      </c>
      <c r="S109" t="s">
        <v>10</v>
      </c>
      <c r="T109" t="s">
        <v>96</v>
      </c>
      <c r="U109" t="s">
        <v>97</v>
      </c>
      <c r="V109" t="s">
        <v>11</v>
      </c>
      <c r="W109" t="s">
        <v>98</v>
      </c>
      <c r="X109" t="s">
        <v>99</v>
      </c>
      <c r="Y109" t="s">
        <v>14</v>
      </c>
      <c r="Z109" t="s">
        <v>100</v>
      </c>
      <c r="AA109" t="s">
        <v>101</v>
      </c>
      <c r="AB109" t="s">
        <v>15</v>
      </c>
      <c r="AC109" t="s">
        <v>104</v>
      </c>
      <c r="AD109" t="s">
        <v>105</v>
      </c>
      <c r="AE109" t="s">
        <v>17</v>
      </c>
      <c r="AF109" t="s">
        <v>18</v>
      </c>
      <c r="AG109" t="s">
        <v>19</v>
      </c>
      <c r="AH109" t="s">
        <v>106</v>
      </c>
      <c r="AI109" t="s">
        <v>107</v>
      </c>
      <c r="AJ109" t="s">
        <v>20</v>
      </c>
      <c r="AK109" t="s">
        <v>109</v>
      </c>
      <c r="AL109" t="s">
        <v>73</v>
      </c>
      <c r="AM109" t="s">
        <v>22</v>
      </c>
      <c r="AN109" t="s">
        <v>23</v>
      </c>
      <c r="AO109" t="s">
        <v>24</v>
      </c>
      <c r="AP109" t="s">
        <v>35</v>
      </c>
      <c r="AQ109" t="s">
        <v>36</v>
      </c>
      <c r="AR109" t="s">
        <v>37</v>
      </c>
    </row>
    <row r="110" spans="1:44" x14ac:dyDescent="0.35">
      <c r="A110">
        <v>1</v>
      </c>
      <c r="B110" t="s">
        <v>38</v>
      </c>
      <c r="C110">
        <v>10</v>
      </c>
      <c r="D110" t="s">
        <v>248</v>
      </c>
      <c r="E110">
        <v>4</v>
      </c>
      <c r="F110">
        <v>4</v>
      </c>
      <c r="G110">
        <v>2</v>
      </c>
      <c r="H110">
        <v>4</v>
      </c>
      <c r="I110">
        <v>10</v>
      </c>
      <c r="J110">
        <v>0.5</v>
      </c>
      <c r="K110">
        <v>105.88</v>
      </c>
      <c r="L110">
        <v>14.6</v>
      </c>
      <c r="M110">
        <v>87.88</v>
      </c>
      <c r="N110">
        <v>82.15</v>
      </c>
      <c r="O110">
        <v>12.78</v>
      </c>
      <c r="P110">
        <v>86.54</v>
      </c>
      <c r="Q110">
        <v>58.42</v>
      </c>
      <c r="R110">
        <v>7.3</v>
      </c>
      <c r="S110">
        <v>88.89</v>
      </c>
      <c r="T110">
        <v>10.95</v>
      </c>
      <c r="U110">
        <v>0</v>
      </c>
      <c r="V110">
        <v>100</v>
      </c>
      <c r="W110">
        <v>8.7200000000000006</v>
      </c>
      <c r="X110">
        <v>0.71</v>
      </c>
      <c r="Y110">
        <v>92.5</v>
      </c>
      <c r="Z110">
        <v>58.42</v>
      </c>
      <c r="AA110">
        <v>7.3</v>
      </c>
      <c r="AB110">
        <v>88.89</v>
      </c>
      <c r="AC110">
        <v>9.1300000000000008</v>
      </c>
      <c r="AD110">
        <v>0</v>
      </c>
      <c r="AE110">
        <v>100</v>
      </c>
      <c r="AF110">
        <v>27.78</v>
      </c>
      <c r="AG110">
        <v>100</v>
      </c>
      <c r="AH110">
        <v>31.03</v>
      </c>
      <c r="AI110">
        <v>3.65</v>
      </c>
      <c r="AJ110">
        <v>89.47</v>
      </c>
      <c r="AK110">
        <v>9.1300000000000008</v>
      </c>
      <c r="AL110">
        <v>0</v>
      </c>
      <c r="AM110" t="s">
        <v>223</v>
      </c>
      <c r="AN110">
        <v>41.67</v>
      </c>
      <c r="AO110" t="s">
        <v>223</v>
      </c>
      <c r="AP110">
        <v>18.75</v>
      </c>
      <c r="AQ110">
        <v>100</v>
      </c>
      <c r="AR110">
        <v>1.1879999999999999</v>
      </c>
    </row>
    <row r="111" spans="1:44" x14ac:dyDescent="0.35">
      <c r="A111">
        <v>2</v>
      </c>
      <c r="B111" t="s">
        <v>39</v>
      </c>
      <c r="C111">
        <v>7</v>
      </c>
      <c r="D111" t="s">
        <v>257</v>
      </c>
      <c r="E111">
        <v>4</v>
      </c>
      <c r="F111">
        <v>3</v>
      </c>
      <c r="G111">
        <v>0</v>
      </c>
      <c r="H111">
        <v>3</v>
      </c>
      <c r="I111">
        <v>8</v>
      </c>
      <c r="J111">
        <v>0.57099999999999995</v>
      </c>
      <c r="K111">
        <v>87.73</v>
      </c>
      <c r="L111">
        <v>15.39</v>
      </c>
      <c r="M111">
        <v>85.07</v>
      </c>
      <c r="N111">
        <v>61.56</v>
      </c>
      <c r="O111">
        <v>15.39</v>
      </c>
      <c r="P111">
        <v>80</v>
      </c>
      <c r="Q111">
        <v>50.79</v>
      </c>
      <c r="R111">
        <v>10.77</v>
      </c>
      <c r="S111">
        <v>82.5</v>
      </c>
      <c r="T111">
        <v>12.31</v>
      </c>
      <c r="U111">
        <v>1.54</v>
      </c>
      <c r="V111">
        <v>88.89</v>
      </c>
      <c r="W111">
        <v>7.07</v>
      </c>
      <c r="X111">
        <v>0.84</v>
      </c>
      <c r="Y111">
        <v>89.39</v>
      </c>
      <c r="Z111">
        <v>44.63</v>
      </c>
      <c r="AA111">
        <v>4.62</v>
      </c>
      <c r="AB111">
        <v>90.63</v>
      </c>
      <c r="AC111">
        <v>10.77</v>
      </c>
      <c r="AD111">
        <v>0</v>
      </c>
      <c r="AE111">
        <v>100</v>
      </c>
      <c r="AF111">
        <v>33.33</v>
      </c>
      <c r="AG111">
        <v>100</v>
      </c>
      <c r="AH111">
        <v>20.010000000000002</v>
      </c>
      <c r="AI111">
        <v>4.62</v>
      </c>
      <c r="AJ111">
        <v>81.25</v>
      </c>
      <c r="AK111">
        <v>7.7</v>
      </c>
      <c r="AL111">
        <v>0</v>
      </c>
      <c r="AM111" t="s">
        <v>223</v>
      </c>
      <c r="AN111">
        <v>55.56</v>
      </c>
      <c r="AO111" t="s">
        <v>223</v>
      </c>
      <c r="AP111">
        <v>24.24</v>
      </c>
      <c r="AQ111">
        <v>85.71</v>
      </c>
      <c r="AR111">
        <v>1.1000000000000001</v>
      </c>
    </row>
    <row r="112" spans="1:44" x14ac:dyDescent="0.35">
      <c r="A112">
        <v>3</v>
      </c>
      <c r="B112" t="s">
        <v>40</v>
      </c>
      <c r="C112">
        <v>10</v>
      </c>
      <c r="D112" t="s">
        <v>258</v>
      </c>
      <c r="E112">
        <v>6</v>
      </c>
      <c r="F112">
        <v>3</v>
      </c>
      <c r="G112">
        <v>1</v>
      </c>
      <c r="H112">
        <v>6</v>
      </c>
      <c r="I112">
        <v>13</v>
      </c>
      <c r="J112">
        <v>0.65</v>
      </c>
      <c r="K112">
        <v>106.79</v>
      </c>
      <c r="L112">
        <v>21.36</v>
      </c>
      <c r="M112">
        <v>83.33</v>
      </c>
      <c r="N112">
        <v>77.13</v>
      </c>
      <c r="O112">
        <v>20.170000000000002</v>
      </c>
      <c r="P112">
        <v>79.27</v>
      </c>
      <c r="Q112">
        <v>36.78</v>
      </c>
      <c r="R112">
        <v>17.8</v>
      </c>
      <c r="S112">
        <v>67.39</v>
      </c>
      <c r="T112">
        <v>4.75</v>
      </c>
      <c r="U112">
        <v>2.37</v>
      </c>
      <c r="V112">
        <v>66.67</v>
      </c>
      <c r="W112">
        <v>7.61</v>
      </c>
      <c r="X112">
        <v>1.56</v>
      </c>
      <c r="Y112">
        <v>82.99</v>
      </c>
      <c r="Z112">
        <v>61.7</v>
      </c>
      <c r="AA112">
        <v>10.68</v>
      </c>
      <c r="AB112">
        <v>85.25</v>
      </c>
      <c r="AC112">
        <v>4.75</v>
      </c>
      <c r="AD112">
        <v>2.37</v>
      </c>
      <c r="AE112">
        <v>66.67</v>
      </c>
      <c r="AF112">
        <v>19.05</v>
      </c>
      <c r="AG112">
        <v>75</v>
      </c>
      <c r="AH112">
        <v>34.409999999999997</v>
      </c>
      <c r="AI112">
        <v>10.68</v>
      </c>
      <c r="AJ112">
        <v>76.319999999999993</v>
      </c>
      <c r="AK112">
        <v>4.75</v>
      </c>
      <c r="AL112">
        <v>2.37</v>
      </c>
      <c r="AM112" t="s">
        <v>217</v>
      </c>
      <c r="AN112">
        <v>36.36</v>
      </c>
      <c r="AO112" t="s">
        <v>220</v>
      </c>
      <c r="AP112">
        <v>12.9</v>
      </c>
      <c r="AQ112">
        <v>86.67</v>
      </c>
      <c r="AR112">
        <v>0.996</v>
      </c>
    </row>
    <row r="113" spans="1:44" x14ac:dyDescent="0.35">
      <c r="A113">
        <v>4</v>
      </c>
      <c r="B113" t="s">
        <v>41</v>
      </c>
      <c r="C113">
        <v>10</v>
      </c>
      <c r="D113" t="s">
        <v>319</v>
      </c>
      <c r="E113">
        <v>3</v>
      </c>
      <c r="F113">
        <v>6</v>
      </c>
      <c r="G113">
        <v>1</v>
      </c>
      <c r="H113">
        <v>2</v>
      </c>
      <c r="I113">
        <v>7</v>
      </c>
      <c r="J113">
        <v>0.35</v>
      </c>
      <c r="K113">
        <v>106.84</v>
      </c>
      <c r="L113">
        <v>9.5399999999999991</v>
      </c>
      <c r="M113">
        <v>91.8</v>
      </c>
      <c r="N113">
        <v>91.57</v>
      </c>
      <c r="O113">
        <v>9.5399999999999991</v>
      </c>
      <c r="P113">
        <v>90.57</v>
      </c>
      <c r="Q113">
        <v>66.77</v>
      </c>
      <c r="R113">
        <v>5.72</v>
      </c>
      <c r="S113">
        <v>92.11</v>
      </c>
      <c r="T113">
        <v>13.35</v>
      </c>
      <c r="U113">
        <v>1.91</v>
      </c>
      <c r="V113">
        <v>87.5</v>
      </c>
      <c r="W113">
        <v>8.17</v>
      </c>
      <c r="X113">
        <v>0.61</v>
      </c>
      <c r="Y113">
        <v>93.08</v>
      </c>
      <c r="Z113">
        <v>51.51</v>
      </c>
      <c r="AA113">
        <v>5.72</v>
      </c>
      <c r="AB113">
        <v>90</v>
      </c>
      <c r="AC113">
        <v>7.63</v>
      </c>
      <c r="AD113">
        <v>1.91</v>
      </c>
      <c r="AE113">
        <v>80</v>
      </c>
      <c r="AF113">
        <v>23.53</v>
      </c>
      <c r="AG113">
        <v>50</v>
      </c>
      <c r="AH113">
        <v>22.89</v>
      </c>
      <c r="AI113">
        <v>3.82</v>
      </c>
      <c r="AJ113">
        <v>85.71</v>
      </c>
      <c r="AK113">
        <v>1.91</v>
      </c>
      <c r="AL113">
        <v>1.91</v>
      </c>
      <c r="AM113" t="s">
        <v>218</v>
      </c>
      <c r="AN113">
        <v>9.09</v>
      </c>
      <c r="AO113" t="s">
        <v>219</v>
      </c>
      <c r="AP113">
        <v>20</v>
      </c>
      <c r="AQ113">
        <v>66.67</v>
      </c>
      <c r="AR113">
        <v>0.86699999999999999</v>
      </c>
    </row>
    <row r="114" spans="1:44" x14ac:dyDescent="0.35">
      <c r="A114">
        <v>5</v>
      </c>
      <c r="B114" t="s">
        <v>42</v>
      </c>
      <c r="C114">
        <v>10</v>
      </c>
      <c r="D114" t="s">
        <v>259</v>
      </c>
      <c r="E114">
        <v>6</v>
      </c>
      <c r="F114">
        <v>4</v>
      </c>
      <c r="G114">
        <v>0</v>
      </c>
      <c r="H114">
        <v>4</v>
      </c>
      <c r="I114">
        <v>12</v>
      </c>
      <c r="J114">
        <v>0.6</v>
      </c>
      <c r="K114">
        <v>100.7</v>
      </c>
      <c r="L114">
        <v>22.52</v>
      </c>
      <c r="M114">
        <v>81.72</v>
      </c>
      <c r="N114">
        <v>71.55</v>
      </c>
      <c r="O114">
        <v>17.22</v>
      </c>
      <c r="P114">
        <v>80.599999999999994</v>
      </c>
      <c r="Q114">
        <v>51.67</v>
      </c>
      <c r="R114">
        <v>11.92</v>
      </c>
      <c r="S114">
        <v>81.25</v>
      </c>
      <c r="T114">
        <v>10.6</v>
      </c>
      <c r="U114">
        <v>0</v>
      </c>
      <c r="V114">
        <v>100</v>
      </c>
      <c r="W114">
        <v>6.15</v>
      </c>
      <c r="X114">
        <v>1.37</v>
      </c>
      <c r="Y114">
        <v>81.77</v>
      </c>
      <c r="Z114">
        <v>64.92</v>
      </c>
      <c r="AA114">
        <v>15.9</v>
      </c>
      <c r="AB114">
        <v>80.33</v>
      </c>
      <c r="AC114">
        <v>6.62</v>
      </c>
      <c r="AD114">
        <v>0</v>
      </c>
      <c r="AE114">
        <v>100</v>
      </c>
      <c r="AF114">
        <v>17.86</v>
      </c>
      <c r="AG114">
        <v>100</v>
      </c>
      <c r="AH114">
        <v>25.17</v>
      </c>
      <c r="AI114">
        <v>6.62</v>
      </c>
      <c r="AJ114">
        <v>79.17</v>
      </c>
      <c r="AK114">
        <v>5.3</v>
      </c>
      <c r="AL114">
        <v>0</v>
      </c>
      <c r="AM114" t="s">
        <v>223</v>
      </c>
      <c r="AN114">
        <v>26.67</v>
      </c>
      <c r="AO114" t="s">
        <v>223</v>
      </c>
      <c r="AP114">
        <v>20.51</v>
      </c>
      <c r="AQ114">
        <v>100</v>
      </c>
      <c r="AR114">
        <v>1.2050000000000001</v>
      </c>
    </row>
    <row r="115" spans="1:44" x14ac:dyDescent="0.35">
      <c r="A115">
        <v>6</v>
      </c>
      <c r="B115" t="s">
        <v>43</v>
      </c>
      <c r="C115">
        <v>10</v>
      </c>
      <c r="D115" t="s">
        <v>260</v>
      </c>
      <c r="E115">
        <v>3</v>
      </c>
      <c r="F115">
        <v>5</v>
      </c>
      <c r="G115">
        <v>2</v>
      </c>
      <c r="H115">
        <v>3</v>
      </c>
      <c r="I115">
        <v>8</v>
      </c>
      <c r="J115">
        <v>0.4</v>
      </c>
      <c r="K115">
        <v>65.150000000000006</v>
      </c>
      <c r="L115">
        <v>20.85</v>
      </c>
      <c r="M115">
        <v>75.760000000000005</v>
      </c>
      <c r="N115">
        <v>44.3</v>
      </c>
      <c r="O115">
        <v>20.85</v>
      </c>
      <c r="P115">
        <v>68</v>
      </c>
      <c r="Q115">
        <v>33.880000000000003</v>
      </c>
      <c r="R115">
        <v>18.239999999999998</v>
      </c>
      <c r="S115">
        <v>65</v>
      </c>
      <c r="T115">
        <v>3.91</v>
      </c>
      <c r="U115">
        <v>2.61</v>
      </c>
      <c r="V115">
        <v>60</v>
      </c>
      <c r="W115">
        <v>3.66</v>
      </c>
      <c r="X115">
        <v>1.45</v>
      </c>
      <c r="Y115">
        <v>71.7</v>
      </c>
      <c r="Z115">
        <v>23.45</v>
      </c>
      <c r="AA115">
        <v>11.73</v>
      </c>
      <c r="AB115">
        <v>66.67</v>
      </c>
      <c r="AC115">
        <v>1.3</v>
      </c>
      <c r="AD115">
        <v>2.61</v>
      </c>
      <c r="AE115">
        <v>33.33</v>
      </c>
      <c r="AF115">
        <v>10</v>
      </c>
      <c r="AG115">
        <v>71.430000000000007</v>
      </c>
      <c r="AH115">
        <v>10.42</v>
      </c>
      <c r="AI115">
        <v>9.1199999999999992</v>
      </c>
      <c r="AJ115">
        <v>53.33</v>
      </c>
      <c r="AK115">
        <v>1.3</v>
      </c>
      <c r="AL115">
        <v>1.3</v>
      </c>
      <c r="AM115" t="s">
        <v>218</v>
      </c>
      <c r="AN115">
        <v>25</v>
      </c>
      <c r="AO115" t="s">
        <v>225</v>
      </c>
      <c r="AP115">
        <v>11.54</v>
      </c>
      <c r="AQ115">
        <v>85.71</v>
      </c>
      <c r="AR115">
        <v>0.97299999999999998</v>
      </c>
    </row>
    <row r="116" spans="1:44" x14ac:dyDescent="0.35">
      <c r="A116">
        <v>7</v>
      </c>
      <c r="B116" t="s">
        <v>44</v>
      </c>
      <c r="C116">
        <v>10</v>
      </c>
      <c r="D116" t="s">
        <v>236</v>
      </c>
      <c r="E116">
        <v>4</v>
      </c>
      <c r="F116">
        <v>5</v>
      </c>
      <c r="G116">
        <v>1</v>
      </c>
      <c r="H116">
        <v>4</v>
      </c>
      <c r="I116">
        <v>9</v>
      </c>
      <c r="J116">
        <v>0.45</v>
      </c>
      <c r="K116">
        <v>84.91</v>
      </c>
      <c r="L116">
        <v>27.21</v>
      </c>
      <c r="M116">
        <v>75.73</v>
      </c>
      <c r="N116">
        <v>66.400000000000006</v>
      </c>
      <c r="O116">
        <v>25.04</v>
      </c>
      <c r="P116">
        <v>72.62</v>
      </c>
      <c r="Q116">
        <v>51.16</v>
      </c>
      <c r="R116">
        <v>19.59</v>
      </c>
      <c r="S116">
        <v>72.31</v>
      </c>
      <c r="T116">
        <v>7.62</v>
      </c>
      <c r="U116">
        <v>1.0900000000000001</v>
      </c>
      <c r="V116">
        <v>87.5</v>
      </c>
      <c r="W116">
        <v>6.16</v>
      </c>
      <c r="X116">
        <v>2.08</v>
      </c>
      <c r="Y116">
        <v>74.81</v>
      </c>
      <c r="Z116">
        <v>41.37</v>
      </c>
      <c r="AA116">
        <v>15.24</v>
      </c>
      <c r="AB116">
        <v>73.08</v>
      </c>
      <c r="AC116">
        <v>6.53</v>
      </c>
      <c r="AD116">
        <v>0</v>
      </c>
      <c r="AE116">
        <v>100</v>
      </c>
      <c r="AF116">
        <v>22.22</v>
      </c>
      <c r="AG116">
        <v>100</v>
      </c>
      <c r="AH116">
        <v>16.329999999999998</v>
      </c>
      <c r="AI116">
        <v>4.3499999999999996</v>
      </c>
      <c r="AJ116">
        <v>78.95</v>
      </c>
      <c r="AK116">
        <v>3.27</v>
      </c>
      <c r="AL116">
        <v>0</v>
      </c>
      <c r="AM116" t="s">
        <v>223</v>
      </c>
      <c r="AN116">
        <v>23.08</v>
      </c>
      <c r="AO116" t="s">
        <v>223</v>
      </c>
      <c r="AP116">
        <v>14.89</v>
      </c>
      <c r="AQ116">
        <v>94.44</v>
      </c>
      <c r="AR116">
        <v>1.093</v>
      </c>
    </row>
    <row r="117" spans="1:44" x14ac:dyDescent="0.35">
      <c r="A117">
        <v>8</v>
      </c>
      <c r="B117" t="s">
        <v>45</v>
      </c>
      <c r="C117">
        <v>10</v>
      </c>
      <c r="D117" t="s">
        <v>261</v>
      </c>
      <c r="E117">
        <v>6</v>
      </c>
      <c r="F117">
        <v>1</v>
      </c>
      <c r="G117">
        <v>3</v>
      </c>
      <c r="H117">
        <v>5</v>
      </c>
      <c r="I117">
        <v>15</v>
      </c>
      <c r="J117">
        <v>0.75</v>
      </c>
      <c r="K117">
        <v>79.95</v>
      </c>
      <c r="L117">
        <v>14.11</v>
      </c>
      <c r="M117">
        <v>85</v>
      </c>
      <c r="N117">
        <v>54.08</v>
      </c>
      <c r="O117">
        <v>11.76</v>
      </c>
      <c r="P117">
        <v>82.14</v>
      </c>
      <c r="Q117">
        <v>43.5</v>
      </c>
      <c r="R117">
        <v>10.58</v>
      </c>
      <c r="S117">
        <v>80.430000000000007</v>
      </c>
      <c r="T117">
        <v>10.58</v>
      </c>
      <c r="U117">
        <v>0</v>
      </c>
      <c r="V117">
        <v>100</v>
      </c>
      <c r="W117">
        <v>5.31</v>
      </c>
      <c r="X117">
        <v>0.65</v>
      </c>
      <c r="Y117">
        <v>89.15</v>
      </c>
      <c r="Z117">
        <v>37.619999999999997</v>
      </c>
      <c r="AA117">
        <v>3.53</v>
      </c>
      <c r="AB117">
        <v>91.43</v>
      </c>
      <c r="AC117">
        <v>10.58</v>
      </c>
      <c r="AD117">
        <v>0</v>
      </c>
      <c r="AE117">
        <v>100</v>
      </c>
      <c r="AF117">
        <v>39.130000000000003</v>
      </c>
      <c r="AG117">
        <v>100</v>
      </c>
      <c r="AH117">
        <v>17.64</v>
      </c>
      <c r="AI117">
        <v>1.18</v>
      </c>
      <c r="AJ117">
        <v>93.75</v>
      </c>
      <c r="AK117">
        <v>7.05</v>
      </c>
      <c r="AL117">
        <v>0</v>
      </c>
      <c r="AM117" t="s">
        <v>223</v>
      </c>
      <c r="AN117">
        <v>50</v>
      </c>
      <c r="AO117" t="s">
        <v>223</v>
      </c>
      <c r="AP117">
        <v>24.32</v>
      </c>
      <c r="AQ117">
        <v>100</v>
      </c>
      <c r="AR117">
        <v>1.2430000000000001</v>
      </c>
    </row>
    <row r="118" spans="1:44" x14ac:dyDescent="0.35">
      <c r="A118">
        <v>9</v>
      </c>
      <c r="B118" t="s">
        <v>46</v>
      </c>
      <c r="C118">
        <v>10</v>
      </c>
      <c r="D118" t="s">
        <v>262</v>
      </c>
      <c r="E118">
        <v>6</v>
      </c>
      <c r="F118">
        <v>3</v>
      </c>
      <c r="G118">
        <v>1</v>
      </c>
      <c r="H118">
        <v>6</v>
      </c>
      <c r="I118">
        <v>13</v>
      </c>
      <c r="J118">
        <v>0.65</v>
      </c>
      <c r="K118">
        <v>92.73</v>
      </c>
      <c r="L118">
        <v>13.12</v>
      </c>
      <c r="M118">
        <v>87.6</v>
      </c>
      <c r="N118">
        <v>64.739999999999995</v>
      </c>
      <c r="O118">
        <v>10.5</v>
      </c>
      <c r="P118">
        <v>86.05</v>
      </c>
      <c r="Q118">
        <v>54.24</v>
      </c>
      <c r="R118">
        <v>7.87</v>
      </c>
      <c r="S118">
        <v>87.32</v>
      </c>
      <c r="T118">
        <v>6.12</v>
      </c>
      <c r="U118">
        <v>0</v>
      </c>
      <c r="V118">
        <v>100</v>
      </c>
      <c r="W118">
        <v>6.51</v>
      </c>
      <c r="X118">
        <v>0.49</v>
      </c>
      <c r="Y118">
        <v>93.07</v>
      </c>
      <c r="Z118">
        <v>52.49</v>
      </c>
      <c r="AA118">
        <v>5.25</v>
      </c>
      <c r="AB118">
        <v>90.91</v>
      </c>
      <c r="AC118">
        <v>6.12</v>
      </c>
      <c r="AD118">
        <v>0</v>
      </c>
      <c r="AE118">
        <v>100</v>
      </c>
      <c r="AF118">
        <v>17.5</v>
      </c>
      <c r="AG118">
        <v>100</v>
      </c>
      <c r="AH118">
        <v>24.5</v>
      </c>
      <c r="AI118">
        <v>1.75</v>
      </c>
      <c r="AJ118">
        <v>93.33</v>
      </c>
      <c r="AK118">
        <v>5.25</v>
      </c>
      <c r="AL118">
        <v>0</v>
      </c>
      <c r="AM118" t="s">
        <v>223</v>
      </c>
      <c r="AN118">
        <v>26.09</v>
      </c>
      <c r="AO118" t="s">
        <v>223</v>
      </c>
      <c r="AP118">
        <v>11.29</v>
      </c>
      <c r="AQ118">
        <v>100</v>
      </c>
      <c r="AR118">
        <v>1.113</v>
      </c>
    </row>
    <row r="119" spans="1:44" x14ac:dyDescent="0.35">
      <c r="A119">
        <v>10</v>
      </c>
      <c r="B119" t="s">
        <v>47</v>
      </c>
      <c r="C119">
        <v>8</v>
      </c>
      <c r="D119" t="s">
        <v>263</v>
      </c>
      <c r="E119">
        <v>2</v>
      </c>
      <c r="F119">
        <v>5</v>
      </c>
      <c r="G119">
        <v>1</v>
      </c>
      <c r="H119">
        <v>2</v>
      </c>
      <c r="I119">
        <v>5</v>
      </c>
      <c r="J119">
        <v>0.313</v>
      </c>
      <c r="K119">
        <v>70.98</v>
      </c>
      <c r="L119">
        <v>18.850000000000001</v>
      </c>
      <c r="M119">
        <v>79.010000000000005</v>
      </c>
      <c r="N119">
        <v>55.45</v>
      </c>
      <c r="O119">
        <v>16.64</v>
      </c>
      <c r="P119">
        <v>76.92</v>
      </c>
      <c r="Q119">
        <v>42.14</v>
      </c>
      <c r="R119">
        <v>11.09</v>
      </c>
      <c r="S119">
        <v>79.17</v>
      </c>
      <c r="T119">
        <v>5.55</v>
      </c>
      <c r="U119">
        <v>2.2200000000000002</v>
      </c>
      <c r="V119">
        <v>71.430000000000007</v>
      </c>
      <c r="W119">
        <v>5.17</v>
      </c>
      <c r="X119">
        <v>0.77</v>
      </c>
      <c r="Y119">
        <v>87.11</v>
      </c>
      <c r="Z119">
        <v>29.94</v>
      </c>
      <c r="AA119">
        <v>7.76</v>
      </c>
      <c r="AB119">
        <v>79.41</v>
      </c>
      <c r="AC119">
        <v>5.55</v>
      </c>
      <c r="AD119">
        <v>1.1100000000000001</v>
      </c>
      <c r="AE119">
        <v>83.33</v>
      </c>
      <c r="AF119">
        <v>25</v>
      </c>
      <c r="AG119">
        <v>66.67</v>
      </c>
      <c r="AH119">
        <v>17.739999999999998</v>
      </c>
      <c r="AI119">
        <v>3.33</v>
      </c>
      <c r="AJ119">
        <v>84.21</v>
      </c>
      <c r="AK119">
        <v>5.55</v>
      </c>
      <c r="AL119">
        <v>1.1100000000000001</v>
      </c>
      <c r="AM119" t="s">
        <v>228</v>
      </c>
      <c r="AN119">
        <v>38.46</v>
      </c>
      <c r="AO119" t="s">
        <v>219</v>
      </c>
      <c r="AP119">
        <v>13.16</v>
      </c>
      <c r="AQ119">
        <v>80</v>
      </c>
      <c r="AR119">
        <v>0.93200000000000005</v>
      </c>
    </row>
    <row r="120" spans="1:44" x14ac:dyDescent="0.35">
      <c r="A120">
        <v>11</v>
      </c>
      <c r="B120" t="s">
        <v>48</v>
      </c>
      <c r="C120">
        <v>10</v>
      </c>
      <c r="D120" t="s">
        <v>254</v>
      </c>
      <c r="E120">
        <v>3</v>
      </c>
      <c r="F120">
        <v>7</v>
      </c>
      <c r="G120">
        <v>0</v>
      </c>
      <c r="H120">
        <v>3</v>
      </c>
      <c r="I120">
        <v>6</v>
      </c>
      <c r="J120">
        <v>0.3</v>
      </c>
      <c r="K120">
        <v>84.25</v>
      </c>
      <c r="L120">
        <v>13.37</v>
      </c>
      <c r="M120">
        <v>86.3</v>
      </c>
      <c r="N120">
        <v>64.19</v>
      </c>
      <c r="O120">
        <v>12.04</v>
      </c>
      <c r="P120">
        <v>84.21</v>
      </c>
      <c r="Q120">
        <v>52.15</v>
      </c>
      <c r="R120">
        <v>12.04</v>
      </c>
      <c r="S120">
        <v>81.25</v>
      </c>
      <c r="T120">
        <v>5.35</v>
      </c>
      <c r="U120">
        <v>1.34</v>
      </c>
      <c r="V120">
        <v>80</v>
      </c>
      <c r="W120">
        <v>5.0999999999999996</v>
      </c>
      <c r="X120">
        <v>0.77</v>
      </c>
      <c r="Y120">
        <v>86.83</v>
      </c>
      <c r="Z120">
        <v>36.11</v>
      </c>
      <c r="AA120">
        <v>8.02</v>
      </c>
      <c r="AB120">
        <v>81.819999999999993</v>
      </c>
      <c r="AC120">
        <v>4.01</v>
      </c>
      <c r="AD120">
        <v>1.34</v>
      </c>
      <c r="AE120">
        <v>75</v>
      </c>
      <c r="AF120">
        <v>15</v>
      </c>
      <c r="AG120">
        <v>83.33</v>
      </c>
      <c r="AH120">
        <v>10.7</v>
      </c>
      <c r="AI120">
        <v>4.01</v>
      </c>
      <c r="AJ120">
        <v>72.73</v>
      </c>
      <c r="AK120">
        <v>0</v>
      </c>
      <c r="AL120">
        <v>0</v>
      </c>
      <c r="AM120" t="s">
        <v>85</v>
      </c>
      <c r="AN120">
        <v>0</v>
      </c>
      <c r="AO120" t="s">
        <v>223</v>
      </c>
      <c r="AP120">
        <v>10.26</v>
      </c>
      <c r="AQ120">
        <v>88.89</v>
      </c>
      <c r="AR120">
        <v>0.99099999999999999</v>
      </c>
    </row>
    <row r="121" spans="1:44" x14ac:dyDescent="0.35">
      <c r="A121">
        <v>12</v>
      </c>
      <c r="B121" t="s">
        <v>49</v>
      </c>
      <c r="C121">
        <v>10</v>
      </c>
      <c r="D121" t="s">
        <v>264</v>
      </c>
      <c r="E121">
        <v>7</v>
      </c>
      <c r="F121">
        <v>3</v>
      </c>
      <c r="G121">
        <v>0</v>
      </c>
      <c r="H121">
        <v>7</v>
      </c>
      <c r="I121">
        <v>14</v>
      </c>
      <c r="J121">
        <v>0.7</v>
      </c>
      <c r="K121">
        <v>95.25</v>
      </c>
      <c r="L121">
        <v>11.48</v>
      </c>
      <c r="M121">
        <v>89.25</v>
      </c>
      <c r="N121">
        <v>72.3</v>
      </c>
      <c r="O121">
        <v>11.48</v>
      </c>
      <c r="P121">
        <v>86.3</v>
      </c>
      <c r="Q121">
        <v>56.23</v>
      </c>
      <c r="R121">
        <v>6.89</v>
      </c>
      <c r="S121">
        <v>89.09</v>
      </c>
      <c r="T121">
        <v>8.0299999999999994</v>
      </c>
      <c r="U121">
        <v>0</v>
      </c>
      <c r="V121">
        <v>100</v>
      </c>
      <c r="W121">
        <v>7.59</v>
      </c>
      <c r="X121">
        <v>0.59</v>
      </c>
      <c r="Y121">
        <v>92.82</v>
      </c>
      <c r="Z121">
        <v>60.82</v>
      </c>
      <c r="AA121">
        <v>2.2999999999999998</v>
      </c>
      <c r="AB121">
        <v>96.36</v>
      </c>
      <c r="AC121">
        <v>6.89</v>
      </c>
      <c r="AD121">
        <v>0</v>
      </c>
      <c r="AE121">
        <v>100</v>
      </c>
      <c r="AF121">
        <v>18.75</v>
      </c>
      <c r="AG121">
        <v>100</v>
      </c>
      <c r="AH121">
        <v>25.25</v>
      </c>
      <c r="AI121">
        <v>2.2999999999999998</v>
      </c>
      <c r="AJ121">
        <v>91.67</v>
      </c>
      <c r="AK121">
        <v>3.44</v>
      </c>
      <c r="AL121">
        <v>0</v>
      </c>
      <c r="AM121" t="s">
        <v>223</v>
      </c>
      <c r="AN121">
        <v>16.670000000000002</v>
      </c>
      <c r="AO121" t="s">
        <v>223</v>
      </c>
      <c r="AP121">
        <v>14.29</v>
      </c>
      <c r="AQ121">
        <v>100</v>
      </c>
      <c r="AR121">
        <v>1.143</v>
      </c>
    </row>
    <row r="122" spans="1:44" x14ac:dyDescent="0.35">
      <c r="A122">
        <v>13</v>
      </c>
      <c r="B122" t="s">
        <v>50</v>
      </c>
      <c r="C122">
        <v>10</v>
      </c>
      <c r="D122" t="s">
        <v>252</v>
      </c>
      <c r="E122">
        <v>7</v>
      </c>
      <c r="F122">
        <v>2</v>
      </c>
      <c r="G122">
        <v>1</v>
      </c>
      <c r="H122">
        <v>7</v>
      </c>
      <c r="I122">
        <v>15</v>
      </c>
      <c r="J122">
        <v>0.75</v>
      </c>
      <c r="K122">
        <v>102.48</v>
      </c>
      <c r="L122">
        <v>13.22</v>
      </c>
      <c r="M122">
        <v>88.57</v>
      </c>
      <c r="N122">
        <v>85.95</v>
      </c>
      <c r="O122">
        <v>12.12</v>
      </c>
      <c r="P122">
        <v>87.64</v>
      </c>
      <c r="Q122">
        <v>68.319999999999993</v>
      </c>
      <c r="R122">
        <v>9.92</v>
      </c>
      <c r="S122">
        <v>87.32</v>
      </c>
      <c r="T122">
        <v>11.02</v>
      </c>
      <c r="U122">
        <v>1.1000000000000001</v>
      </c>
      <c r="V122">
        <v>90.91</v>
      </c>
      <c r="W122">
        <v>7.62</v>
      </c>
      <c r="X122">
        <v>0.91</v>
      </c>
      <c r="Y122">
        <v>89.36</v>
      </c>
      <c r="Z122">
        <v>50.69</v>
      </c>
      <c r="AA122">
        <v>5.51</v>
      </c>
      <c r="AB122">
        <v>90.2</v>
      </c>
      <c r="AC122">
        <v>9.92</v>
      </c>
      <c r="AD122">
        <v>1.1000000000000001</v>
      </c>
      <c r="AE122">
        <v>90</v>
      </c>
      <c r="AF122">
        <v>26.47</v>
      </c>
      <c r="AG122">
        <v>66.67</v>
      </c>
      <c r="AH122">
        <v>24.24</v>
      </c>
      <c r="AI122">
        <v>2.2000000000000002</v>
      </c>
      <c r="AJ122">
        <v>91.67</v>
      </c>
      <c r="AK122">
        <v>7.71</v>
      </c>
      <c r="AL122">
        <v>0</v>
      </c>
      <c r="AM122" t="s">
        <v>223</v>
      </c>
      <c r="AN122">
        <v>41.18</v>
      </c>
      <c r="AO122" t="s">
        <v>223</v>
      </c>
      <c r="AP122">
        <v>16.13</v>
      </c>
      <c r="AQ122">
        <v>88.89</v>
      </c>
      <c r="AR122">
        <v>1.05</v>
      </c>
    </row>
    <row r="123" spans="1:44" x14ac:dyDescent="0.35">
      <c r="A123">
        <v>14</v>
      </c>
      <c r="B123" t="s">
        <v>51</v>
      </c>
      <c r="C123">
        <v>10</v>
      </c>
      <c r="D123" t="s">
        <v>253</v>
      </c>
      <c r="E123">
        <v>5</v>
      </c>
      <c r="F123">
        <v>4</v>
      </c>
      <c r="G123">
        <v>1</v>
      </c>
      <c r="H123">
        <v>4</v>
      </c>
      <c r="I123">
        <v>11</v>
      </c>
      <c r="J123">
        <v>0.55000000000000004</v>
      </c>
      <c r="K123">
        <v>102</v>
      </c>
      <c r="L123">
        <v>11.59</v>
      </c>
      <c r="M123">
        <v>89.8</v>
      </c>
      <c r="N123">
        <v>77.66</v>
      </c>
      <c r="O123">
        <v>11.59</v>
      </c>
      <c r="P123">
        <v>87.01</v>
      </c>
      <c r="Q123">
        <v>61.43</v>
      </c>
      <c r="R123">
        <v>10.43</v>
      </c>
      <c r="S123">
        <v>85.48</v>
      </c>
      <c r="T123">
        <v>8.11</v>
      </c>
      <c r="U123">
        <v>0</v>
      </c>
      <c r="V123">
        <v>100</v>
      </c>
      <c r="W123">
        <v>8.65</v>
      </c>
      <c r="X123">
        <v>0.23</v>
      </c>
      <c r="Y123">
        <v>97.45</v>
      </c>
      <c r="Z123">
        <v>52.16</v>
      </c>
      <c r="AA123">
        <v>2.3199999999999998</v>
      </c>
      <c r="AB123">
        <v>95.74</v>
      </c>
      <c r="AC123">
        <v>6.95</v>
      </c>
      <c r="AD123">
        <v>0</v>
      </c>
      <c r="AE123">
        <v>100</v>
      </c>
      <c r="AF123">
        <v>17.649999999999999</v>
      </c>
      <c r="AG123">
        <v>100</v>
      </c>
      <c r="AH123">
        <v>26.66</v>
      </c>
      <c r="AI123">
        <v>0</v>
      </c>
      <c r="AJ123">
        <v>100</v>
      </c>
      <c r="AK123">
        <v>3.48</v>
      </c>
      <c r="AL123">
        <v>0</v>
      </c>
      <c r="AM123" t="s">
        <v>223</v>
      </c>
      <c r="AN123">
        <v>14.29</v>
      </c>
      <c r="AO123" t="s">
        <v>85</v>
      </c>
      <c r="AP123">
        <v>13.21</v>
      </c>
      <c r="AQ123">
        <v>100</v>
      </c>
      <c r="AR123">
        <v>1.1319999999999999</v>
      </c>
    </row>
    <row r="124" spans="1:44" x14ac:dyDescent="0.35">
      <c r="A124">
        <v>15</v>
      </c>
      <c r="B124" t="s">
        <v>52</v>
      </c>
      <c r="C124">
        <v>10</v>
      </c>
      <c r="D124" t="s">
        <v>265</v>
      </c>
      <c r="E124">
        <v>5</v>
      </c>
      <c r="F124">
        <v>4</v>
      </c>
      <c r="G124">
        <v>1</v>
      </c>
      <c r="H124">
        <v>5</v>
      </c>
      <c r="I124">
        <v>11</v>
      </c>
      <c r="J124">
        <v>0.55000000000000004</v>
      </c>
      <c r="K124">
        <v>91.41</v>
      </c>
      <c r="L124">
        <v>10.83</v>
      </c>
      <c r="M124">
        <v>89.41</v>
      </c>
      <c r="N124">
        <v>73.37</v>
      </c>
      <c r="O124">
        <v>9.6199999999999992</v>
      </c>
      <c r="P124">
        <v>88.41</v>
      </c>
      <c r="Q124">
        <v>43.3</v>
      </c>
      <c r="R124">
        <v>8.42</v>
      </c>
      <c r="S124">
        <v>83.72</v>
      </c>
      <c r="T124">
        <v>3.61</v>
      </c>
      <c r="U124">
        <v>0</v>
      </c>
      <c r="V124">
        <v>100</v>
      </c>
      <c r="W124">
        <v>6.75</v>
      </c>
      <c r="X124">
        <v>0.41</v>
      </c>
      <c r="Y124">
        <v>94.27</v>
      </c>
      <c r="Z124">
        <v>49.32</v>
      </c>
      <c r="AA124">
        <v>3.61</v>
      </c>
      <c r="AB124">
        <v>93.18</v>
      </c>
      <c r="AC124">
        <v>2.41</v>
      </c>
      <c r="AD124">
        <v>0</v>
      </c>
      <c r="AE124">
        <v>100</v>
      </c>
      <c r="AF124">
        <v>11.11</v>
      </c>
      <c r="AG124">
        <v>100</v>
      </c>
      <c r="AH124">
        <v>21.65</v>
      </c>
      <c r="AI124">
        <v>1.2</v>
      </c>
      <c r="AJ124">
        <v>94.74</v>
      </c>
      <c r="AK124">
        <v>2.41</v>
      </c>
      <c r="AL124">
        <v>0</v>
      </c>
      <c r="AM124" t="s">
        <v>223</v>
      </c>
      <c r="AN124">
        <v>18.18</v>
      </c>
      <c r="AO124" t="s">
        <v>223</v>
      </c>
      <c r="AP124">
        <v>8.33</v>
      </c>
      <c r="AQ124">
        <v>100</v>
      </c>
      <c r="AR124">
        <v>1.083</v>
      </c>
    </row>
    <row r="125" spans="1:44" x14ac:dyDescent="0.35">
      <c r="A125">
        <v>16</v>
      </c>
      <c r="B125" t="s">
        <v>53</v>
      </c>
      <c r="C125">
        <v>10</v>
      </c>
      <c r="D125" t="s">
        <v>236</v>
      </c>
      <c r="E125">
        <v>5</v>
      </c>
      <c r="F125">
        <v>1</v>
      </c>
      <c r="G125">
        <v>4</v>
      </c>
      <c r="H125">
        <v>5</v>
      </c>
      <c r="I125">
        <v>14</v>
      </c>
      <c r="J125">
        <v>0.7</v>
      </c>
      <c r="K125">
        <v>69.52</v>
      </c>
      <c r="L125">
        <v>13.04</v>
      </c>
      <c r="M125">
        <v>84.21</v>
      </c>
      <c r="N125">
        <v>58.66</v>
      </c>
      <c r="O125">
        <v>11.95</v>
      </c>
      <c r="P125">
        <v>83.08</v>
      </c>
      <c r="Q125">
        <v>46.71</v>
      </c>
      <c r="R125">
        <v>10.86</v>
      </c>
      <c r="S125">
        <v>81.13</v>
      </c>
      <c r="T125">
        <v>5.43</v>
      </c>
      <c r="U125">
        <v>1.0900000000000001</v>
      </c>
      <c r="V125">
        <v>83.33</v>
      </c>
      <c r="W125">
        <v>4.3600000000000003</v>
      </c>
      <c r="X125">
        <v>0.56000000000000005</v>
      </c>
      <c r="Y125">
        <v>88.6</v>
      </c>
      <c r="Z125">
        <v>28.24</v>
      </c>
      <c r="AA125">
        <v>5.43</v>
      </c>
      <c r="AB125">
        <v>83.87</v>
      </c>
      <c r="AC125">
        <v>2.17</v>
      </c>
      <c r="AD125">
        <v>1.0900000000000001</v>
      </c>
      <c r="AE125">
        <v>66.67</v>
      </c>
      <c r="AF125">
        <v>10.53</v>
      </c>
      <c r="AG125">
        <v>75</v>
      </c>
      <c r="AH125">
        <v>10.86</v>
      </c>
      <c r="AI125">
        <v>3.26</v>
      </c>
      <c r="AJ125">
        <v>76.92</v>
      </c>
      <c r="AK125">
        <v>2.17</v>
      </c>
      <c r="AL125">
        <v>1.0900000000000001</v>
      </c>
      <c r="AM125" t="s">
        <v>217</v>
      </c>
      <c r="AN125">
        <v>25</v>
      </c>
      <c r="AO125" t="s">
        <v>218</v>
      </c>
      <c r="AP125">
        <v>11.63</v>
      </c>
      <c r="AQ125">
        <v>90</v>
      </c>
      <c r="AR125">
        <v>1.016</v>
      </c>
    </row>
    <row r="126" spans="1:44" x14ac:dyDescent="0.35">
      <c r="A126">
        <v>17</v>
      </c>
      <c r="B126" t="s">
        <v>54</v>
      </c>
      <c r="C126">
        <v>9</v>
      </c>
      <c r="D126" t="s">
        <v>278</v>
      </c>
      <c r="E126">
        <v>6</v>
      </c>
      <c r="F126">
        <v>2</v>
      </c>
      <c r="G126">
        <v>1</v>
      </c>
      <c r="H126">
        <v>6</v>
      </c>
      <c r="I126">
        <v>13</v>
      </c>
      <c r="J126">
        <v>0.72199999999999998</v>
      </c>
      <c r="K126">
        <v>77.73</v>
      </c>
      <c r="L126">
        <v>10.91</v>
      </c>
      <c r="M126">
        <v>87.69</v>
      </c>
      <c r="N126">
        <v>55.91</v>
      </c>
      <c r="O126">
        <v>10.91</v>
      </c>
      <c r="P126">
        <v>83.67</v>
      </c>
      <c r="Q126">
        <v>38.18</v>
      </c>
      <c r="R126">
        <v>10.91</v>
      </c>
      <c r="S126">
        <v>77.78</v>
      </c>
      <c r="T126">
        <v>6.82</v>
      </c>
      <c r="U126">
        <v>0</v>
      </c>
      <c r="V126">
        <v>100</v>
      </c>
      <c r="W126">
        <v>3.92</v>
      </c>
      <c r="X126">
        <v>0.75</v>
      </c>
      <c r="Y126">
        <v>84.02</v>
      </c>
      <c r="Z126">
        <v>27.27</v>
      </c>
      <c r="AA126">
        <v>8.18</v>
      </c>
      <c r="AB126">
        <v>76.92</v>
      </c>
      <c r="AC126">
        <v>5.45</v>
      </c>
      <c r="AD126">
        <v>0</v>
      </c>
      <c r="AE126">
        <v>100</v>
      </c>
      <c r="AF126">
        <v>40</v>
      </c>
      <c r="AG126">
        <v>100</v>
      </c>
      <c r="AH126">
        <v>5.45</v>
      </c>
      <c r="AI126">
        <v>4.09</v>
      </c>
      <c r="AJ126">
        <v>57.14</v>
      </c>
      <c r="AK126">
        <v>1.36</v>
      </c>
      <c r="AL126">
        <v>0</v>
      </c>
      <c r="AM126" t="s">
        <v>223</v>
      </c>
      <c r="AN126">
        <v>33.33</v>
      </c>
      <c r="AO126" t="s">
        <v>223</v>
      </c>
      <c r="AP126">
        <v>17.86</v>
      </c>
      <c r="AQ126">
        <v>100</v>
      </c>
      <c r="AR126">
        <v>1.179</v>
      </c>
    </row>
    <row r="127" spans="1:44" x14ac:dyDescent="0.35">
      <c r="A127">
        <v>18</v>
      </c>
      <c r="B127" t="s">
        <v>55</v>
      </c>
      <c r="C127">
        <v>10</v>
      </c>
      <c r="D127" t="s">
        <v>320</v>
      </c>
      <c r="E127">
        <v>4</v>
      </c>
      <c r="F127">
        <v>6</v>
      </c>
      <c r="G127">
        <v>0</v>
      </c>
      <c r="H127">
        <v>3</v>
      </c>
      <c r="I127">
        <v>8</v>
      </c>
      <c r="J127">
        <v>0.4</v>
      </c>
      <c r="K127">
        <v>109.02</v>
      </c>
      <c r="L127">
        <v>15.74</v>
      </c>
      <c r="M127">
        <v>87.39</v>
      </c>
      <c r="N127">
        <v>84.3</v>
      </c>
      <c r="O127">
        <v>14.61</v>
      </c>
      <c r="P127">
        <v>85.23</v>
      </c>
      <c r="Q127">
        <v>60.69</v>
      </c>
      <c r="R127">
        <v>10.119999999999999</v>
      </c>
      <c r="S127">
        <v>85.71</v>
      </c>
      <c r="T127">
        <v>12.36</v>
      </c>
      <c r="U127">
        <v>1.1200000000000001</v>
      </c>
      <c r="V127">
        <v>91.67</v>
      </c>
      <c r="W127">
        <v>7.44</v>
      </c>
      <c r="X127">
        <v>0.97</v>
      </c>
      <c r="Y127">
        <v>88.47</v>
      </c>
      <c r="Z127">
        <v>44.96</v>
      </c>
      <c r="AA127">
        <v>7.87</v>
      </c>
      <c r="AB127">
        <v>85.11</v>
      </c>
      <c r="AC127">
        <v>8.99</v>
      </c>
      <c r="AD127">
        <v>1.1200000000000001</v>
      </c>
      <c r="AE127">
        <v>88.89</v>
      </c>
      <c r="AF127">
        <v>32</v>
      </c>
      <c r="AG127">
        <v>75</v>
      </c>
      <c r="AH127">
        <v>20.23</v>
      </c>
      <c r="AI127">
        <v>3.37</v>
      </c>
      <c r="AJ127">
        <v>85.71</v>
      </c>
      <c r="AK127">
        <v>6.74</v>
      </c>
      <c r="AL127">
        <v>1.1200000000000001</v>
      </c>
      <c r="AM127" t="s">
        <v>222</v>
      </c>
      <c r="AN127">
        <v>42.86</v>
      </c>
      <c r="AO127" t="s">
        <v>217</v>
      </c>
      <c r="AP127">
        <v>20.37</v>
      </c>
      <c r="AQ127">
        <v>88.89</v>
      </c>
      <c r="AR127">
        <v>1.093</v>
      </c>
    </row>
    <row r="128" spans="1:44" x14ac:dyDescent="0.35">
      <c r="A128">
        <v>19</v>
      </c>
      <c r="B128" t="s">
        <v>56</v>
      </c>
      <c r="C128">
        <v>10</v>
      </c>
      <c r="D128" t="s">
        <v>267</v>
      </c>
      <c r="E128">
        <v>4</v>
      </c>
      <c r="F128">
        <v>4</v>
      </c>
      <c r="G128">
        <v>2</v>
      </c>
      <c r="H128">
        <v>4</v>
      </c>
      <c r="I128">
        <v>10</v>
      </c>
      <c r="J128">
        <v>0.5</v>
      </c>
      <c r="K128">
        <v>90.89</v>
      </c>
      <c r="L128">
        <v>13.17</v>
      </c>
      <c r="M128">
        <v>87.34</v>
      </c>
      <c r="N128">
        <v>69.81</v>
      </c>
      <c r="O128">
        <v>11.86</v>
      </c>
      <c r="P128">
        <v>85.48</v>
      </c>
      <c r="Q128">
        <v>52.69</v>
      </c>
      <c r="R128">
        <v>6.59</v>
      </c>
      <c r="S128">
        <v>88.89</v>
      </c>
      <c r="T128">
        <v>5.27</v>
      </c>
      <c r="U128">
        <v>0</v>
      </c>
      <c r="V128">
        <v>100</v>
      </c>
      <c r="W128">
        <v>5.54</v>
      </c>
      <c r="X128">
        <v>0.42</v>
      </c>
      <c r="Y128">
        <v>93.02</v>
      </c>
      <c r="Z128">
        <v>42.15</v>
      </c>
      <c r="AA128">
        <v>3.95</v>
      </c>
      <c r="AB128">
        <v>91.43</v>
      </c>
      <c r="AC128">
        <v>3.95</v>
      </c>
      <c r="AD128">
        <v>0</v>
      </c>
      <c r="AE128">
        <v>100</v>
      </c>
      <c r="AF128">
        <v>15.79</v>
      </c>
      <c r="AG128">
        <v>100</v>
      </c>
      <c r="AH128">
        <v>14.49</v>
      </c>
      <c r="AI128">
        <v>1.32</v>
      </c>
      <c r="AJ128">
        <v>91.67</v>
      </c>
      <c r="AK128">
        <v>3.95</v>
      </c>
      <c r="AL128">
        <v>0</v>
      </c>
      <c r="AM128" t="s">
        <v>223</v>
      </c>
      <c r="AN128">
        <v>30</v>
      </c>
      <c r="AO128" t="s">
        <v>223</v>
      </c>
      <c r="AP128">
        <v>10</v>
      </c>
      <c r="AQ128">
        <v>100</v>
      </c>
      <c r="AR128">
        <v>1.1000000000000001</v>
      </c>
    </row>
    <row r="129" spans="1:44" x14ac:dyDescent="0.35">
      <c r="A129">
        <v>20</v>
      </c>
      <c r="B129" t="s">
        <v>57</v>
      </c>
      <c r="C129">
        <v>10</v>
      </c>
      <c r="D129" t="s">
        <v>321</v>
      </c>
      <c r="E129">
        <v>5</v>
      </c>
      <c r="F129">
        <v>4</v>
      </c>
      <c r="G129">
        <v>1</v>
      </c>
      <c r="H129">
        <v>4</v>
      </c>
      <c r="I129">
        <v>11</v>
      </c>
      <c r="J129">
        <v>0.55000000000000004</v>
      </c>
      <c r="K129">
        <v>93.95</v>
      </c>
      <c r="L129">
        <v>14.45</v>
      </c>
      <c r="M129">
        <v>86.67</v>
      </c>
      <c r="N129">
        <v>72.27</v>
      </c>
      <c r="O129">
        <v>13.42</v>
      </c>
      <c r="P129">
        <v>84.34</v>
      </c>
      <c r="Q129">
        <v>53.69</v>
      </c>
      <c r="R129">
        <v>9.2899999999999991</v>
      </c>
      <c r="S129">
        <v>85.25</v>
      </c>
      <c r="T129">
        <v>7.23</v>
      </c>
      <c r="U129">
        <v>0</v>
      </c>
      <c r="V129">
        <v>100</v>
      </c>
      <c r="W129">
        <v>7.55</v>
      </c>
      <c r="X129">
        <v>0.28000000000000003</v>
      </c>
      <c r="Y129">
        <v>96.44</v>
      </c>
      <c r="Z129">
        <v>46.46</v>
      </c>
      <c r="AA129">
        <v>3.1</v>
      </c>
      <c r="AB129">
        <v>93.75</v>
      </c>
      <c r="AC129">
        <v>6.19</v>
      </c>
      <c r="AD129">
        <v>0</v>
      </c>
      <c r="AE129">
        <v>100</v>
      </c>
      <c r="AF129">
        <v>22.22</v>
      </c>
      <c r="AG129">
        <v>100</v>
      </c>
      <c r="AH129">
        <v>24.78</v>
      </c>
      <c r="AI129">
        <v>0</v>
      </c>
      <c r="AJ129">
        <v>100</v>
      </c>
      <c r="AK129">
        <v>4.13</v>
      </c>
      <c r="AL129">
        <v>0</v>
      </c>
      <c r="AM129" t="s">
        <v>223</v>
      </c>
      <c r="AN129">
        <v>23.53</v>
      </c>
      <c r="AO129" t="s">
        <v>85</v>
      </c>
      <c r="AP129">
        <v>13.46</v>
      </c>
      <c r="AQ129">
        <v>100</v>
      </c>
      <c r="AR129">
        <v>1.135</v>
      </c>
    </row>
    <row r="130" spans="1:44" x14ac:dyDescent="0.35">
      <c r="A130">
        <v>21</v>
      </c>
      <c r="B130" t="s">
        <v>58</v>
      </c>
      <c r="C130">
        <v>10</v>
      </c>
      <c r="D130" t="s">
        <v>322</v>
      </c>
      <c r="E130">
        <v>4</v>
      </c>
      <c r="F130">
        <v>6</v>
      </c>
      <c r="G130">
        <v>0</v>
      </c>
      <c r="H130">
        <v>3</v>
      </c>
      <c r="I130">
        <v>8</v>
      </c>
      <c r="J130">
        <v>0.4</v>
      </c>
      <c r="K130">
        <v>70.94</v>
      </c>
      <c r="L130">
        <v>27.19</v>
      </c>
      <c r="M130">
        <v>72.290000000000006</v>
      </c>
      <c r="N130">
        <v>44.93</v>
      </c>
      <c r="O130">
        <v>24.83</v>
      </c>
      <c r="P130">
        <v>64.41</v>
      </c>
      <c r="Q130">
        <v>33.1</v>
      </c>
      <c r="R130">
        <v>22.46</v>
      </c>
      <c r="S130">
        <v>59.57</v>
      </c>
      <c r="T130">
        <v>2.36</v>
      </c>
      <c r="U130">
        <v>1.18</v>
      </c>
      <c r="V130">
        <v>66.67</v>
      </c>
      <c r="W130">
        <v>3.37</v>
      </c>
      <c r="X130">
        <v>1.1299999999999999</v>
      </c>
      <c r="Y130">
        <v>74.849999999999994</v>
      </c>
      <c r="Z130">
        <v>34.29</v>
      </c>
      <c r="AA130">
        <v>14.19</v>
      </c>
      <c r="AB130">
        <v>70.73</v>
      </c>
      <c r="AC130">
        <v>2.36</v>
      </c>
      <c r="AD130">
        <v>0</v>
      </c>
      <c r="AE130">
        <v>100</v>
      </c>
      <c r="AF130">
        <v>11.11</v>
      </c>
      <c r="AG130">
        <v>100</v>
      </c>
      <c r="AH130">
        <v>13</v>
      </c>
      <c r="AI130">
        <v>4.7300000000000004</v>
      </c>
      <c r="AJ130">
        <v>73.33</v>
      </c>
      <c r="AK130">
        <v>0</v>
      </c>
      <c r="AL130">
        <v>0</v>
      </c>
      <c r="AM130" t="s">
        <v>85</v>
      </c>
      <c r="AN130">
        <v>0</v>
      </c>
      <c r="AO130" t="s">
        <v>223</v>
      </c>
      <c r="AP130">
        <v>7.14</v>
      </c>
      <c r="AQ130">
        <v>94.74</v>
      </c>
      <c r="AR130">
        <v>1.0189999999999999</v>
      </c>
    </row>
    <row r="131" spans="1:44" x14ac:dyDescent="0.35">
      <c r="A131">
        <v>22</v>
      </c>
      <c r="B131" t="s">
        <v>59</v>
      </c>
      <c r="C131">
        <v>10</v>
      </c>
      <c r="D131" t="s">
        <v>268</v>
      </c>
      <c r="E131">
        <v>6</v>
      </c>
      <c r="F131">
        <v>4</v>
      </c>
      <c r="G131">
        <v>0</v>
      </c>
      <c r="H131">
        <v>6</v>
      </c>
      <c r="I131">
        <v>12</v>
      </c>
      <c r="J131">
        <v>0.6</v>
      </c>
      <c r="K131">
        <v>89.51</v>
      </c>
      <c r="L131">
        <v>17.690000000000001</v>
      </c>
      <c r="M131">
        <v>83.5</v>
      </c>
      <c r="N131">
        <v>73.89</v>
      </c>
      <c r="O131">
        <v>11.45</v>
      </c>
      <c r="P131">
        <v>86.59</v>
      </c>
      <c r="Q131">
        <v>56.2</v>
      </c>
      <c r="R131">
        <v>9.3699999999999992</v>
      </c>
      <c r="S131">
        <v>85.71</v>
      </c>
      <c r="T131">
        <v>5.2</v>
      </c>
      <c r="U131">
        <v>0</v>
      </c>
      <c r="V131">
        <v>100</v>
      </c>
      <c r="W131">
        <v>6.71</v>
      </c>
      <c r="X131">
        <v>0.55000000000000004</v>
      </c>
      <c r="Y131">
        <v>92.47</v>
      </c>
      <c r="Z131">
        <v>44.75</v>
      </c>
      <c r="AA131">
        <v>7.29</v>
      </c>
      <c r="AB131">
        <v>86</v>
      </c>
      <c r="AC131">
        <v>5.2</v>
      </c>
      <c r="AD131">
        <v>0</v>
      </c>
      <c r="AE131">
        <v>100</v>
      </c>
      <c r="AF131">
        <v>16.670000000000002</v>
      </c>
      <c r="AG131">
        <v>100</v>
      </c>
      <c r="AH131">
        <v>26.02</v>
      </c>
      <c r="AI131">
        <v>3.12</v>
      </c>
      <c r="AJ131">
        <v>89.29</v>
      </c>
      <c r="AK131">
        <v>3.12</v>
      </c>
      <c r="AL131">
        <v>0</v>
      </c>
      <c r="AM131" t="s">
        <v>223</v>
      </c>
      <c r="AN131">
        <v>13.04</v>
      </c>
      <c r="AO131" t="s">
        <v>223</v>
      </c>
      <c r="AP131">
        <v>9.26</v>
      </c>
      <c r="AQ131">
        <v>100</v>
      </c>
      <c r="AR131">
        <v>1.093</v>
      </c>
    </row>
    <row r="132" spans="1:44" x14ac:dyDescent="0.35">
      <c r="A132">
        <v>23</v>
      </c>
      <c r="B132" t="s">
        <v>60</v>
      </c>
      <c r="C132">
        <v>10</v>
      </c>
      <c r="D132" t="s">
        <v>269</v>
      </c>
      <c r="E132">
        <v>4</v>
      </c>
      <c r="F132">
        <v>5</v>
      </c>
      <c r="G132">
        <v>1</v>
      </c>
      <c r="H132">
        <v>3</v>
      </c>
      <c r="I132">
        <v>9</v>
      </c>
      <c r="J132">
        <v>0.45</v>
      </c>
      <c r="K132">
        <v>78.52</v>
      </c>
      <c r="L132">
        <v>23.85</v>
      </c>
      <c r="M132">
        <v>76.7</v>
      </c>
      <c r="N132">
        <v>59.64</v>
      </c>
      <c r="O132">
        <v>22.86</v>
      </c>
      <c r="P132">
        <v>72.290000000000006</v>
      </c>
      <c r="Q132">
        <v>42.74</v>
      </c>
      <c r="R132">
        <v>19.88</v>
      </c>
      <c r="S132">
        <v>68.25</v>
      </c>
      <c r="T132">
        <v>1.99</v>
      </c>
      <c r="U132">
        <v>1.99</v>
      </c>
      <c r="V132">
        <v>50</v>
      </c>
      <c r="W132">
        <v>5.1100000000000003</v>
      </c>
      <c r="X132">
        <v>1.56</v>
      </c>
      <c r="Y132">
        <v>76.56</v>
      </c>
      <c r="Z132">
        <v>44.73</v>
      </c>
      <c r="AA132">
        <v>14.91</v>
      </c>
      <c r="AB132">
        <v>75</v>
      </c>
      <c r="AC132">
        <v>1.99</v>
      </c>
      <c r="AD132">
        <v>1.99</v>
      </c>
      <c r="AE132">
        <v>50</v>
      </c>
      <c r="AF132">
        <v>7.69</v>
      </c>
      <c r="AG132">
        <v>84.62</v>
      </c>
      <c r="AH132">
        <v>17.89</v>
      </c>
      <c r="AI132">
        <v>6.96</v>
      </c>
      <c r="AJ132">
        <v>72</v>
      </c>
      <c r="AK132">
        <v>0.99</v>
      </c>
      <c r="AL132">
        <v>0.99</v>
      </c>
      <c r="AM132" t="s">
        <v>218</v>
      </c>
      <c r="AN132">
        <v>8.33</v>
      </c>
      <c r="AO132" t="s">
        <v>228</v>
      </c>
      <c r="AP132">
        <v>4.6500000000000004</v>
      </c>
      <c r="AQ132">
        <v>90</v>
      </c>
      <c r="AR132">
        <v>0.94699999999999995</v>
      </c>
    </row>
    <row r="133" spans="1:44" x14ac:dyDescent="0.35">
      <c r="A133">
        <v>24</v>
      </c>
      <c r="B133" t="s">
        <v>61</v>
      </c>
      <c r="C133">
        <v>10</v>
      </c>
      <c r="D133" t="s">
        <v>270</v>
      </c>
      <c r="E133">
        <v>4</v>
      </c>
      <c r="F133">
        <v>4</v>
      </c>
      <c r="G133">
        <v>2</v>
      </c>
      <c r="H133">
        <v>2</v>
      </c>
      <c r="I133">
        <v>10</v>
      </c>
      <c r="J133">
        <v>0.5</v>
      </c>
      <c r="K133">
        <v>82.19</v>
      </c>
      <c r="L133">
        <v>17.809999999999999</v>
      </c>
      <c r="M133">
        <v>82.19</v>
      </c>
      <c r="N133">
        <v>64.38</v>
      </c>
      <c r="O133">
        <v>16.440000000000001</v>
      </c>
      <c r="P133">
        <v>79.66</v>
      </c>
      <c r="Q133">
        <v>47.95</v>
      </c>
      <c r="R133">
        <v>15.07</v>
      </c>
      <c r="S133">
        <v>76.09</v>
      </c>
      <c r="T133">
        <v>2.74</v>
      </c>
      <c r="U133">
        <v>1.37</v>
      </c>
      <c r="V133">
        <v>66.67</v>
      </c>
      <c r="W133">
        <v>5.29</v>
      </c>
      <c r="X133">
        <v>0.56999999999999995</v>
      </c>
      <c r="Y133">
        <v>90.35</v>
      </c>
      <c r="Z133">
        <v>36.99</v>
      </c>
      <c r="AA133">
        <v>4.1100000000000003</v>
      </c>
      <c r="AB133">
        <v>90</v>
      </c>
      <c r="AC133">
        <v>2.74</v>
      </c>
      <c r="AD133">
        <v>1.37</v>
      </c>
      <c r="AE133">
        <v>66.67</v>
      </c>
      <c r="AF133">
        <v>12.5</v>
      </c>
      <c r="AG133">
        <v>66.67</v>
      </c>
      <c r="AH133">
        <v>16.440000000000001</v>
      </c>
      <c r="AI133">
        <v>1.37</v>
      </c>
      <c r="AJ133">
        <v>92.31</v>
      </c>
      <c r="AK133">
        <v>1.37</v>
      </c>
      <c r="AL133">
        <v>1.37</v>
      </c>
      <c r="AM133" t="s">
        <v>218</v>
      </c>
      <c r="AN133">
        <v>10</v>
      </c>
      <c r="AO133" t="s">
        <v>219</v>
      </c>
      <c r="AP133">
        <v>5.71</v>
      </c>
      <c r="AQ133">
        <v>90.91</v>
      </c>
      <c r="AR133">
        <v>0.96599999999999997</v>
      </c>
    </row>
    <row r="134" spans="1:44" x14ac:dyDescent="0.35">
      <c r="A134">
        <v>25</v>
      </c>
      <c r="B134" t="s">
        <v>62</v>
      </c>
      <c r="C134">
        <v>10</v>
      </c>
      <c r="D134" t="s">
        <v>271</v>
      </c>
      <c r="E134">
        <v>8</v>
      </c>
      <c r="F134">
        <v>1</v>
      </c>
      <c r="G134">
        <v>1</v>
      </c>
      <c r="H134">
        <v>8</v>
      </c>
      <c r="I134">
        <v>17</v>
      </c>
      <c r="J134">
        <v>0.85</v>
      </c>
      <c r="K134">
        <v>115.82</v>
      </c>
      <c r="L134">
        <v>17.09</v>
      </c>
      <c r="M134">
        <v>87.14</v>
      </c>
      <c r="N134">
        <v>89.24</v>
      </c>
      <c r="O134">
        <v>13.29</v>
      </c>
      <c r="P134">
        <v>87.04</v>
      </c>
      <c r="Q134">
        <v>60.76</v>
      </c>
      <c r="R134">
        <v>11.39</v>
      </c>
      <c r="S134">
        <v>84.21</v>
      </c>
      <c r="T134">
        <v>17.09</v>
      </c>
      <c r="U134">
        <v>0</v>
      </c>
      <c r="V134">
        <v>100</v>
      </c>
      <c r="W134">
        <v>7.02</v>
      </c>
      <c r="X134">
        <v>0.93</v>
      </c>
      <c r="Y134">
        <v>88.32</v>
      </c>
      <c r="Z134">
        <v>62.66</v>
      </c>
      <c r="AA134">
        <v>5.7</v>
      </c>
      <c r="AB134">
        <v>91.67</v>
      </c>
      <c r="AC134">
        <v>15.19</v>
      </c>
      <c r="AD134">
        <v>0</v>
      </c>
      <c r="AE134">
        <v>100</v>
      </c>
      <c r="AF134">
        <v>36.36</v>
      </c>
      <c r="AG134">
        <v>100</v>
      </c>
      <c r="AH134">
        <v>20.89</v>
      </c>
      <c r="AI134">
        <v>5.7</v>
      </c>
      <c r="AJ134">
        <v>78.569999999999993</v>
      </c>
      <c r="AK134">
        <v>7.59</v>
      </c>
      <c r="AL134">
        <v>0</v>
      </c>
      <c r="AM134" t="s">
        <v>223</v>
      </c>
      <c r="AN134">
        <v>44.44</v>
      </c>
      <c r="AO134" t="s">
        <v>223</v>
      </c>
      <c r="AP134">
        <v>28.13</v>
      </c>
      <c r="AQ134">
        <v>100</v>
      </c>
      <c r="AR134">
        <v>1.2809999999999999</v>
      </c>
    </row>
    <row r="135" spans="1:44" x14ac:dyDescent="0.35">
      <c r="A135">
        <v>26</v>
      </c>
      <c r="B135" t="s">
        <v>63</v>
      </c>
      <c r="C135">
        <v>10</v>
      </c>
      <c r="D135" t="s">
        <v>323</v>
      </c>
      <c r="E135">
        <v>7</v>
      </c>
      <c r="F135">
        <v>2</v>
      </c>
      <c r="G135">
        <v>1</v>
      </c>
      <c r="H135">
        <v>7</v>
      </c>
      <c r="I135">
        <v>15</v>
      </c>
      <c r="J135">
        <v>0.75</v>
      </c>
      <c r="K135">
        <v>102.49</v>
      </c>
      <c r="L135">
        <v>15.62</v>
      </c>
      <c r="M135">
        <v>86.78</v>
      </c>
      <c r="N135">
        <v>77.11</v>
      </c>
      <c r="O135">
        <v>13.67</v>
      </c>
      <c r="P135">
        <v>84.95</v>
      </c>
      <c r="Q135">
        <v>50.76</v>
      </c>
      <c r="R135">
        <v>13.67</v>
      </c>
      <c r="S135">
        <v>78.790000000000006</v>
      </c>
      <c r="T135">
        <v>13.67</v>
      </c>
      <c r="U135">
        <v>0.98</v>
      </c>
      <c r="V135">
        <v>93.33</v>
      </c>
      <c r="W135">
        <v>6.87</v>
      </c>
      <c r="X135">
        <v>0.88</v>
      </c>
      <c r="Y135">
        <v>88.61</v>
      </c>
      <c r="Z135">
        <v>52.71</v>
      </c>
      <c r="AA135">
        <v>9.76</v>
      </c>
      <c r="AB135">
        <v>84.38</v>
      </c>
      <c r="AC135">
        <v>10.74</v>
      </c>
      <c r="AD135">
        <v>0.98</v>
      </c>
      <c r="AE135">
        <v>91.67</v>
      </c>
      <c r="AF135">
        <v>32.35</v>
      </c>
      <c r="AG135">
        <v>88.89</v>
      </c>
      <c r="AH135">
        <v>17.57</v>
      </c>
      <c r="AI135">
        <v>3.9</v>
      </c>
      <c r="AJ135">
        <v>81.819999999999993</v>
      </c>
      <c r="AK135">
        <v>5.86</v>
      </c>
      <c r="AL135">
        <v>0</v>
      </c>
      <c r="AM135" t="s">
        <v>223</v>
      </c>
      <c r="AN135">
        <v>46.15</v>
      </c>
      <c r="AO135" t="s">
        <v>223</v>
      </c>
      <c r="AP135">
        <v>26.92</v>
      </c>
      <c r="AQ135">
        <v>92.86</v>
      </c>
      <c r="AR135">
        <v>1.198</v>
      </c>
    </row>
    <row r="136" spans="1:44" x14ac:dyDescent="0.35">
      <c r="A136">
        <v>27</v>
      </c>
      <c r="B136" t="s">
        <v>64</v>
      </c>
      <c r="C136">
        <v>10</v>
      </c>
      <c r="D136" t="s">
        <v>272</v>
      </c>
      <c r="E136">
        <v>7</v>
      </c>
      <c r="F136">
        <v>2</v>
      </c>
      <c r="G136">
        <v>1</v>
      </c>
      <c r="H136">
        <v>7</v>
      </c>
      <c r="I136">
        <v>15</v>
      </c>
      <c r="J136">
        <v>0.75</v>
      </c>
      <c r="K136">
        <v>113.56</v>
      </c>
      <c r="L136">
        <v>19.47</v>
      </c>
      <c r="M136">
        <v>85.37</v>
      </c>
      <c r="N136">
        <v>95.72</v>
      </c>
      <c r="O136">
        <v>16.22</v>
      </c>
      <c r="P136">
        <v>85.51</v>
      </c>
      <c r="Q136">
        <v>76.25</v>
      </c>
      <c r="R136">
        <v>12.98</v>
      </c>
      <c r="S136">
        <v>85.45</v>
      </c>
      <c r="T136">
        <v>17.850000000000001</v>
      </c>
      <c r="U136">
        <v>0</v>
      </c>
      <c r="V136">
        <v>100</v>
      </c>
      <c r="W136">
        <v>9.26</v>
      </c>
      <c r="X136">
        <v>0.8</v>
      </c>
      <c r="Y136">
        <v>92.07</v>
      </c>
      <c r="Z136">
        <v>76.25</v>
      </c>
      <c r="AA136">
        <v>9.73</v>
      </c>
      <c r="AB136">
        <v>88.68</v>
      </c>
      <c r="AC136">
        <v>12.98</v>
      </c>
      <c r="AD136">
        <v>0</v>
      </c>
      <c r="AE136">
        <v>100</v>
      </c>
      <c r="AF136">
        <v>24.24</v>
      </c>
      <c r="AG136">
        <v>100</v>
      </c>
      <c r="AH136">
        <v>34.07</v>
      </c>
      <c r="AI136">
        <v>4.87</v>
      </c>
      <c r="AJ136">
        <v>87.5</v>
      </c>
      <c r="AK136">
        <v>8.11</v>
      </c>
      <c r="AL136">
        <v>0</v>
      </c>
      <c r="AM136" t="s">
        <v>223</v>
      </c>
      <c r="AN136">
        <v>31.25</v>
      </c>
      <c r="AO136" t="s">
        <v>223</v>
      </c>
      <c r="AP136">
        <v>23.4</v>
      </c>
      <c r="AQ136">
        <v>100</v>
      </c>
      <c r="AR136">
        <v>1.234</v>
      </c>
    </row>
    <row r="137" spans="1:44" x14ac:dyDescent="0.35">
      <c r="A137">
        <v>28</v>
      </c>
      <c r="B137" t="s">
        <v>65</v>
      </c>
      <c r="C137">
        <v>10</v>
      </c>
      <c r="D137" t="s">
        <v>273</v>
      </c>
      <c r="E137">
        <v>3</v>
      </c>
      <c r="F137">
        <v>7</v>
      </c>
      <c r="G137">
        <v>0</v>
      </c>
      <c r="H137">
        <v>3</v>
      </c>
      <c r="I137">
        <v>6</v>
      </c>
      <c r="J137">
        <v>0.3</v>
      </c>
      <c r="K137">
        <v>105.38</v>
      </c>
      <c r="L137">
        <v>14.7</v>
      </c>
      <c r="M137">
        <v>87.76</v>
      </c>
      <c r="N137">
        <v>80.87</v>
      </c>
      <c r="O137">
        <v>14.7</v>
      </c>
      <c r="P137">
        <v>84.62</v>
      </c>
      <c r="Q137">
        <v>57.59</v>
      </c>
      <c r="R137">
        <v>9.8000000000000007</v>
      </c>
      <c r="S137">
        <v>85.45</v>
      </c>
      <c r="T137">
        <v>7.35</v>
      </c>
      <c r="U137">
        <v>1.23</v>
      </c>
      <c r="V137">
        <v>85.71</v>
      </c>
      <c r="W137">
        <v>5.76</v>
      </c>
      <c r="X137">
        <v>1.45</v>
      </c>
      <c r="Y137">
        <v>79.86</v>
      </c>
      <c r="Z137">
        <v>52.69</v>
      </c>
      <c r="AA137">
        <v>11.03</v>
      </c>
      <c r="AB137">
        <v>82.69</v>
      </c>
      <c r="AC137">
        <v>6.13</v>
      </c>
      <c r="AD137">
        <v>1.23</v>
      </c>
      <c r="AE137">
        <v>83.33</v>
      </c>
      <c r="AF137">
        <v>22.73</v>
      </c>
      <c r="AG137">
        <v>85.71</v>
      </c>
      <c r="AH137">
        <v>13.48</v>
      </c>
      <c r="AI137">
        <v>1.23</v>
      </c>
      <c r="AJ137">
        <v>91.67</v>
      </c>
      <c r="AK137">
        <v>2.4500000000000002</v>
      </c>
      <c r="AL137">
        <v>1.23</v>
      </c>
      <c r="AM137" t="s">
        <v>217</v>
      </c>
      <c r="AN137">
        <v>28.57</v>
      </c>
      <c r="AO137" t="s">
        <v>219</v>
      </c>
      <c r="AP137">
        <v>12.77</v>
      </c>
      <c r="AQ137">
        <v>87.5</v>
      </c>
      <c r="AR137">
        <v>1.0029999999999999</v>
      </c>
    </row>
    <row r="138" spans="1:44" x14ac:dyDescent="0.35">
      <c r="A138">
        <v>29</v>
      </c>
      <c r="B138" t="s">
        <v>68</v>
      </c>
      <c r="C138">
        <v>8</v>
      </c>
      <c r="D138" t="s">
        <v>233</v>
      </c>
      <c r="E138">
        <v>6</v>
      </c>
      <c r="F138">
        <v>2</v>
      </c>
      <c r="G138">
        <v>0</v>
      </c>
      <c r="H138">
        <v>6</v>
      </c>
      <c r="I138">
        <v>12</v>
      </c>
      <c r="J138">
        <v>0.75</v>
      </c>
      <c r="K138">
        <v>83.56</v>
      </c>
      <c r="L138">
        <v>19.18</v>
      </c>
      <c r="M138">
        <v>81.33</v>
      </c>
      <c r="N138">
        <v>60.27</v>
      </c>
      <c r="O138">
        <v>12.33</v>
      </c>
      <c r="P138">
        <v>83.02</v>
      </c>
      <c r="Q138">
        <v>42.47</v>
      </c>
      <c r="R138">
        <v>9.59</v>
      </c>
      <c r="S138">
        <v>81.58</v>
      </c>
      <c r="T138">
        <v>6.85</v>
      </c>
      <c r="U138">
        <v>0</v>
      </c>
      <c r="V138">
        <v>100</v>
      </c>
      <c r="W138">
        <v>4.7</v>
      </c>
      <c r="X138">
        <v>0.57999999999999996</v>
      </c>
      <c r="Y138">
        <v>89</v>
      </c>
      <c r="Z138">
        <v>34.25</v>
      </c>
      <c r="AA138">
        <v>6.85</v>
      </c>
      <c r="AB138">
        <v>83.33</v>
      </c>
      <c r="AC138">
        <v>6.85</v>
      </c>
      <c r="AD138">
        <v>0</v>
      </c>
      <c r="AE138">
        <v>100</v>
      </c>
      <c r="AF138">
        <v>33.33</v>
      </c>
      <c r="AG138">
        <v>100</v>
      </c>
      <c r="AH138">
        <v>15.07</v>
      </c>
      <c r="AI138">
        <v>2.74</v>
      </c>
      <c r="AJ138">
        <v>84.62</v>
      </c>
      <c r="AK138">
        <v>6.85</v>
      </c>
      <c r="AL138">
        <v>0</v>
      </c>
      <c r="AM138" t="s">
        <v>223</v>
      </c>
      <c r="AN138">
        <v>50</v>
      </c>
      <c r="AO138" t="s">
        <v>223</v>
      </c>
      <c r="AP138">
        <v>16.13</v>
      </c>
      <c r="AQ138">
        <v>100</v>
      </c>
      <c r="AR138">
        <v>1.161</v>
      </c>
    </row>
    <row r="139" spans="1:44" x14ac:dyDescent="0.35">
      <c r="A139">
        <v>30</v>
      </c>
      <c r="B139" t="s">
        <v>66</v>
      </c>
      <c r="C139">
        <v>10</v>
      </c>
      <c r="D139" t="s">
        <v>274</v>
      </c>
      <c r="E139">
        <v>6</v>
      </c>
      <c r="F139">
        <v>4</v>
      </c>
      <c r="G139">
        <v>0</v>
      </c>
      <c r="H139">
        <v>6</v>
      </c>
      <c r="I139">
        <v>12</v>
      </c>
      <c r="J139">
        <v>0.6</v>
      </c>
      <c r="K139">
        <v>105.88</v>
      </c>
      <c r="L139">
        <v>18.149999999999999</v>
      </c>
      <c r="M139">
        <v>85.37</v>
      </c>
      <c r="N139">
        <v>78.66</v>
      </c>
      <c r="O139">
        <v>17.14</v>
      </c>
      <c r="P139">
        <v>82.11</v>
      </c>
      <c r="Q139">
        <v>53.45</v>
      </c>
      <c r="R139">
        <v>14.12</v>
      </c>
      <c r="S139">
        <v>79.099999999999994</v>
      </c>
      <c r="T139">
        <v>6.05</v>
      </c>
      <c r="U139">
        <v>0</v>
      </c>
      <c r="V139">
        <v>100</v>
      </c>
      <c r="W139">
        <v>6.45</v>
      </c>
      <c r="X139">
        <v>0.9</v>
      </c>
      <c r="Y139">
        <v>87.74</v>
      </c>
      <c r="Z139">
        <v>59.5</v>
      </c>
      <c r="AA139">
        <v>7.06</v>
      </c>
      <c r="AB139">
        <v>89.39</v>
      </c>
      <c r="AC139">
        <v>4.03</v>
      </c>
      <c r="AD139">
        <v>0</v>
      </c>
      <c r="AE139">
        <v>100</v>
      </c>
      <c r="AF139">
        <v>11.76</v>
      </c>
      <c r="AG139">
        <v>100</v>
      </c>
      <c r="AH139">
        <v>16.13</v>
      </c>
      <c r="AI139">
        <v>5.04</v>
      </c>
      <c r="AJ139">
        <v>76.19</v>
      </c>
      <c r="AK139">
        <v>1.01</v>
      </c>
      <c r="AL139">
        <v>0</v>
      </c>
      <c r="AM139" t="s">
        <v>223</v>
      </c>
      <c r="AN139">
        <v>10</v>
      </c>
      <c r="AO139" t="s">
        <v>223</v>
      </c>
      <c r="AP139">
        <v>11.32</v>
      </c>
      <c r="AQ139">
        <v>100</v>
      </c>
      <c r="AR139">
        <v>1.113</v>
      </c>
    </row>
    <row r="140" spans="1:44" x14ac:dyDescent="0.35">
      <c r="A140">
        <v>31</v>
      </c>
      <c r="B140" t="s">
        <v>67</v>
      </c>
      <c r="C140">
        <v>10</v>
      </c>
      <c r="D140" t="s">
        <v>324</v>
      </c>
      <c r="E140">
        <v>5</v>
      </c>
      <c r="F140">
        <v>3</v>
      </c>
      <c r="G140">
        <v>2</v>
      </c>
      <c r="H140">
        <v>4</v>
      </c>
      <c r="I140">
        <v>12</v>
      </c>
      <c r="J140">
        <v>0.6</v>
      </c>
      <c r="K140">
        <v>86.86</v>
      </c>
      <c r="L140">
        <v>10.56</v>
      </c>
      <c r="M140">
        <v>89.16</v>
      </c>
      <c r="N140">
        <v>71.599999999999994</v>
      </c>
      <c r="O140">
        <v>10.56</v>
      </c>
      <c r="P140">
        <v>87.14</v>
      </c>
      <c r="Q140">
        <v>56.34</v>
      </c>
      <c r="R140">
        <v>9.39</v>
      </c>
      <c r="S140">
        <v>85.71</v>
      </c>
      <c r="T140">
        <v>2.35</v>
      </c>
      <c r="U140">
        <v>1.17</v>
      </c>
      <c r="V140">
        <v>66.67</v>
      </c>
      <c r="W140">
        <v>5.62</v>
      </c>
      <c r="X140">
        <v>0.9</v>
      </c>
      <c r="Y140">
        <v>86.13</v>
      </c>
      <c r="Z140">
        <v>34.04</v>
      </c>
      <c r="AA140">
        <v>7.04</v>
      </c>
      <c r="AB140">
        <v>82.86</v>
      </c>
      <c r="AC140">
        <v>1.17</v>
      </c>
      <c r="AD140">
        <v>1.17</v>
      </c>
      <c r="AE140">
        <v>50</v>
      </c>
      <c r="AF140">
        <v>5.26</v>
      </c>
      <c r="AG140">
        <v>80</v>
      </c>
      <c r="AH140">
        <v>12.91</v>
      </c>
      <c r="AI140">
        <v>3.52</v>
      </c>
      <c r="AJ140">
        <v>78.569999999999993</v>
      </c>
      <c r="AK140">
        <v>1.17</v>
      </c>
      <c r="AL140">
        <v>1.17</v>
      </c>
      <c r="AM140" t="s">
        <v>218</v>
      </c>
      <c r="AN140">
        <v>10</v>
      </c>
      <c r="AO140" t="s">
        <v>217</v>
      </c>
      <c r="AP140">
        <v>4.17</v>
      </c>
      <c r="AQ140">
        <v>87.5</v>
      </c>
      <c r="AR140">
        <v>0.91700000000000004</v>
      </c>
    </row>
    <row r="142" spans="1:44" x14ac:dyDescent="0.35">
      <c r="A142" s="80" t="s">
        <v>122</v>
      </c>
      <c r="B142" s="80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</row>
    <row r="143" spans="1:44" x14ac:dyDescent="0.35">
      <c r="A143" s="80"/>
      <c r="B143" s="80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</row>
    <row r="144" spans="1:44" x14ac:dyDescent="0.35">
      <c r="A144" t="s">
        <v>79</v>
      </c>
      <c r="B144" t="s">
        <v>0</v>
      </c>
      <c r="C144" t="s">
        <v>1</v>
      </c>
      <c r="D144" t="s">
        <v>90</v>
      </c>
      <c r="E144" t="s">
        <v>2</v>
      </c>
      <c r="F144" t="s">
        <v>3</v>
      </c>
      <c r="G144" t="s">
        <v>4</v>
      </c>
      <c r="H144" t="s">
        <v>5</v>
      </c>
      <c r="I144" t="s">
        <v>6</v>
      </c>
      <c r="J144" t="s">
        <v>7</v>
      </c>
      <c r="K144" t="s">
        <v>91</v>
      </c>
      <c r="L144" t="s">
        <v>92</v>
      </c>
      <c r="M144" t="s">
        <v>8</v>
      </c>
      <c r="N144" t="s">
        <v>93</v>
      </c>
      <c r="O144" t="s">
        <v>94</v>
      </c>
      <c r="P144" t="s">
        <v>9</v>
      </c>
      <c r="Q144" t="s">
        <v>95</v>
      </c>
      <c r="R144" t="s">
        <v>71</v>
      </c>
      <c r="S144" t="s">
        <v>10</v>
      </c>
      <c r="T144" t="s">
        <v>96</v>
      </c>
      <c r="U144" t="s">
        <v>97</v>
      </c>
      <c r="V144" t="s">
        <v>11</v>
      </c>
      <c r="W144" t="s">
        <v>98</v>
      </c>
      <c r="X144" t="s">
        <v>99</v>
      </c>
      <c r="Y144" t="s">
        <v>14</v>
      </c>
      <c r="Z144" t="s">
        <v>100</v>
      </c>
      <c r="AA144" t="s">
        <v>101</v>
      </c>
      <c r="AB144" t="s">
        <v>15</v>
      </c>
      <c r="AC144" t="s">
        <v>104</v>
      </c>
      <c r="AD144" t="s">
        <v>105</v>
      </c>
      <c r="AE144" t="s">
        <v>17</v>
      </c>
      <c r="AF144" t="s">
        <v>18</v>
      </c>
      <c r="AG144" t="s">
        <v>19</v>
      </c>
      <c r="AH144" t="s">
        <v>106</v>
      </c>
      <c r="AI144" t="s">
        <v>107</v>
      </c>
      <c r="AJ144" t="s">
        <v>20</v>
      </c>
      <c r="AK144" t="s">
        <v>109</v>
      </c>
      <c r="AL144" t="s">
        <v>73</v>
      </c>
      <c r="AM144" t="s">
        <v>22</v>
      </c>
      <c r="AN144" t="s">
        <v>23</v>
      </c>
      <c r="AO144" t="s">
        <v>24</v>
      </c>
      <c r="AP144" t="s">
        <v>35</v>
      </c>
      <c r="AQ144" t="s">
        <v>36</v>
      </c>
      <c r="AR144" t="s">
        <v>37</v>
      </c>
    </row>
    <row r="145" spans="1:44" x14ac:dyDescent="0.35">
      <c r="A145">
        <v>1</v>
      </c>
      <c r="B145" t="s">
        <v>38</v>
      </c>
      <c r="C145">
        <v>10</v>
      </c>
      <c r="D145" t="s">
        <v>275</v>
      </c>
      <c r="E145">
        <v>2</v>
      </c>
      <c r="F145">
        <v>6</v>
      </c>
      <c r="G145">
        <v>2</v>
      </c>
      <c r="H145">
        <v>1</v>
      </c>
      <c r="I145">
        <v>6</v>
      </c>
      <c r="J145">
        <v>0.3</v>
      </c>
      <c r="K145">
        <v>13.65</v>
      </c>
      <c r="L145">
        <v>84.38</v>
      </c>
      <c r="M145">
        <v>13.92</v>
      </c>
      <c r="N145">
        <v>11.17</v>
      </c>
      <c r="O145">
        <v>63.29</v>
      </c>
      <c r="P145">
        <v>15</v>
      </c>
      <c r="Q145">
        <v>9.93</v>
      </c>
      <c r="R145">
        <v>43.43</v>
      </c>
      <c r="S145">
        <v>18.600000000000001</v>
      </c>
      <c r="T145">
        <v>0</v>
      </c>
      <c r="U145">
        <v>8.69</v>
      </c>
      <c r="V145">
        <v>0</v>
      </c>
      <c r="W145">
        <v>0.75</v>
      </c>
      <c r="X145">
        <v>5.89</v>
      </c>
      <c r="Y145">
        <v>11.3</v>
      </c>
      <c r="Z145">
        <v>6.2</v>
      </c>
      <c r="AA145">
        <v>52.12</v>
      </c>
      <c r="AB145">
        <v>10.64</v>
      </c>
      <c r="AC145">
        <v>0</v>
      </c>
      <c r="AD145">
        <v>8.69</v>
      </c>
      <c r="AE145">
        <v>0</v>
      </c>
      <c r="AF145" t="s">
        <v>219</v>
      </c>
      <c r="AG145">
        <v>73.08</v>
      </c>
      <c r="AH145">
        <v>2.48</v>
      </c>
      <c r="AI145">
        <v>21.1</v>
      </c>
      <c r="AJ145">
        <v>10.53</v>
      </c>
      <c r="AK145">
        <v>0</v>
      </c>
      <c r="AL145">
        <v>4.96</v>
      </c>
      <c r="AM145">
        <v>0</v>
      </c>
      <c r="AN145" t="s">
        <v>219</v>
      </c>
      <c r="AO145">
        <v>63.64</v>
      </c>
      <c r="AP145">
        <v>0</v>
      </c>
      <c r="AQ145">
        <v>80</v>
      </c>
      <c r="AR145">
        <v>0.8</v>
      </c>
    </row>
    <row r="146" spans="1:44" x14ac:dyDescent="0.35">
      <c r="A146">
        <v>2</v>
      </c>
      <c r="B146" t="s">
        <v>39</v>
      </c>
      <c r="C146">
        <v>10</v>
      </c>
      <c r="D146" t="s">
        <v>276</v>
      </c>
      <c r="E146">
        <v>4</v>
      </c>
      <c r="F146">
        <v>4</v>
      </c>
      <c r="G146">
        <v>2</v>
      </c>
      <c r="H146">
        <v>3</v>
      </c>
      <c r="I146">
        <v>10</v>
      </c>
      <c r="J146">
        <v>0.5</v>
      </c>
      <c r="K146">
        <v>12.44</v>
      </c>
      <c r="L146">
        <v>114.48</v>
      </c>
      <c r="M146">
        <v>9.8000000000000007</v>
      </c>
      <c r="N146">
        <v>11.2</v>
      </c>
      <c r="O146">
        <v>92.08</v>
      </c>
      <c r="P146">
        <v>10.84</v>
      </c>
      <c r="Q146">
        <v>8.7100000000000009</v>
      </c>
      <c r="R146">
        <v>62.22</v>
      </c>
      <c r="S146">
        <v>12.28</v>
      </c>
      <c r="T146">
        <v>0</v>
      </c>
      <c r="U146">
        <v>6.22</v>
      </c>
      <c r="V146">
        <v>0</v>
      </c>
      <c r="W146">
        <v>0.51</v>
      </c>
      <c r="X146">
        <v>9.44</v>
      </c>
      <c r="Y146">
        <v>5.17</v>
      </c>
      <c r="Z146">
        <v>6.22</v>
      </c>
      <c r="AA146">
        <v>69.69</v>
      </c>
      <c r="AB146">
        <v>8.1999999999999993</v>
      </c>
      <c r="AC146">
        <v>0</v>
      </c>
      <c r="AD146">
        <v>6.22</v>
      </c>
      <c r="AE146">
        <v>0</v>
      </c>
      <c r="AF146" t="s">
        <v>219</v>
      </c>
      <c r="AG146">
        <v>84.85</v>
      </c>
      <c r="AH146">
        <v>2.4900000000000002</v>
      </c>
      <c r="AI146">
        <v>27.38</v>
      </c>
      <c r="AJ146">
        <v>8.33</v>
      </c>
      <c r="AK146">
        <v>0</v>
      </c>
      <c r="AL146">
        <v>4.9800000000000004</v>
      </c>
      <c r="AM146">
        <v>0</v>
      </c>
      <c r="AN146" t="s">
        <v>219</v>
      </c>
      <c r="AO146">
        <v>75</v>
      </c>
      <c r="AP146">
        <v>0</v>
      </c>
      <c r="AQ146">
        <v>90</v>
      </c>
      <c r="AR146">
        <v>0.9</v>
      </c>
    </row>
    <row r="147" spans="1:44" x14ac:dyDescent="0.35">
      <c r="A147">
        <v>3</v>
      </c>
      <c r="B147" t="s">
        <v>40</v>
      </c>
      <c r="C147">
        <v>9</v>
      </c>
      <c r="D147" t="s">
        <v>354</v>
      </c>
      <c r="E147">
        <v>6</v>
      </c>
      <c r="F147">
        <v>2</v>
      </c>
      <c r="G147">
        <v>1</v>
      </c>
      <c r="H147">
        <v>5</v>
      </c>
      <c r="I147">
        <v>13</v>
      </c>
      <c r="J147">
        <v>0.72199999999999998</v>
      </c>
      <c r="K147">
        <v>23.61</v>
      </c>
      <c r="L147">
        <v>77.58</v>
      </c>
      <c r="M147">
        <v>23.33</v>
      </c>
      <c r="N147">
        <v>22.49</v>
      </c>
      <c r="O147">
        <v>55.09</v>
      </c>
      <c r="P147">
        <v>28.99</v>
      </c>
      <c r="Q147">
        <v>21.36</v>
      </c>
      <c r="R147">
        <v>38.229999999999997</v>
      </c>
      <c r="S147">
        <v>35.85</v>
      </c>
      <c r="T147">
        <v>1.1200000000000001</v>
      </c>
      <c r="U147">
        <v>3.37</v>
      </c>
      <c r="V147">
        <v>25</v>
      </c>
      <c r="W147">
        <v>1.01</v>
      </c>
      <c r="X147">
        <v>4.01</v>
      </c>
      <c r="Y147">
        <v>20.09</v>
      </c>
      <c r="Z147">
        <v>11.24</v>
      </c>
      <c r="AA147">
        <v>37.1</v>
      </c>
      <c r="AB147">
        <v>23.26</v>
      </c>
      <c r="AC147">
        <v>1.1200000000000001</v>
      </c>
      <c r="AD147">
        <v>3.37</v>
      </c>
      <c r="AE147">
        <v>25</v>
      </c>
      <c r="AF147" t="s">
        <v>277</v>
      </c>
      <c r="AG147">
        <v>82.35</v>
      </c>
      <c r="AH147">
        <v>4.5</v>
      </c>
      <c r="AI147">
        <v>11.24</v>
      </c>
      <c r="AJ147">
        <v>28.57</v>
      </c>
      <c r="AK147">
        <v>0</v>
      </c>
      <c r="AL147">
        <v>2.25</v>
      </c>
      <c r="AM147">
        <v>0</v>
      </c>
      <c r="AN147" t="s">
        <v>219</v>
      </c>
      <c r="AO147">
        <v>75</v>
      </c>
      <c r="AP147">
        <v>5.26</v>
      </c>
      <c r="AQ147">
        <v>91.18</v>
      </c>
      <c r="AR147">
        <v>0.96399999999999997</v>
      </c>
    </row>
    <row r="148" spans="1:44" x14ac:dyDescent="0.35">
      <c r="A148">
        <v>4</v>
      </c>
      <c r="B148" t="s">
        <v>41</v>
      </c>
      <c r="C148">
        <v>10</v>
      </c>
      <c r="D148" t="s">
        <v>278</v>
      </c>
      <c r="E148">
        <v>2</v>
      </c>
      <c r="F148">
        <v>6</v>
      </c>
      <c r="G148">
        <v>2</v>
      </c>
      <c r="H148">
        <v>1</v>
      </c>
      <c r="I148">
        <v>6</v>
      </c>
      <c r="J148">
        <v>0.3</v>
      </c>
      <c r="K148">
        <v>8.6</v>
      </c>
      <c r="L148">
        <v>105.67</v>
      </c>
      <c r="M148">
        <v>7.53</v>
      </c>
      <c r="N148">
        <v>7.37</v>
      </c>
      <c r="O148">
        <v>81.09</v>
      </c>
      <c r="P148">
        <v>8.33</v>
      </c>
      <c r="Q148">
        <v>4.91</v>
      </c>
      <c r="R148">
        <v>65.12</v>
      </c>
      <c r="S148">
        <v>7.02</v>
      </c>
      <c r="T148">
        <v>0</v>
      </c>
      <c r="U148">
        <v>3.69</v>
      </c>
      <c r="V148">
        <v>0</v>
      </c>
      <c r="W148">
        <v>0.18</v>
      </c>
      <c r="X148">
        <v>6.4</v>
      </c>
      <c r="Y148">
        <v>2.7</v>
      </c>
      <c r="Z148">
        <v>0</v>
      </c>
      <c r="AA148">
        <v>45.46</v>
      </c>
      <c r="AB148">
        <v>0</v>
      </c>
      <c r="AC148">
        <v>0</v>
      </c>
      <c r="AD148">
        <v>2.46</v>
      </c>
      <c r="AE148">
        <v>0</v>
      </c>
      <c r="AF148" t="s">
        <v>85</v>
      </c>
      <c r="AG148">
        <v>92</v>
      </c>
      <c r="AH148">
        <v>0</v>
      </c>
      <c r="AI148">
        <v>20.89</v>
      </c>
      <c r="AJ148">
        <v>0</v>
      </c>
      <c r="AK148">
        <v>0</v>
      </c>
      <c r="AL148">
        <v>2.46</v>
      </c>
      <c r="AM148">
        <v>0</v>
      </c>
      <c r="AN148" t="s">
        <v>85</v>
      </c>
      <c r="AO148">
        <v>87.5</v>
      </c>
      <c r="AP148">
        <v>0</v>
      </c>
      <c r="AQ148">
        <v>94.34</v>
      </c>
      <c r="AR148">
        <v>0.94299999999999995</v>
      </c>
    </row>
    <row r="149" spans="1:44" x14ac:dyDescent="0.35">
      <c r="A149">
        <v>5</v>
      </c>
      <c r="B149" t="s">
        <v>42</v>
      </c>
      <c r="C149">
        <v>10</v>
      </c>
      <c r="D149" t="s">
        <v>355</v>
      </c>
      <c r="E149">
        <v>8</v>
      </c>
      <c r="F149">
        <v>1</v>
      </c>
      <c r="G149">
        <v>1</v>
      </c>
      <c r="H149">
        <v>7</v>
      </c>
      <c r="I149">
        <v>17</v>
      </c>
      <c r="J149">
        <v>0.85</v>
      </c>
      <c r="K149">
        <v>21.57</v>
      </c>
      <c r="L149">
        <v>75.930000000000007</v>
      </c>
      <c r="M149">
        <v>22.12</v>
      </c>
      <c r="N149">
        <v>19.850000000000001</v>
      </c>
      <c r="O149">
        <v>56.95</v>
      </c>
      <c r="P149">
        <v>25.84</v>
      </c>
      <c r="Q149">
        <v>12.94</v>
      </c>
      <c r="R149">
        <v>45.73</v>
      </c>
      <c r="S149">
        <v>22.06</v>
      </c>
      <c r="T149">
        <v>1.73</v>
      </c>
      <c r="U149">
        <v>4.3099999999999996</v>
      </c>
      <c r="V149">
        <v>28.57</v>
      </c>
      <c r="W149">
        <v>1.66</v>
      </c>
      <c r="X149">
        <v>5.4</v>
      </c>
      <c r="Y149">
        <v>23.48</v>
      </c>
      <c r="Z149">
        <v>10.35</v>
      </c>
      <c r="AA149">
        <v>32.79</v>
      </c>
      <c r="AB149">
        <v>24</v>
      </c>
      <c r="AC149">
        <v>0.86</v>
      </c>
      <c r="AD149">
        <v>4.3099999999999996</v>
      </c>
      <c r="AE149">
        <v>16.670000000000002</v>
      </c>
      <c r="AF149" t="s">
        <v>288</v>
      </c>
      <c r="AG149">
        <v>82.14</v>
      </c>
      <c r="AH149">
        <v>6.9</v>
      </c>
      <c r="AI149">
        <v>14.67</v>
      </c>
      <c r="AJ149">
        <v>32</v>
      </c>
      <c r="AK149">
        <v>0</v>
      </c>
      <c r="AL149">
        <v>1.73</v>
      </c>
      <c r="AM149">
        <v>0</v>
      </c>
      <c r="AN149" t="s">
        <v>219</v>
      </c>
      <c r="AO149">
        <v>84.62</v>
      </c>
      <c r="AP149">
        <v>13.33</v>
      </c>
      <c r="AQ149">
        <v>90.57</v>
      </c>
      <c r="AR149">
        <v>1.0389999999999999</v>
      </c>
    </row>
    <row r="150" spans="1:44" x14ac:dyDescent="0.35">
      <c r="A150">
        <v>6</v>
      </c>
      <c r="B150" t="s">
        <v>43</v>
      </c>
      <c r="C150">
        <v>10</v>
      </c>
      <c r="D150" t="s">
        <v>279</v>
      </c>
      <c r="E150">
        <v>5</v>
      </c>
      <c r="F150">
        <v>4</v>
      </c>
      <c r="G150">
        <v>1</v>
      </c>
      <c r="H150">
        <v>4</v>
      </c>
      <c r="I150">
        <v>11</v>
      </c>
      <c r="J150">
        <v>0.55000000000000004</v>
      </c>
      <c r="K150">
        <v>15.46</v>
      </c>
      <c r="L150">
        <v>95.88</v>
      </c>
      <c r="M150">
        <v>13.89</v>
      </c>
      <c r="N150">
        <v>13.92</v>
      </c>
      <c r="O150">
        <v>74.23</v>
      </c>
      <c r="P150">
        <v>15.79</v>
      </c>
      <c r="Q150">
        <v>12.37</v>
      </c>
      <c r="R150">
        <v>51.03</v>
      </c>
      <c r="S150">
        <v>19.510000000000002</v>
      </c>
      <c r="T150">
        <v>3.09</v>
      </c>
      <c r="U150">
        <v>12.37</v>
      </c>
      <c r="V150">
        <v>20</v>
      </c>
      <c r="W150">
        <v>0.56999999999999995</v>
      </c>
      <c r="X150">
        <v>5.59</v>
      </c>
      <c r="Y150">
        <v>9.2100000000000009</v>
      </c>
      <c r="Z150">
        <v>3.09</v>
      </c>
      <c r="AA150">
        <v>29.38</v>
      </c>
      <c r="AB150">
        <v>9.52</v>
      </c>
      <c r="AC150">
        <v>3.09</v>
      </c>
      <c r="AD150">
        <v>12.37</v>
      </c>
      <c r="AE150">
        <v>20</v>
      </c>
      <c r="AF150" t="s">
        <v>223</v>
      </c>
      <c r="AG150">
        <v>52.94</v>
      </c>
      <c r="AH150">
        <v>1.55</v>
      </c>
      <c r="AI150">
        <v>15.46</v>
      </c>
      <c r="AJ150">
        <v>9.09</v>
      </c>
      <c r="AK150">
        <v>1.55</v>
      </c>
      <c r="AL150">
        <v>9.2799999999999994</v>
      </c>
      <c r="AM150">
        <v>14.29</v>
      </c>
      <c r="AN150" t="s">
        <v>223</v>
      </c>
      <c r="AO150">
        <v>40</v>
      </c>
      <c r="AP150">
        <v>25</v>
      </c>
      <c r="AQ150">
        <v>75.760000000000005</v>
      </c>
      <c r="AR150">
        <v>1.008</v>
      </c>
    </row>
    <row r="151" spans="1:44" x14ac:dyDescent="0.35">
      <c r="A151">
        <v>7</v>
      </c>
      <c r="B151" t="s">
        <v>44</v>
      </c>
      <c r="C151">
        <v>10</v>
      </c>
      <c r="D151" t="s">
        <v>260</v>
      </c>
      <c r="E151">
        <v>5</v>
      </c>
      <c r="F151">
        <v>4</v>
      </c>
      <c r="G151">
        <v>1</v>
      </c>
      <c r="H151">
        <v>5</v>
      </c>
      <c r="I151">
        <v>11</v>
      </c>
      <c r="J151">
        <v>0.55000000000000004</v>
      </c>
      <c r="K151">
        <v>11.76</v>
      </c>
      <c r="L151">
        <v>112.38</v>
      </c>
      <c r="M151">
        <v>9.4700000000000006</v>
      </c>
      <c r="N151">
        <v>10.45</v>
      </c>
      <c r="O151">
        <v>86.24</v>
      </c>
      <c r="P151">
        <v>10.81</v>
      </c>
      <c r="Q151">
        <v>7.84</v>
      </c>
      <c r="R151">
        <v>60.11</v>
      </c>
      <c r="S151">
        <v>11.54</v>
      </c>
      <c r="T151">
        <v>0</v>
      </c>
      <c r="U151">
        <v>6.53</v>
      </c>
      <c r="V151">
        <v>0</v>
      </c>
      <c r="W151">
        <v>1.08</v>
      </c>
      <c r="X151">
        <v>7.53</v>
      </c>
      <c r="Y151">
        <v>12.57</v>
      </c>
      <c r="Z151">
        <v>3.92</v>
      </c>
      <c r="AA151">
        <v>65.34</v>
      </c>
      <c r="AB151">
        <v>5.66</v>
      </c>
      <c r="AC151">
        <v>0</v>
      </c>
      <c r="AD151">
        <v>5.23</v>
      </c>
      <c r="AE151">
        <v>0</v>
      </c>
      <c r="AF151" t="s">
        <v>219</v>
      </c>
      <c r="AG151">
        <v>86.67</v>
      </c>
      <c r="AH151">
        <v>2.61</v>
      </c>
      <c r="AI151">
        <v>18.29</v>
      </c>
      <c r="AJ151">
        <v>12.5</v>
      </c>
      <c r="AK151">
        <v>0</v>
      </c>
      <c r="AL151">
        <v>1.31</v>
      </c>
      <c r="AM151">
        <v>0</v>
      </c>
      <c r="AN151" t="s">
        <v>219</v>
      </c>
      <c r="AO151">
        <v>88.89</v>
      </c>
      <c r="AP151">
        <v>0</v>
      </c>
      <c r="AQ151">
        <v>89.13</v>
      </c>
      <c r="AR151">
        <v>0.89100000000000001</v>
      </c>
    </row>
    <row r="152" spans="1:44" x14ac:dyDescent="0.35">
      <c r="A152">
        <v>8</v>
      </c>
      <c r="B152" t="s">
        <v>45</v>
      </c>
      <c r="C152">
        <v>10</v>
      </c>
      <c r="D152" t="s">
        <v>356</v>
      </c>
      <c r="E152">
        <v>5</v>
      </c>
      <c r="F152">
        <v>3</v>
      </c>
      <c r="G152">
        <v>2</v>
      </c>
      <c r="H152">
        <v>4</v>
      </c>
      <c r="I152">
        <v>12</v>
      </c>
      <c r="J152">
        <v>0.6</v>
      </c>
      <c r="K152">
        <v>23.47</v>
      </c>
      <c r="L152">
        <v>104.16</v>
      </c>
      <c r="M152">
        <v>18.39</v>
      </c>
      <c r="N152">
        <v>22</v>
      </c>
      <c r="O152">
        <v>70.42</v>
      </c>
      <c r="P152">
        <v>23.81</v>
      </c>
      <c r="Q152">
        <v>22</v>
      </c>
      <c r="R152">
        <v>55.75</v>
      </c>
      <c r="S152">
        <v>28.3</v>
      </c>
      <c r="T152">
        <v>1.47</v>
      </c>
      <c r="U152">
        <v>13.2</v>
      </c>
      <c r="V152">
        <v>10</v>
      </c>
      <c r="W152">
        <v>1.94</v>
      </c>
      <c r="X152">
        <v>6.86</v>
      </c>
      <c r="Y152">
        <v>22.02</v>
      </c>
      <c r="Z152">
        <v>17.600000000000001</v>
      </c>
      <c r="AA152">
        <v>60.15</v>
      </c>
      <c r="AB152">
        <v>22.64</v>
      </c>
      <c r="AC152">
        <v>1.47</v>
      </c>
      <c r="AD152">
        <v>7.33</v>
      </c>
      <c r="AE152">
        <v>16.670000000000002</v>
      </c>
      <c r="AF152" t="s">
        <v>308</v>
      </c>
      <c r="AG152">
        <v>80</v>
      </c>
      <c r="AH152">
        <v>10.27</v>
      </c>
      <c r="AI152">
        <v>20.54</v>
      </c>
      <c r="AJ152">
        <v>33.33</v>
      </c>
      <c r="AK152">
        <v>0</v>
      </c>
      <c r="AL152">
        <v>4.4000000000000004</v>
      </c>
      <c r="AM152">
        <v>0</v>
      </c>
      <c r="AN152" t="s">
        <v>219</v>
      </c>
      <c r="AO152">
        <v>66.67</v>
      </c>
      <c r="AP152">
        <v>6.67</v>
      </c>
      <c r="AQ152">
        <v>76.319999999999993</v>
      </c>
      <c r="AR152">
        <v>0.83</v>
      </c>
    </row>
    <row r="153" spans="1:44" x14ac:dyDescent="0.35">
      <c r="A153">
        <v>9</v>
      </c>
      <c r="B153" t="s">
        <v>46</v>
      </c>
      <c r="C153">
        <v>10</v>
      </c>
      <c r="D153" t="s">
        <v>280</v>
      </c>
      <c r="E153">
        <v>6</v>
      </c>
      <c r="F153">
        <v>3</v>
      </c>
      <c r="G153">
        <v>1</v>
      </c>
      <c r="H153">
        <v>6</v>
      </c>
      <c r="I153">
        <v>13</v>
      </c>
      <c r="J153">
        <v>0.65</v>
      </c>
      <c r="K153">
        <v>15.77</v>
      </c>
      <c r="L153">
        <v>88.06</v>
      </c>
      <c r="M153">
        <v>15.19</v>
      </c>
      <c r="N153">
        <v>14.46</v>
      </c>
      <c r="O153">
        <v>67.03</v>
      </c>
      <c r="P153">
        <v>17.739999999999998</v>
      </c>
      <c r="Q153">
        <v>14.46</v>
      </c>
      <c r="R153">
        <v>52.57</v>
      </c>
      <c r="S153">
        <v>21.57</v>
      </c>
      <c r="T153">
        <v>1.31</v>
      </c>
      <c r="U153">
        <v>5.26</v>
      </c>
      <c r="V153">
        <v>20</v>
      </c>
      <c r="W153">
        <v>0.57999999999999996</v>
      </c>
      <c r="X153">
        <v>5.98</v>
      </c>
      <c r="Y153">
        <v>8.91</v>
      </c>
      <c r="Z153">
        <v>5.26</v>
      </c>
      <c r="AA153">
        <v>46</v>
      </c>
      <c r="AB153">
        <v>10.26</v>
      </c>
      <c r="AC153">
        <v>1.31</v>
      </c>
      <c r="AD153">
        <v>3.94</v>
      </c>
      <c r="AE153">
        <v>25</v>
      </c>
      <c r="AF153" t="s">
        <v>281</v>
      </c>
      <c r="AG153">
        <v>86.36</v>
      </c>
      <c r="AH153">
        <v>3.94</v>
      </c>
      <c r="AI153">
        <v>17.09</v>
      </c>
      <c r="AJ153">
        <v>18.75</v>
      </c>
      <c r="AK153">
        <v>1.31</v>
      </c>
      <c r="AL153">
        <v>3.94</v>
      </c>
      <c r="AM153">
        <v>25</v>
      </c>
      <c r="AN153" t="s">
        <v>230</v>
      </c>
      <c r="AO153">
        <v>75</v>
      </c>
      <c r="AP153">
        <v>9.09</v>
      </c>
      <c r="AQ153">
        <v>90</v>
      </c>
      <c r="AR153">
        <v>0.99099999999999999</v>
      </c>
    </row>
    <row r="154" spans="1:44" x14ac:dyDescent="0.35">
      <c r="A154">
        <v>10</v>
      </c>
      <c r="B154" t="s">
        <v>47</v>
      </c>
      <c r="C154">
        <v>10</v>
      </c>
      <c r="D154" t="s">
        <v>357</v>
      </c>
      <c r="E154">
        <v>3</v>
      </c>
      <c r="F154">
        <v>3</v>
      </c>
      <c r="G154">
        <v>4</v>
      </c>
      <c r="H154">
        <v>3</v>
      </c>
      <c r="I154">
        <v>10</v>
      </c>
      <c r="J154">
        <v>0.5</v>
      </c>
      <c r="K154">
        <v>18.260000000000002</v>
      </c>
      <c r="L154">
        <v>83.08</v>
      </c>
      <c r="M154">
        <v>18.02</v>
      </c>
      <c r="N154">
        <v>17.350000000000001</v>
      </c>
      <c r="O154">
        <v>61.17</v>
      </c>
      <c r="P154">
        <v>22.09</v>
      </c>
      <c r="Q154">
        <v>15.52</v>
      </c>
      <c r="R154">
        <v>42</v>
      </c>
      <c r="S154">
        <v>26.98</v>
      </c>
      <c r="T154">
        <v>0.91</v>
      </c>
      <c r="U154">
        <v>7.3</v>
      </c>
      <c r="V154">
        <v>11.11</v>
      </c>
      <c r="W154">
        <v>0.53</v>
      </c>
      <c r="X154">
        <v>5.25</v>
      </c>
      <c r="Y154">
        <v>9.08</v>
      </c>
      <c r="Z154">
        <v>6.39</v>
      </c>
      <c r="AA154">
        <v>39.26</v>
      </c>
      <c r="AB154">
        <v>14</v>
      </c>
      <c r="AC154">
        <v>0.91</v>
      </c>
      <c r="AD154">
        <v>6.39</v>
      </c>
      <c r="AE154">
        <v>12.5</v>
      </c>
      <c r="AF154" t="s">
        <v>282</v>
      </c>
      <c r="AG154">
        <v>74.069999999999993</v>
      </c>
      <c r="AH154">
        <v>0</v>
      </c>
      <c r="AI154">
        <v>16.43</v>
      </c>
      <c r="AJ154">
        <v>0</v>
      </c>
      <c r="AK154">
        <v>0</v>
      </c>
      <c r="AL154">
        <v>5.48</v>
      </c>
      <c r="AM154">
        <v>0</v>
      </c>
      <c r="AN154" t="s">
        <v>85</v>
      </c>
      <c r="AO154">
        <v>53.85</v>
      </c>
      <c r="AP154">
        <v>5.88</v>
      </c>
      <c r="AQ154">
        <v>82.61</v>
      </c>
      <c r="AR154">
        <v>0.88500000000000001</v>
      </c>
    </row>
    <row r="155" spans="1:44" x14ac:dyDescent="0.35">
      <c r="A155">
        <v>11</v>
      </c>
      <c r="B155" t="s">
        <v>48</v>
      </c>
      <c r="C155">
        <v>10</v>
      </c>
      <c r="D155" t="s">
        <v>283</v>
      </c>
      <c r="E155">
        <v>3</v>
      </c>
      <c r="F155">
        <v>5</v>
      </c>
      <c r="G155">
        <v>2</v>
      </c>
      <c r="H155">
        <v>3</v>
      </c>
      <c r="I155">
        <v>8</v>
      </c>
      <c r="J155">
        <v>0.4</v>
      </c>
      <c r="K155">
        <v>11.45</v>
      </c>
      <c r="L155">
        <v>95.44</v>
      </c>
      <c r="M155">
        <v>10.71</v>
      </c>
      <c r="N155">
        <v>7.64</v>
      </c>
      <c r="O155">
        <v>78.900000000000006</v>
      </c>
      <c r="P155">
        <v>8.82</v>
      </c>
      <c r="Q155">
        <v>6.36</v>
      </c>
      <c r="R155">
        <v>58.54</v>
      </c>
      <c r="S155">
        <v>9.8000000000000007</v>
      </c>
      <c r="T155">
        <v>0</v>
      </c>
      <c r="U155">
        <v>12.73</v>
      </c>
      <c r="V155">
        <v>0</v>
      </c>
      <c r="W155">
        <v>0.17</v>
      </c>
      <c r="X155">
        <v>7.02</v>
      </c>
      <c r="Y155">
        <v>2.39</v>
      </c>
      <c r="Z155">
        <v>2.5499999999999998</v>
      </c>
      <c r="AA155">
        <v>47.08</v>
      </c>
      <c r="AB155">
        <v>5.13</v>
      </c>
      <c r="AC155">
        <v>0</v>
      </c>
      <c r="AD155">
        <v>10.18</v>
      </c>
      <c r="AE155">
        <v>0</v>
      </c>
      <c r="AF155" t="s">
        <v>85</v>
      </c>
      <c r="AG155">
        <v>68</v>
      </c>
      <c r="AH155">
        <v>0</v>
      </c>
      <c r="AI155">
        <v>20.36</v>
      </c>
      <c r="AJ155">
        <v>0</v>
      </c>
      <c r="AK155">
        <v>0</v>
      </c>
      <c r="AL155">
        <v>8.91</v>
      </c>
      <c r="AM155">
        <v>0</v>
      </c>
      <c r="AN155" t="s">
        <v>85</v>
      </c>
      <c r="AO155">
        <v>50</v>
      </c>
      <c r="AP155">
        <v>0</v>
      </c>
      <c r="AQ155">
        <v>78.260000000000005</v>
      </c>
      <c r="AR155">
        <v>0.78300000000000003</v>
      </c>
    </row>
    <row r="156" spans="1:44" x14ac:dyDescent="0.35">
      <c r="A156">
        <v>12</v>
      </c>
      <c r="B156" t="s">
        <v>49</v>
      </c>
      <c r="C156">
        <v>10</v>
      </c>
      <c r="D156" t="s">
        <v>284</v>
      </c>
      <c r="E156">
        <v>6</v>
      </c>
      <c r="F156">
        <v>4</v>
      </c>
      <c r="G156">
        <v>0</v>
      </c>
      <c r="H156">
        <v>6</v>
      </c>
      <c r="I156">
        <v>12</v>
      </c>
      <c r="J156">
        <v>0.6</v>
      </c>
      <c r="K156">
        <v>17.649999999999999</v>
      </c>
      <c r="L156">
        <v>112.14</v>
      </c>
      <c r="M156">
        <v>13.6</v>
      </c>
      <c r="N156">
        <v>15.58</v>
      </c>
      <c r="O156">
        <v>82.03</v>
      </c>
      <c r="P156">
        <v>15.96</v>
      </c>
      <c r="Q156">
        <v>13.5</v>
      </c>
      <c r="R156">
        <v>63.34</v>
      </c>
      <c r="S156">
        <v>17.57</v>
      </c>
      <c r="T156">
        <v>0</v>
      </c>
      <c r="U156">
        <v>11.42</v>
      </c>
      <c r="V156">
        <v>0</v>
      </c>
      <c r="W156">
        <v>1.51</v>
      </c>
      <c r="X156">
        <v>7.92</v>
      </c>
      <c r="Y156">
        <v>16</v>
      </c>
      <c r="Z156">
        <v>7.27</v>
      </c>
      <c r="AA156">
        <v>60.22</v>
      </c>
      <c r="AB156">
        <v>10.77</v>
      </c>
      <c r="AC156">
        <v>0</v>
      </c>
      <c r="AD156">
        <v>9.35</v>
      </c>
      <c r="AE156">
        <v>0</v>
      </c>
      <c r="AF156" t="s">
        <v>219</v>
      </c>
      <c r="AG156">
        <v>75</v>
      </c>
      <c r="AH156">
        <v>4.1500000000000004</v>
      </c>
      <c r="AI156">
        <v>22.84</v>
      </c>
      <c r="AJ156">
        <v>15.38</v>
      </c>
      <c r="AK156">
        <v>0</v>
      </c>
      <c r="AL156">
        <v>4.1500000000000004</v>
      </c>
      <c r="AM156">
        <v>0</v>
      </c>
      <c r="AN156" t="s">
        <v>219</v>
      </c>
      <c r="AO156">
        <v>73.33</v>
      </c>
      <c r="AP156">
        <v>0</v>
      </c>
      <c r="AQ156">
        <v>81.97</v>
      </c>
      <c r="AR156">
        <v>0.82</v>
      </c>
    </row>
    <row r="157" spans="1:44" x14ac:dyDescent="0.35">
      <c r="A157">
        <v>13</v>
      </c>
      <c r="B157" t="s">
        <v>50</v>
      </c>
      <c r="C157">
        <v>10</v>
      </c>
      <c r="D157" t="s">
        <v>285</v>
      </c>
      <c r="E157">
        <v>5</v>
      </c>
      <c r="F157">
        <v>3</v>
      </c>
      <c r="G157">
        <v>2</v>
      </c>
      <c r="H157">
        <v>5</v>
      </c>
      <c r="I157">
        <v>12</v>
      </c>
      <c r="J157">
        <v>0.6</v>
      </c>
      <c r="K157">
        <v>18.399999999999999</v>
      </c>
      <c r="L157">
        <v>95.35</v>
      </c>
      <c r="M157">
        <v>16.18</v>
      </c>
      <c r="N157">
        <v>15.06</v>
      </c>
      <c r="O157">
        <v>78.62</v>
      </c>
      <c r="P157">
        <v>16.07</v>
      </c>
      <c r="Q157">
        <v>11.71</v>
      </c>
      <c r="R157">
        <v>61.9</v>
      </c>
      <c r="S157">
        <v>15.91</v>
      </c>
      <c r="T157">
        <v>0</v>
      </c>
      <c r="U157">
        <v>11.71</v>
      </c>
      <c r="V157">
        <v>0</v>
      </c>
      <c r="W157">
        <v>1.04</v>
      </c>
      <c r="X157">
        <v>6.78</v>
      </c>
      <c r="Y157">
        <v>13.33</v>
      </c>
      <c r="Z157">
        <v>13.38</v>
      </c>
      <c r="AA157">
        <v>41.82</v>
      </c>
      <c r="AB157">
        <v>24.24</v>
      </c>
      <c r="AC157">
        <v>0</v>
      </c>
      <c r="AD157">
        <v>6.69</v>
      </c>
      <c r="AE157">
        <v>0</v>
      </c>
      <c r="AF157" t="s">
        <v>219</v>
      </c>
      <c r="AG157">
        <v>80</v>
      </c>
      <c r="AH157">
        <v>5.0199999999999996</v>
      </c>
      <c r="AI157">
        <v>18.399999999999999</v>
      </c>
      <c r="AJ157">
        <v>21.43</v>
      </c>
      <c r="AK157">
        <v>0</v>
      </c>
      <c r="AL157">
        <v>5.0199999999999996</v>
      </c>
      <c r="AM157">
        <v>0</v>
      </c>
      <c r="AN157" t="s">
        <v>219</v>
      </c>
      <c r="AO157">
        <v>66.67</v>
      </c>
      <c r="AP157">
        <v>0</v>
      </c>
      <c r="AQ157">
        <v>81.08</v>
      </c>
      <c r="AR157">
        <v>0.81100000000000005</v>
      </c>
    </row>
    <row r="158" spans="1:44" x14ac:dyDescent="0.35">
      <c r="A158">
        <v>14</v>
      </c>
      <c r="B158" t="s">
        <v>51</v>
      </c>
      <c r="C158">
        <v>10</v>
      </c>
      <c r="D158" t="s">
        <v>254</v>
      </c>
      <c r="E158">
        <v>4</v>
      </c>
      <c r="F158">
        <v>3</v>
      </c>
      <c r="G158">
        <v>3</v>
      </c>
      <c r="H158">
        <v>4</v>
      </c>
      <c r="I158">
        <v>11</v>
      </c>
      <c r="J158">
        <v>0.55000000000000004</v>
      </c>
      <c r="K158">
        <v>9.3699999999999992</v>
      </c>
      <c r="L158">
        <v>107.06</v>
      </c>
      <c r="M158">
        <v>8.0500000000000007</v>
      </c>
      <c r="N158">
        <v>8.0299999999999994</v>
      </c>
      <c r="O158">
        <v>81.64</v>
      </c>
      <c r="P158">
        <v>8.9600000000000009</v>
      </c>
      <c r="Q158">
        <v>6.69</v>
      </c>
      <c r="R158">
        <v>53.53</v>
      </c>
      <c r="S158">
        <v>11.11</v>
      </c>
      <c r="T158">
        <v>0</v>
      </c>
      <c r="U158">
        <v>10.71</v>
      </c>
      <c r="V158">
        <v>0</v>
      </c>
      <c r="W158">
        <v>0.44</v>
      </c>
      <c r="X158">
        <v>6.32</v>
      </c>
      <c r="Y158">
        <v>6.48</v>
      </c>
      <c r="Z158">
        <v>4.01</v>
      </c>
      <c r="AA158">
        <v>49.52</v>
      </c>
      <c r="AB158">
        <v>7.5</v>
      </c>
      <c r="AC158">
        <v>0</v>
      </c>
      <c r="AD158">
        <v>6.69</v>
      </c>
      <c r="AE158">
        <v>0</v>
      </c>
      <c r="AF158" t="s">
        <v>219</v>
      </c>
      <c r="AG158">
        <v>79.17</v>
      </c>
      <c r="AH158">
        <v>2.68</v>
      </c>
      <c r="AI158">
        <v>20.07</v>
      </c>
      <c r="AJ158">
        <v>11.76</v>
      </c>
      <c r="AK158">
        <v>0</v>
      </c>
      <c r="AL158">
        <v>2.68</v>
      </c>
      <c r="AM158">
        <v>0</v>
      </c>
      <c r="AN158" t="s">
        <v>219</v>
      </c>
      <c r="AO158">
        <v>83.33</v>
      </c>
      <c r="AP158">
        <v>0</v>
      </c>
      <c r="AQ158">
        <v>80</v>
      </c>
      <c r="AR158">
        <v>0.8</v>
      </c>
    </row>
    <row r="159" spans="1:44" x14ac:dyDescent="0.35">
      <c r="A159">
        <v>15</v>
      </c>
      <c r="B159" t="s">
        <v>52</v>
      </c>
      <c r="C159">
        <v>8</v>
      </c>
      <c r="D159" t="s">
        <v>286</v>
      </c>
      <c r="E159">
        <v>5</v>
      </c>
      <c r="F159">
        <v>3</v>
      </c>
      <c r="G159">
        <v>0</v>
      </c>
      <c r="H159">
        <v>5</v>
      </c>
      <c r="I159">
        <v>10</v>
      </c>
      <c r="J159">
        <v>0.625</v>
      </c>
      <c r="K159">
        <v>15.82</v>
      </c>
      <c r="L159">
        <v>89.98</v>
      </c>
      <c r="M159">
        <v>14.95</v>
      </c>
      <c r="N159">
        <v>15.82</v>
      </c>
      <c r="O159">
        <v>61.3</v>
      </c>
      <c r="P159">
        <v>20.51</v>
      </c>
      <c r="Q159">
        <v>12.85</v>
      </c>
      <c r="R159">
        <v>48.45</v>
      </c>
      <c r="S159">
        <v>20.97</v>
      </c>
      <c r="T159">
        <v>0</v>
      </c>
      <c r="U159">
        <v>6.92</v>
      </c>
      <c r="V159">
        <v>0</v>
      </c>
      <c r="W159">
        <v>0.51</v>
      </c>
      <c r="X159">
        <v>4.91</v>
      </c>
      <c r="Y159">
        <v>9.48</v>
      </c>
      <c r="Z159">
        <v>3.95</v>
      </c>
      <c r="AA159">
        <v>35.590000000000003</v>
      </c>
      <c r="AB159">
        <v>10</v>
      </c>
      <c r="AC159">
        <v>0</v>
      </c>
      <c r="AD159">
        <v>5.93</v>
      </c>
      <c r="AE159">
        <v>0</v>
      </c>
      <c r="AF159" t="s">
        <v>219</v>
      </c>
      <c r="AG159">
        <v>73.91</v>
      </c>
      <c r="AH159">
        <v>0.99</v>
      </c>
      <c r="AI159">
        <v>15.82</v>
      </c>
      <c r="AJ159">
        <v>5.88</v>
      </c>
      <c r="AK159">
        <v>0</v>
      </c>
      <c r="AL159">
        <v>1.98</v>
      </c>
      <c r="AM159">
        <v>0</v>
      </c>
      <c r="AN159" t="s">
        <v>219</v>
      </c>
      <c r="AO159">
        <v>84.62</v>
      </c>
      <c r="AP159">
        <v>0</v>
      </c>
      <c r="AQ159">
        <v>85.71</v>
      </c>
      <c r="AR159">
        <v>0.85699999999999998</v>
      </c>
    </row>
    <row r="160" spans="1:44" x14ac:dyDescent="0.35">
      <c r="A160">
        <v>16</v>
      </c>
      <c r="B160" t="s">
        <v>53</v>
      </c>
      <c r="C160">
        <v>10</v>
      </c>
      <c r="D160" t="s">
        <v>265</v>
      </c>
      <c r="E160">
        <v>4</v>
      </c>
      <c r="F160">
        <v>5</v>
      </c>
      <c r="G160">
        <v>1</v>
      </c>
      <c r="H160">
        <v>4</v>
      </c>
      <c r="I160">
        <v>9</v>
      </c>
      <c r="J160">
        <v>0.45</v>
      </c>
      <c r="K160">
        <v>30.14</v>
      </c>
      <c r="L160">
        <v>85.6</v>
      </c>
      <c r="M160">
        <v>26.04</v>
      </c>
      <c r="N160">
        <v>26.52</v>
      </c>
      <c r="O160">
        <v>73.540000000000006</v>
      </c>
      <c r="P160">
        <v>26.51</v>
      </c>
      <c r="Q160">
        <v>22.91</v>
      </c>
      <c r="R160">
        <v>57.87</v>
      </c>
      <c r="S160">
        <v>28.36</v>
      </c>
      <c r="T160">
        <v>2.41</v>
      </c>
      <c r="U160">
        <v>9.65</v>
      </c>
      <c r="V160">
        <v>20</v>
      </c>
      <c r="W160">
        <v>1.1100000000000001</v>
      </c>
      <c r="X160">
        <v>5.47</v>
      </c>
      <c r="Y160">
        <v>16.920000000000002</v>
      </c>
      <c r="Z160">
        <v>14.47</v>
      </c>
      <c r="AA160">
        <v>43.4</v>
      </c>
      <c r="AB160">
        <v>25</v>
      </c>
      <c r="AC160">
        <v>1.21</v>
      </c>
      <c r="AD160">
        <v>6.03</v>
      </c>
      <c r="AE160">
        <v>16.670000000000002</v>
      </c>
      <c r="AF160" t="s">
        <v>277</v>
      </c>
      <c r="AG160">
        <v>82.14</v>
      </c>
      <c r="AH160">
        <v>4.82</v>
      </c>
      <c r="AI160">
        <v>18.079999999999998</v>
      </c>
      <c r="AJ160">
        <v>21.05</v>
      </c>
      <c r="AK160">
        <v>1.21</v>
      </c>
      <c r="AL160">
        <v>2.41</v>
      </c>
      <c r="AM160">
        <v>33.33</v>
      </c>
      <c r="AN160" t="s">
        <v>230</v>
      </c>
      <c r="AO160">
        <v>85.71</v>
      </c>
      <c r="AP160">
        <v>10.53</v>
      </c>
      <c r="AQ160">
        <v>83.33</v>
      </c>
      <c r="AR160">
        <v>0.93899999999999995</v>
      </c>
    </row>
    <row r="161" spans="1:44" x14ac:dyDescent="0.35">
      <c r="A161">
        <v>17</v>
      </c>
      <c r="B161" t="s">
        <v>54</v>
      </c>
      <c r="C161">
        <v>10</v>
      </c>
      <c r="D161" t="s">
        <v>240</v>
      </c>
      <c r="E161">
        <v>1</v>
      </c>
      <c r="F161">
        <v>9</v>
      </c>
      <c r="G161">
        <v>0</v>
      </c>
      <c r="H161">
        <v>1</v>
      </c>
      <c r="I161">
        <v>2</v>
      </c>
      <c r="J161">
        <v>0.1</v>
      </c>
      <c r="K161">
        <v>5.44</v>
      </c>
      <c r="L161">
        <v>73.41</v>
      </c>
      <c r="M161">
        <v>6.9</v>
      </c>
      <c r="N161">
        <v>5.44</v>
      </c>
      <c r="O161">
        <v>65.260000000000005</v>
      </c>
      <c r="P161">
        <v>7.69</v>
      </c>
      <c r="Q161">
        <v>2.72</v>
      </c>
      <c r="R161">
        <v>43.5</v>
      </c>
      <c r="S161">
        <v>5.88</v>
      </c>
      <c r="T161">
        <v>0</v>
      </c>
      <c r="U161">
        <v>8.16</v>
      </c>
      <c r="V161">
        <v>0</v>
      </c>
      <c r="W161">
        <v>0.3</v>
      </c>
      <c r="X161">
        <v>6.24</v>
      </c>
      <c r="Y161">
        <v>4.6399999999999997</v>
      </c>
      <c r="Z161">
        <v>4.08</v>
      </c>
      <c r="AA161">
        <v>36.71</v>
      </c>
      <c r="AB161">
        <v>10</v>
      </c>
      <c r="AC161">
        <v>0</v>
      </c>
      <c r="AD161">
        <v>6.8</v>
      </c>
      <c r="AE161">
        <v>0</v>
      </c>
      <c r="AF161" t="s">
        <v>219</v>
      </c>
      <c r="AG161">
        <v>68.75</v>
      </c>
      <c r="AH161">
        <v>1.36</v>
      </c>
      <c r="AI161">
        <v>14.95</v>
      </c>
      <c r="AJ161">
        <v>8.33</v>
      </c>
      <c r="AK161">
        <v>0</v>
      </c>
      <c r="AL161">
        <v>5.44</v>
      </c>
      <c r="AM161">
        <v>0</v>
      </c>
      <c r="AN161" t="s">
        <v>85</v>
      </c>
      <c r="AO161">
        <v>63.64</v>
      </c>
      <c r="AP161">
        <v>0</v>
      </c>
      <c r="AQ161">
        <v>81.25</v>
      </c>
      <c r="AR161">
        <v>0.81299999999999994</v>
      </c>
    </row>
    <row r="162" spans="1:44" x14ac:dyDescent="0.35">
      <c r="A162">
        <v>18</v>
      </c>
      <c r="B162" t="s">
        <v>55</v>
      </c>
      <c r="C162">
        <v>10</v>
      </c>
      <c r="D162" t="s">
        <v>287</v>
      </c>
      <c r="E162">
        <v>4</v>
      </c>
      <c r="F162">
        <v>6</v>
      </c>
      <c r="G162">
        <v>0</v>
      </c>
      <c r="H162">
        <v>3</v>
      </c>
      <c r="I162">
        <v>8</v>
      </c>
      <c r="J162">
        <v>0.4</v>
      </c>
      <c r="K162">
        <v>11.7</v>
      </c>
      <c r="L162">
        <v>90.02</v>
      </c>
      <c r="M162">
        <v>11.5</v>
      </c>
      <c r="N162">
        <v>10.8</v>
      </c>
      <c r="O162">
        <v>62.12</v>
      </c>
      <c r="P162">
        <v>14.81</v>
      </c>
      <c r="Q162">
        <v>9</v>
      </c>
      <c r="R162">
        <v>47.71</v>
      </c>
      <c r="S162">
        <v>15.87</v>
      </c>
      <c r="T162">
        <v>0.9</v>
      </c>
      <c r="U162">
        <v>8.1</v>
      </c>
      <c r="V162">
        <v>10</v>
      </c>
      <c r="W162">
        <v>0.64</v>
      </c>
      <c r="X162">
        <v>5.01</v>
      </c>
      <c r="Y162">
        <v>11.38</v>
      </c>
      <c r="Z162">
        <v>7.2</v>
      </c>
      <c r="AA162">
        <v>41.41</v>
      </c>
      <c r="AB162">
        <v>14.81</v>
      </c>
      <c r="AC162">
        <v>0.9</v>
      </c>
      <c r="AD162">
        <v>7.2</v>
      </c>
      <c r="AE162">
        <v>11.11</v>
      </c>
      <c r="AF162" t="s">
        <v>288</v>
      </c>
      <c r="AG162">
        <v>72.41</v>
      </c>
      <c r="AH162">
        <v>4.5</v>
      </c>
      <c r="AI162">
        <v>16.2</v>
      </c>
      <c r="AJ162">
        <v>21.74</v>
      </c>
      <c r="AK162">
        <v>0.9</v>
      </c>
      <c r="AL162">
        <v>4.5</v>
      </c>
      <c r="AM162">
        <v>16.670000000000002</v>
      </c>
      <c r="AN162" t="s">
        <v>281</v>
      </c>
      <c r="AO162">
        <v>64.290000000000006</v>
      </c>
      <c r="AP162">
        <v>10</v>
      </c>
      <c r="AQ162">
        <v>83.02</v>
      </c>
      <c r="AR162">
        <v>0.93</v>
      </c>
    </row>
    <row r="163" spans="1:44" x14ac:dyDescent="0.35">
      <c r="A163">
        <v>19</v>
      </c>
      <c r="B163" t="s">
        <v>56</v>
      </c>
      <c r="C163">
        <v>10</v>
      </c>
      <c r="D163" t="s">
        <v>289</v>
      </c>
      <c r="E163">
        <v>8</v>
      </c>
      <c r="F163">
        <v>0</v>
      </c>
      <c r="G163">
        <v>2</v>
      </c>
      <c r="H163">
        <v>8</v>
      </c>
      <c r="I163">
        <v>18</v>
      </c>
      <c r="J163">
        <v>0.9</v>
      </c>
      <c r="K163">
        <v>26.3</v>
      </c>
      <c r="L163">
        <v>77.040000000000006</v>
      </c>
      <c r="M163">
        <v>25.45</v>
      </c>
      <c r="N163">
        <v>26.3</v>
      </c>
      <c r="O163">
        <v>62</v>
      </c>
      <c r="P163">
        <v>29.79</v>
      </c>
      <c r="Q163">
        <v>20.67</v>
      </c>
      <c r="R163">
        <v>46.97</v>
      </c>
      <c r="S163">
        <v>30.56</v>
      </c>
      <c r="T163">
        <v>3.76</v>
      </c>
      <c r="U163">
        <v>3.76</v>
      </c>
      <c r="V163">
        <v>50</v>
      </c>
      <c r="W163">
        <v>2.2200000000000002</v>
      </c>
      <c r="X163">
        <v>5.71</v>
      </c>
      <c r="Y163">
        <v>27.94</v>
      </c>
      <c r="Z163">
        <v>16.91</v>
      </c>
      <c r="AA163">
        <v>48.85</v>
      </c>
      <c r="AB163">
        <v>25.71</v>
      </c>
      <c r="AC163">
        <v>3.76</v>
      </c>
      <c r="AD163">
        <v>3.76</v>
      </c>
      <c r="AE163">
        <v>50</v>
      </c>
      <c r="AF163" t="s">
        <v>281</v>
      </c>
      <c r="AG163">
        <v>87.5</v>
      </c>
      <c r="AH163">
        <v>16.91</v>
      </c>
      <c r="AI163">
        <v>20.67</v>
      </c>
      <c r="AJ163">
        <v>45</v>
      </c>
      <c r="AK163">
        <v>3.76</v>
      </c>
      <c r="AL163">
        <v>0</v>
      </c>
      <c r="AM163">
        <v>100</v>
      </c>
      <c r="AN163" t="s">
        <v>281</v>
      </c>
      <c r="AO163">
        <v>100</v>
      </c>
      <c r="AP163">
        <v>18.18</v>
      </c>
      <c r="AQ163">
        <v>92</v>
      </c>
      <c r="AR163">
        <v>1.1020000000000001</v>
      </c>
    </row>
    <row r="164" spans="1:44" x14ac:dyDescent="0.35">
      <c r="A164">
        <v>20</v>
      </c>
      <c r="B164" t="s">
        <v>57</v>
      </c>
      <c r="C164">
        <v>10</v>
      </c>
      <c r="D164" t="s">
        <v>252</v>
      </c>
      <c r="E164">
        <v>4</v>
      </c>
      <c r="F164">
        <v>4</v>
      </c>
      <c r="G164">
        <v>2</v>
      </c>
      <c r="H164">
        <v>4</v>
      </c>
      <c r="I164">
        <v>10</v>
      </c>
      <c r="J164">
        <v>0.5</v>
      </c>
      <c r="K164">
        <v>17.64</v>
      </c>
      <c r="L164">
        <v>84.9</v>
      </c>
      <c r="M164">
        <v>17.2</v>
      </c>
      <c r="N164">
        <v>16.54</v>
      </c>
      <c r="O164">
        <v>68.36</v>
      </c>
      <c r="P164">
        <v>19.48</v>
      </c>
      <c r="Q164">
        <v>15.44</v>
      </c>
      <c r="R164">
        <v>39.69</v>
      </c>
      <c r="S164">
        <v>28</v>
      </c>
      <c r="T164">
        <v>1.1000000000000001</v>
      </c>
      <c r="U164">
        <v>1.1000000000000001</v>
      </c>
      <c r="V164">
        <v>50</v>
      </c>
      <c r="W164">
        <v>1.45</v>
      </c>
      <c r="X164">
        <v>6.25</v>
      </c>
      <c r="Y164">
        <v>18.79</v>
      </c>
      <c r="Z164">
        <v>11.03</v>
      </c>
      <c r="AA164">
        <v>48.51</v>
      </c>
      <c r="AB164">
        <v>18.52</v>
      </c>
      <c r="AC164">
        <v>1.1000000000000001</v>
      </c>
      <c r="AD164">
        <v>1.1000000000000001</v>
      </c>
      <c r="AE164">
        <v>50</v>
      </c>
      <c r="AF164" t="s">
        <v>277</v>
      </c>
      <c r="AG164">
        <v>95</v>
      </c>
      <c r="AH164">
        <v>7.72</v>
      </c>
      <c r="AI164">
        <v>19.850000000000001</v>
      </c>
      <c r="AJ164">
        <v>28</v>
      </c>
      <c r="AK164">
        <v>1.1000000000000001</v>
      </c>
      <c r="AL164">
        <v>0</v>
      </c>
      <c r="AM164">
        <v>100</v>
      </c>
      <c r="AN164" t="s">
        <v>288</v>
      </c>
      <c r="AO164">
        <v>100</v>
      </c>
      <c r="AP164">
        <v>7.14</v>
      </c>
      <c r="AQ164">
        <v>97.22</v>
      </c>
      <c r="AR164">
        <v>1.044</v>
      </c>
    </row>
    <row r="165" spans="1:44" x14ac:dyDescent="0.35">
      <c r="A165">
        <v>21</v>
      </c>
      <c r="B165" t="s">
        <v>58</v>
      </c>
      <c r="C165">
        <v>10</v>
      </c>
      <c r="D165" t="s">
        <v>290</v>
      </c>
      <c r="E165">
        <v>4</v>
      </c>
      <c r="F165">
        <v>5</v>
      </c>
      <c r="G165">
        <v>1</v>
      </c>
      <c r="H165">
        <v>3</v>
      </c>
      <c r="I165">
        <v>9</v>
      </c>
      <c r="J165">
        <v>0.45</v>
      </c>
      <c r="K165">
        <v>18.420000000000002</v>
      </c>
      <c r="L165">
        <v>76.94</v>
      </c>
      <c r="M165">
        <v>19.32</v>
      </c>
      <c r="N165">
        <v>17.34</v>
      </c>
      <c r="O165">
        <v>60.69</v>
      </c>
      <c r="P165">
        <v>22.22</v>
      </c>
      <c r="Q165">
        <v>13</v>
      </c>
      <c r="R165">
        <v>41.18</v>
      </c>
      <c r="S165">
        <v>24</v>
      </c>
      <c r="T165">
        <v>0</v>
      </c>
      <c r="U165">
        <v>4.33</v>
      </c>
      <c r="V165">
        <v>0</v>
      </c>
      <c r="W165">
        <v>1.08</v>
      </c>
      <c r="X165">
        <v>4.9400000000000004</v>
      </c>
      <c r="Y165">
        <v>17.91</v>
      </c>
      <c r="Z165">
        <v>8.67</v>
      </c>
      <c r="AA165">
        <v>44.43</v>
      </c>
      <c r="AB165">
        <v>16.329999999999998</v>
      </c>
      <c r="AC165">
        <v>0</v>
      </c>
      <c r="AD165">
        <v>3.25</v>
      </c>
      <c r="AE165">
        <v>0</v>
      </c>
      <c r="AF165" t="s">
        <v>219</v>
      </c>
      <c r="AG165">
        <v>86.96</v>
      </c>
      <c r="AH165">
        <v>4.33</v>
      </c>
      <c r="AI165">
        <v>15.17</v>
      </c>
      <c r="AJ165">
        <v>22.22</v>
      </c>
      <c r="AK165">
        <v>0</v>
      </c>
      <c r="AL165">
        <v>1.08</v>
      </c>
      <c r="AM165">
        <v>0</v>
      </c>
      <c r="AN165" t="s">
        <v>219</v>
      </c>
      <c r="AO165">
        <v>87.5</v>
      </c>
      <c r="AP165">
        <v>0</v>
      </c>
      <c r="AQ165">
        <v>89.47</v>
      </c>
      <c r="AR165">
        <v>0.89500000000000002</v>
      </c>
    </row>
    <row r="166" spans="1:44" x14ac:dyDescent="0.35">
      <c r="A166">
        <v>22</v>
      </c>
      <c r="B166" t="s">
        <v>59</v>
      </c>
      <c r="C166">
        <v>10</v>
      </c>
      <c r="D166" t="s">
        <v>358</v>
      </c>
      <c r="E166">
        <v>5</v>
      </c>
      <c r="F166">
        <v>3</v>
      </c>
      <c r="G166">
        <v>2</v>
      </c>
      <c r="H166">
        <v>5</v>
      </c>
      <c r="I166">
        <v>12</v>
      </c>
      <c r="J166">
        <v>0.6</v>
      </c>
      <c r="K166">
        <v>18.32</v>
      </c>
      <c r="L166">
        <v>103.82</v>
      </c>
      <c r="M166">
        <v>15</v>
      </c>
      <c r="N166">
        <v>16.28</v>
      </c>
      <c r="O166">
        <v>83.46</v>
      </c>
      <c r="P166">
        <v>16.329999999999998</v>
      </c>
      <c r="Q166">
        <v>13.23</v>
      </c>
      <c r="R166">
        <v>62.09</v>
      </c>
      <c r="S166">
        <v>17.57</v>
      </c>
      <c r="T166">
        <v>0</v>
      </c>
      <c r="U166">
        <v>10.18</v>
      </c>
      <c r="V166">
        <v>0</v>
      </c>
      <c r="W166">
        <v>0.71</v>
      </c>
      <c r="X166">
        <v>7.23</v>
      </c>
      <c r="Y166">
        <v>8.9700000000000006</v>
      </c>
      <c r="Z166">
        <v>7.12</v>
      </c>
      <c r="AA166">
        <v>47.84</v>
      </c>
      <c r="AB166">
        <v>12.96</v>
      </c>
      <c r="AC166">
        <v>0</v>
      </c>
      <c r="AD166">
        <v>8.14</v>
      </c>
      <c r="AE166">
        <v>0</v>
      </c>
      <c r="AF166" t="s">
        <v>219</v>
      </c>
      <c r="AG166">
        <v>73.33</v>
      </c>
      <c r="AH166">
        <v>3.05</v>
      </c>
      <c r="AI166">
        <v>21.37</v>
      </c>
      <c r="AJ166">
        <v>12.5</v>
      </c>
      <c r="AK166">
        <v>0</v>
      </c>
      <c r="AL166">
        <v>5.09</v>
      </c>
      <c r="AM166">
        <v>0</v>
      </c>
      <c r="AN166" t="s">
        <v>219</v>
      </c>
      <c r="AO166">
        <v>66.67</v>
      </c>
      <c r="AP166">
        <v>0</v>
      </c>
      <c r="AQ166">
        <v>83.61</v>
      </c>
      <c r="AR166">
        <v>0.83599999999999997</v>
      </c>
    </row>
    <row r="167" spans="1:44" x14ac:dyDescent="0.35">
      <c r="A167">
        <v>23</v>
      </c>
      <c r="B167" t="s">
        <v>60</v>
      </c>
      <c r="C167">
        <v>10</v>
      </c>
      <c r="D167" t="s">
        <v>264</v>
      </c>
      <c r="E167">
        <v>8</v>
      </c>
      <c r="F167">
        <v>2</v>
      </c>
      <c r="G167">
        <v>0</v>
      </c>
      <c r="H167">
        <v>7</v>
      </c>
      <c r="I167">
        <v>16</v>
      </c>
      <c r="J167">
        <v>0.8</v>
      </c>
      <c r="K167">
        <v>12.61</v>
      </c>
      <c r="L167">
        <v>106.62</v>
      </c>
      <c r="M167">
        <v>10.58</v>
      </c>
      <c r="N167">
        <v>6.88</v>
      </c>
      <c r="O167">
        <v>83.69</v>
      </c>
      <c r="P167">
        <v>7.59</v>
      </c>
      <c r="Q167">
        <v>6.88</v>
      </c>
      <c r="R167">
        <v>66.5</v>
      </c>
      <c r="S167">
        <v>9.3800000000000008</v>
      </c>
      <c r="T167">
        <v>0</v>
      </c>
      <c r="U167">
        <v>5.73</v>
      </c>
      <c r="V167">
        <v>0</v>
      </c>
      <c r="W167">
        <v>0.24</v>
      </c>
      <c r="X167">
        <v>7.51</v>
      </c>
      <c r="Y167">
        <v>3.05</v>
      </c>
      <c r="Z167">
        <v>4.59</v>
      </c>
      <c r="AA167">
        <v>45.86</v>
      </c>
      <c r="AB167">
        <v>9.09</v>
      </c>
      <c r="AC167">
        <v>0</v>
      </c>
      <c r="AD167">
        <v>3.44</v>
      </c>
      <c r="AE167">
        <v>0</v>
      </c>
      <c r="AF167" t="s">
        <v>219</v>
      </c>
      <c r="AG167">
        <v>89.66</v>
      </c>
      <c r="AH167">
        <v>2.29</v>
      </c>
      <c r="AI167">
        <v>22.93</v>
      </c>
      <c r="AJ167">
        <v>9.09</v>
      </c>
      <c r="AK167">
        <v>0</v>
      </c>
      <c r="AL167">
        <v>2.29</v>
      </c>
      <c r="AM167">
        <v>0</v>
      </c>
      <c r="AN167" t="s">
        <v>219</v>
      </c>
      <c r="AO167">
        <v>88.89</v>
      </c>
      <c r="AP167">
        <v>0</v>
      </c>
      <c r="AQ167">
        <v>91.38</v>
      </c>
      <c r="AR167">
        <v>0.91400000000000003</v>
      </c>
    </row>
    <row r="168" spans="1:44" x14ac:dyDescent="0.35">
      <c r="A168">
        <v>24</v>
      </c>
      <c r="B168" t="s">
        <v>61</v>
      </c>
      <c r="C168">
        <v>8</v>
      </c>
      <c r="D168" t="s">
        <v>257</v>
      </c>
      <c r="E168">
        <v>2</v>
      </c>
      <c r="F168">
        <v>5</v>
      </c>
      <c r="G168">
        <v>1</v>
      </c>
      <c r="H168">
        <v>2</v>
      </c>
      <c r="I168">
        <v>5</v>
      </c>
      <c r="J168">
        <v>0.313</v>
      </c>
      <c r="K168">
        <v>22.93</v>
      </c>
      <c r="L168">
        <v>102.51</v>
      </c>
      <c r="M168">
        <v>18.28</v>
      </c>
      <c r="N168">
        <v>16.190000000000001</v>
      </c>
      <c r="O168">
        <v>79.58</v>
      </c>
      <c r="P168">
        <v>16.899999999999999</v>
      </c>
      <c r="Q168">
        <v>9.44</v>
      </c>
      <c r="R168">
        <v>58</v>
      </c>
      <c r="S168">
        <v>14</v>
      </c>
      <c r="T168">
        <v>0</v>
      </c>
      <c r="U168">
        <v>8.09</v>
      </c>
      <c r="V168">
        <v>0</v>
      </c>
      <c r="W168">
        <v>0.69</v>
      </c>
      <c r="X168">
        <v>6.64</v>
      </c>
      <c r="Y168">
        <v>9.41</v>
      </c>
      <c r="Z168">
        <v>8.09</v>
      </c>
      <c r="AA168">
        <v>47.21</v>
      </c>
      <c r="AB168">
        <v>14.63</v>
      </c>
      <c r="AC168">
        <v>0</v>
      </c>
      <c r="AD168">
        <v>6.74</v>
      </c>
      <c r="AE168">
        <v>0</v>
      </c>
      <c r="AF168" t="s">
        <v>219</v>
      </c>
      <c r="AG168">
        <v>76.19</v>
      </c>
      <c r="AH168">
        <v>2.7</v>
      </c>
      <c r="AI168">
        <v>24.28</v>
      </c>
      <c r="AJ168">
        <v>10</v>
      </c>
      <c r="AK168">
        <v>0</v>
      </c>
      <c r="AL168">
        <v>6.74</v>
      </c>
      <c r="AM168">
        <v>0</v>
      </c>
      <c r="AN168" t="s">
        <v>85</v>
      </c>
      <c r="AO168">
        <v>66.67</v>
      </c>
      <c r="AP168">
        <v>0</v>
      </c>
      <c r="AQ168">
        <v>86.05</v>
      </c>
      <c r="AR168">
        <v>0.86</v>
      </c>
    </row>
    <row r="169" spans="1:44" x14ac:dyDescent="0.35">
      <c r="A169">
        <v>25</v>
      </c>
      <c r="B169" t="s">
        <v>62</v>
      </c>
      <c r="C169">
        <v>10</v>
      </c>
      <c r="D169" t="s">
        <v>291</v>
      </c>
      <c r="E169">
        <v>3</v>
      </c>
      <c r="F169">
        <v>6</v>
      </c>
      <c r="G169">
        <v>1</v>
      </c>
      <c r="H169">
        <v>3</v>
      </c>
      <c r="I169">
        <v>7</v>
      </c>
      <c r="J169">
        <v>0.35</v>
      </c>
      <c r="K169">
        <v>10.91</v>
      </c>
      <c r="L169">
        <v>99.58</v>
      </c>
      <c r="M169">
        <v>9.8800000000000008</v>
      </c>
      <c r="N169">
        <v>10.91</v>
      </c>
      <c r="O169">
        <v>69.569999999999993</v>
      </c>
      <c r="P169">
        <v>13.56</v>
      </c>
      <c r="Q169">
        <v>10.91</v>
      </c>
      <c r="R169">
        <v>54.57</v>
      </c>
      <c r="S169">
        <v>16.670000000000002</v>
      </c>
      <c r="T169">
        <v>0</v>
      </c>
      <c r="U169">
        <v>10.91</v>
      </c>
      <c r="V169">
        <v>0</v>
      </c>
      <c r="W169">
        <v>0.3</v>
      </c>
      <c r="X169">
        <v>7.86</v>
      </c>
      <c r="Y169">
        <v>3.65</v>
      </c>
      <c r="Z169">
        <v>1.36</v>
      </c>
      <c r="AA169">
        <v>46.38</v>
      </c>
      <c r="AB169">
        <v>2.86</v>
      </c>
      <c r="AC169">
        <v>0</v>
      </c>
      <c r="AD169">
        <v>10.91</v>
      </c>
      <c r="AE169">
        <v>0</v>
      </c>
      <c r="AF169" t="s">
        <v>219</v>
      </c>
      <c r="AG169">
        <v>63.64</v>
      </c>
      <c r="AH169">
        <v>0</v>
      </c>
      <c r="AI169">
        <v>25.92</v>
      </c>
      <c r="AJ169">
        <v>0</v>
      </c>
      <c r="AK169">
        <v>0</v>
      </c>
      <c r="AL169">
        <v>9.5500000000000007</v>
      </c>
      <c r="AM169">
        <v>0</v>
      </c>
      <c r="AN169" t="s">
        <v>85</v>
      </c>
      <c r="AO169">
        <v>46.15</v>
      </c>
      <c r="AP169">
        <v>0</v>
      </c>
      <c r="AQ169">
        <v>80</v>
      </c>
      <c r="AR169">
        <v>0.8</v>
      </c>
    </row>
    <row r="170" spans="1:44" x14ac:dyDescent="0.35">
      <c r="A170">
        <v>26</v>
      </c>
      <c r="B170" t="s">
        <v>63</v>
      </c>
      <c r="C170">
        <v>10</v>
      </c>
      <c r="D170" t="s">
        <v>292</v>
      </c>
      <c r="E170">
        <v>9</v>
      </c>
      <c r="F170">
        <v>1</v>
      </c>
      <c r="G170">
        <v>0</v>
      </c>
      <c r="H170">
        <v>9</v>
      </c>
      <c r="I170">
        <v>18</v>
      </c>
      <c r="J170">
        <v>0.9</v>
      </c>
      <c r="K170">
        <v>14.52</v>
      </c>
      <c r="L170">
        <v>81.31</v>
      </c>
      <c r="M170">
        <v>15.15</v>
      </c>
      <c r="N170">
        <v>11.62</v>
      </c>
      <c r="O170">
        <v>59.05</v>
      </c>
      <c r="P170">
        <v>16.440000000000001</v>
      </c>
      <c r="Q170">
        <v>8.7100000000000009</v>
      </c>
      <c r="R170">
        <v>45.5</v>
      </c>
      <c r="S170">
        <v>16.07</v>
      </c>
      <c r="T170">
        <v>0.97</v>
      </c>
      <c r="U170">
        <v>3.87</v>
      </c>
      <c r="V170">
        <v>20</v>
      </c>
      <c r="W170">
        <v>0.96</v>
      </c>
      <c r="X170">
        <v>5.23</v>
      </c>
      <c r="Y170">
        <v>15.46</v>
      </c>
      <c r="Z170">
        <v>9.68</v>
      </c>
      <c r="AA170">
        <v>43.56</v>
      </c>
      <c r="AB170">
        <v>18.18</v>
      </c>
      <c r="AC170">
        <v>0.97</v>
      </c>
      <c r="AD170">
        <v>2.9</v>
      </c>
      <c r="AE170">
        <v>25</v>
      </c>
      <c r="AF170" t="s">
        <v>293</v>
      </c>
      <c r="AG170">
        <v>88</v>
      </c>
      <c r="AH170">
        <v>3.87</v>
      </c>
      <c r="AI170">
        <v>19.36</v>
      </c>
      <c r="AJ170">
        <v>16.670000000000002</v>
      </c>
      <c r="AK170">
        <v>0.97</v>
      </c>
      <c r="AL170">
        <v>2.9</v>
      </c>
      <c r="AM170">
        <v>25</v>
      </c>
      <c r="AN170" t="s">
        <v>281</v>
      </c>
      <c r="AO170">
        <v>80</v>
      </c>
      <c r="AP170">
        <v>11.11</v>
      </c>
      <c r="AQ170">
        <v>91.49</v>
      </c>
      <c r="AR170">
        <v>1.026</v>
      </c>
    </row>
    <row r="171" spans="1:44" x14ac:dyDescent="0.35">
      <c r="A171">
        <v>27</v>
      </c>
      <c r="B171" t="s">
        <v>64</v>
      </c>
      <c r="C171">
        <v>10</v>
      </c>
      <c r="D171" t="s">
        <v>276</v>
      </c>
      <c r="E171">
        <v>7</v>
      </c>
      <c r="F171">
        <v>2</v>
      </c>
      <c r="G171">
        <v>1</v>
      </c>
      <c r="H171">
        <v>7</v>
      </c>
      <c r="I171">
        <v>15</v>
      </c>
      <c r="J171">
        <v>0.75</v>
      </c>
      <c r="K171">
        <v>22.45</v>
      </c>
      <c r="L171">
        <v>74.84</v>
      </c>
      <c r="M171">
        <v>23.08</v>
      </c>
      <c r="N171">
        <v>21.21</v>
      </c>
      <c r="O171">
        <v>52.39</v>
      </c>
      <c r="P171">
        <v>28.81</v>
      </c>
      <c r="Q171">
        <v>18.71</v>
      </c>
      <c r="R171">
        <v>42.41</v>
      </c>
      <c r="S171">
        <v>30.61</v>
      </c>
      <c r="T171">
        <v>0</v>
      </c>
      <c r="U171">
        <v>6.24</v>
      </c>
      <c r="V171">
        <v>0</v>
      </c>
      <c r="W171">
        <v>1.48</v>
      </c>
      <c r="X171">
        <v>4.26</v>
      </c>
      <c r="Y171">
        <v>25.81</v>
      </c>
      <c r="Z171">
        <v>19.96</v>
      </c>
      <c r="AA171">
        <v>42.41</v>
      </c>
      <c r="AB171">
        <v>32</v>
      </c>
      <c r="AC171">
        <v>0</v>
      </c>
      <c r="AD171">
        <v>4.99</v>
      </c>
      <c r="AE171">
        <v>0</v>
      </c>
      <c r="AF171" t="s">
        <v>219</v>
      </c>
      <c r="AG171">
        <v>80</v>
      </c>
      <c r="AH171">
        <v>4.99</v>
      </c>
      <c r="AI171">
        <v>13.72</v>
      </c>
      <c r="AJ171">
        <v>26.67</v>
      </c>
      <c r="AK171">
        <v>0</v>
      </c>
      <c r="AL171">
        <v>2.4900000000000002</v>
      </c>
      <c r="AM171">
        <v>0</v>
      </c>
      <c r="AN171" t="s">
        <v>219</v>
      </c>
      <c r="AO171">
        <v>77.78</v>
      </c>
      <c r="AP171">
        <v>0</v>
      </c>
      <c r="AQ171">
        <v>85.29</v>
      </c>
      <c r="AR171">
        <v>0.85299999999999998</v>
      </c>
    </row>
    <row r="172" spans="1:44" x14ac:dyDescent="0.35">
      <c r="A172">
        <v>28</v>
      </c>
      <c r="B172" t="s">
        <v>65</v>
      </c>
      <c r="C172">
        <v>10</v>
      </c>
      <c r="D172" t="s">
        <v>294</v>
      </c>
      <c r="E172">
        <v>4</v>
      </c>
      <c r="F172">
        <v>4</v>
      </c>
      <c r="G172">
        <v>2</v>
      </c>
      <c r="H172">
        <v>4</v>
      </c>
      <c r="I172">
        <v>10</v>
      </c>
      <c r="J172">
        <v>0.5</v>
      </c>
      <c r="K172">
        <v>22.32</v>
      </c>
      <c r="L172">
        <v>90.35</v>
      </c>
      <c r="M172">
        <v>19.809999999999999</v>
      </c>
      <c r="N172">
        <v>20.190000000000001</v>
      </c>
      <c r="O172">
        <v>69.09</v>
      </c>
      <c r="P172">
        <v>22.62</v>
      </c>
      <c r="Q172">
        <v>14.88</v>
      </c>
      <c r="R172">
        <v>53.14</v>
      </c>
      <c r="S172">
        <v>21.88</v>
      </c>
      <c r="T172">
        <v>1.06</v>
      </c>
      <c r="U172">
        <v>5.31</v>
      </c>
      <c r="V172">
        <v>16.670000000000002</v>
      </c>
      <c r="W172">
        <v>0.81</v>
      </c>
      <c r="X172">
        <v>6.9</v>
      </c>
      <c r="Y172">
        <v>10.51</v>
      </c>
      <c r="Z172">
        <v>7.44</v>
      </c>
      <c r="AA172">
        <v>54.21</v>
      </c>
      <c r="AB172">
        <v>12.07</v>
      </c>
      <c r="AC172">
        <v>0</v>
      </c>
      <c r="AD172">
        <v>3.19</v>
      </c>
      <c r="AE172">
        <v>0</v>
      </c>
      <c r="AF172" t="s">
        <v>219</v>
      </c>
      <c r="AG172">
        <v>91.18</v>
      </c>
      <c r="AH172">
        <v>3.19</v>
      </c>
      <c r="AI172">
        <v>20.190000000000001</v>
      </c>
      <c r="AJ172">
        <v>13.64</v>
      </c>
      <c r="AK172">
        <v>0</v>
      </c>
      <c r="AL172">
        <v>3.19</v>
      </c>
      <c r="AM172">
        <v>0</v>
      </c>
      <c r="AN172" t="s">
        <v>219</v>
      </c>
      <c r="AO172">
        <v>82.35</v>
      </c>
      <c r="AP172">
        <v>7.14</v>
      </c>
      <c r="AQ172">
        <v>90</v>
      </c>
      <c r="AR172">
        <v>0.97099999999999997</v>
      </c>
    </row>
    <row r="173" spans="1:44" x14ac:dyDescent="0.35">
      <c r="A173">
        <v>29</v>
      </c>
      <c r="B173" t="s">
        <v>68</v>
      </c>
      <c r="C173">
        <v>10</v>
      </c>
      <c r="D173" t="s">
        <v>240</v>
      </c>
      <c r="E173">
        <v>7</v>
      </c>
      <c r="F173">
        <v>2</v>
      </c>
      <c r="G173">
        <v>1</v>
      </c>
      <c r="H173">
        <v>7</v>
      </c>
      <c r="I173">
        <v>15</v>
      </c>
      <c r="J173">
        <v>0.75</v>
      </c>
      <c r="K173">
        <v>13.6</v>
      </c>
      <c r="L173">
        <v>82.93</v>
      </c>
      <c r="M173">
        <v>14.08</v>
      </c>
      <c r="N173">
        <v>10.88</v>
      </c>
      <c r="O173">
        <v>58.46</v>
      </c>
      <c r="P173">
        <v>15.69</v>
      </c>
      <c r="Q173">
        <v>8.16</v>
      </c>
      <c r="R173">
        <v>38.07</v>
      </c>
      <c r="S173">
        <v>17.649999999999999</v>
      </c>
      <c r="T173">
        <v>0</v>
      </c>
      <c r="U173">
        <v>4.08</v>
      </c>
      <c r="V173">
        <v>0</v>
      </c>
      <c r="W173">
        <v>0.56000000000000005</v>
      </c>
      <c r="X173">
        <v>7.01</v>
      </c>
      <c r="Y173">
        <v>7.39</v>
      </c>
      <c r="Z173">
        <v>4.08</v>
      </c>
      <c r="AA173">
        <v>50.3</v>
      </c>
      <c r="AB173">
        <v>7.5</v>
      </c>
      <c r="AC173">
        <v>0</v>
      </c>
      <c r="AD173">
        <v>4.08</v>
      </c>
      <c r="AE173">
        <v>0</v>
      </c>
      <c r="AF173" t="s">
        <v>219</v>
      </c>
      <c r="AG173">
        <v>84.21</v>
      </c>
      <c r="AH173">
        <v>1.36</v>
      </c>
      <c r="AI173">
        <v>23.11</v>
      </c>
      <c r="AJ173">
        <v>5.56</v>
      </c>
      <c r="AK173">
        <v>0</v>
      </c>
      <c r="AL173">
        <v>2.72</v>
      </c>
      <c r="AM173">
        <v>0</v>
      </c>
      <c r="AN173" t="s">
        <v>85</v>
      </c>
      <c r="AO173">
        <v>83.33</v>
      </c>
      <c r="AP173">
        <v>0</v>
      </c>
      <c r="AQ173">
        <v>89.29</v>
      </c>
      <c r="AR173">
        <v>0.89300000000000002</v>
      </c>
    </row>
    <row r="174" spans="1:44" x14ac:dyDescent="0.35">
      <c r="A174">
        <v>30</v>
      </c>
      <c r="B174" t="s">
        <v>66</v>
      </c>
      <c r="C174">
        <v>10</v>
      </c>
      <c r="D174" t="s">
        <v>295</v>
      </c>
      <c r="E174">
        <v>6</v>
      </c>
      <c r="F174">
        <v>3</v>
      </c>
      <c r="G174">
        <v>1</v>
      </c>
      <c r="H174">
        <v>6</v>
      </c>
      <c r="I174">
        <v>13</v>
      </c>
      <c r="J174">
        <v>0.65</v>
      </c>
      <c r="K174">
        <v>13.3</v>
      </c>
      <c r="L174">
        <v>75.83</v>
      </c>
      <c r="M174">
        <v>14.93</v>
      </c>
      <c r="N174">
        <v>13.3</v>
      </c>
      <c r="O174">
        <v>53.22</v>
      </c>
      <c r="P174">
        <v>20</v>
      </c>
      <c r="Q174">
        <v>9.31</v>
      </c>
      <c r="R174">
        <v>35.92</v>
      </c>
      <c r="S174">
        <v>20.59</v>
      </c>
      <c r="T174">
        <v>1.33</v>
      </c>
      <c r="U174">
        <v>3.99</v>
      </c>
      <c r="V174">
        <v>25</v>
      </c>
      <c r="W174">
        <v>0.89</v>
      </c>
      <c r="X174">
        <v>3.64</v>
      </c>
      <c r="Y174">
        <v>19.64</v>
      </c>
      <c r="Z174">
        <v>6.65</v>
      </c>
      <c r="AA174">
        <v>29.27</v>
      </c>
      <c r="AB174">
        <v>18.52</v>
      </c>
      <c r="AC174">
        <v>1.33</v>
      </c>
      <c r="AD174">
        <v>3.99</v>
      </c>
      <c r="AE174">
        <v>25</v>
      </c>
      <c r="AF174" t="s">
        <v>281</v>
      </c>
      <c r="AG174">
        <v>70</v>
      </c>
      <c r="AH174">
        <v>2.66</v>
      </c>
      <c r="AI174">
        <v>10.64</v>
      </c>
      <c r="AJ174">
        <v>20</v>
      </c>
      <c r="AK174">
        <v>1.33</v>
      </c>
      <c r="AL174">
        <v>2.66</v>
      </c>
      <c r="AM174">
        <v>33.33</v>
      </c>
      <c r="AN174" t="s">
        <v>218</v>
      </c>
      <c r="AO174">
        <v>60</v>
      </c>
      <c r="AP174">
        <v>14.29</v>
      </c>
      <c r="AQ174">
        <v>88.89</v>
      </c>
      <c r="AR174">
        <v>1.032</v>
      </c>
    </row>
    <row r="175" spans="1:44" x14ac:dyDescent="0.35">
      <c r="A175">
        <v>31</v>
      </c>
      <c r="B175" t="s">
        <v>67</v>
      </c>
      <c r="C175">
        <v>10</v>
      </c>
      <c r="D175" t="s">
        <v>296</v>
      </c>
      <c r="E175">
        <v>6</v>
      </c>
      <c r="F175">
        <v>3</v>
      </c>
      <c r="G175">
        <v>1</v>
      </c>
      <c r="H175">
        <v>6</v>
      </c>
      <c r="I175">
        <v>13</v>
      </c>
      <c r="J175">
        <v>0.65</v>
      </c>
      <c r="K175">
        <v>13.95</v>
      </c>
      <c r="L175">
        <v>88.68</v>
      </c>
      <c r="M175">
        <v>13.59</v>
      </c>
      <c r="N175">
        <v>12.95</v>
      </c>
      <c r="O175">
        <v>63.77</v>
      </c>
      <c r="P175">
        <v>16.88</v>
      </c>
      <c r="Q175">
        <v>8.9700000000000006</v>
      </c>
      <c r="R175">
        <v>29.89</v>
      </c>
      <c r="S175">
        <v>23.08</v>
      </c>
      <c r="T175">
        <v>1</v>
      </c>
      <c r="U175">
        <v>5.98</v>
      </c>
      <c r="V175">
        <v>14.29</v>
      </c>
      <c r="W175">
        <v>0.7</v>
      </c>
      <c r="X175">
        <v>6.1</v>
      </c>
      <c r="Y175">
        <v>10.23</v>
      </c>
      <c r="Z175">
        <v>5.98</v>
      </c>
      <c r="AA175">
        <v>43.84</v>
      </c>
      <c r="AB175">
        <v>12</v>
      </c>
      <c r="AC175">
        <v>1</v>
      </c>
      <c r="AD175">
        <v>4.9800000000000004</v>
      </c>
      <c r="AE175">
        <v>16.670000000000002</v>
      </c>
      <c r="AF175" t="s">
        <v>282</v>
      </c>
      <c r="AG175">
        <v>73.680000000000007</v>
      </c>
      <c r="AH175">
        <v>1.99</v>
      </c>
      <c r="AI175">
        <v>24.91</v>
      </c>
      <c r="AJ175">
        <v>7.41</v>
      </c>
      <c r="AK175">
        <v>1</v>
      </c>
      <c r="AL175">
        <v>3.99</v>
      </c>
      <c r="AM175">
        <v>20</v>
      </c>
      <c r="AN175" t="s">
        <v>218</v>
      </c>
      <c r="AO175">
        <v>60</v>
      </c>
      <c r="AP175">
        <v>11.11</v>
      </c>
      <c r="AQ175">
        <v>80</v>
      </c>
      <c r="AR175">
        <v>0.91100000000000003</v>
      </c>
    </row>
    <row r="177" spans="1:44" x14ac:dyDescent="0.35">
      <c r="A177" s="80" t="s">
        <v>121</v>
      </c>
      <c r="B177" s="80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</row>
    <row r="178" spans="1:44" x14ac:dyDescent="0.35">
      <c r="A178" s="80"/>
      <c r="B178" s="80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</row>
    <row r="179" spans="1:44" x14ac:dyDescent="0.35">
      <c r="A179" t="s">
        <v>79</v>
      </c>
      <c r="B179" t="s">
        <v>0</v>
      </c>
      <c r="C179" t="s">
        <v>1</v>
      </c>
      <c r="D179" t="s">
        <v>90</v>
      </c>
      <c r="E179" t="s">
        <v>2</v>
      </c>
      <c r="F179" t="s">
        <v>3</v>
      </c>
      <c r="G179" t="s">
        <v>4</v>
      </c>
      <c r="H179" t="s">
        <v>5</v>
      </c>
      <c r="I179" t="s">
        <v>6</v>
      </c>
      <c r="J179" t="s">
        <v>7</v>
      </c>
      <c r="K179" t="s">
        <v>91</v>
      </c>
      <c r="L179" t="s">
        <v>92</v>
      </c>
      <c r="M179" t="s">
        <v>8</v>
      </c>
      <c r="N179" t="s">
        <v>93</v>
      </c>
      <c r="O179" t="s">
        <v>94</v>
      </c>
      <c r="P179" t="s">
        <v>9</v>
      </c>
      <c r="Q179" t="s">
        <v>95</v>
      </c>
      <c r="R179" t="s">
        <v>71</v>
      </c>
      <c r="S179" t="s">
        <v>10</v>
      </c>
      <c r="T179" t="s">
        <v>96</v>
      </c>
      <c r="U179" t="s">
        <v>97</v>
      </c>
      <c r="V179" t="s">
        <v>11</v>
      </c>
      <c r="W179" t="s">
        <v>98</v>
      </c>
      <c r="X179" t="s">
        <v>99</v>
      </c>
      <c r="Y179" t="s">
        <v>14</v>
      </c>
      <c r="Z179" t="s">
        <v>100</v>
      </c>
      <c r="AA179" t="s">
        <v>101</v>
      </c>
      <c r="AB179" t="s">
        <v>15</v>
      </c>
      <c r="AC179" t="s">
        <v>104</v>
      </c>
      <c r="AD179" t="s">
        <v>105</v>
      </c>
      <c r="AE179" t="s">
        <v>17</v>
      </c>
      <c r="AF179" t="s">
        <v>18</v>
      </c>
      <c r="AG179" t="s">
        <v>19</v>
      </c>
      <c r="AH179" t="s">
        <v>106</v>
      </c>
      <c r="AI179" t="s">
        <v>107</v>
      </c>
      <c r="AJ179" t="s">
        <v>20</v>
      </c>
      <c r="AK179" t="s">
        <v>109</v>
      </c>
      <c r="AL179" t="s">
        <v>73</v>
      </c>
      <c r="AM179" t="s">
        <v>22</v>
      </c>
      <c r="AN179" t="s">
        <v>23</v>
      </c>
      <c r="AO179" t="s">
        <v>24</v>
      </c>
      <c r="AP179" t="s">
        <v>35</v>
      </c>
      <c r="AQ179" t="s">
        <v>36</v>
      </c>
      <c r="AR179" t="s">
        <v>37</v>
      </c>
    </row>
    <row r="180" spans="1:44" x14ac:dyDescent="0.35">
      <c r="A180">
        <v>1</v>
      </c>
      <c r="B180" t="s">
        <v>38</v>
      </c>
      <c r="C180">
        <v>10</v>
      </c>
      <c r="D180" t="s">
        <v>283</v>
      </c>
      <c r="E180">
        <v>4</v>
      </c>
      <c r="F180">
        <v>4</v>
      </c>
      <c r="G180">
        <v>2</v>
      </c>
      <c r="H180">
        <v>4</v>
      </c>
      <c r="I180">
        <v>10</v>
      </c>
      <c r="J180">
        <v>0.5</v>
      </c>
      <c r="K180">
        <v>14</v>
      </c>
      <c r="L180">
        <v>103.08</v>
      </c>
      <c r="M180">
        <v>11.96</v>
      </c>
      <c r="N180">
        <v>12.73</v>
      </c>
      <c r="O180">
        <v>72.53</v>
      </c>
      <c r="P180">
        <v>14.93</v>
      </c>
      <c r="Q180">
        <v>11.45</v>
      </c>
      <c r="R180">
        <v>50.9</v>
      </c>
      <c r="S180">
        <v>18.37</v>
      </c>
      <c r="T180">
        <v>0</v>
      </c>
      <c r="U180">
        <v>5.09</v>
      </c>
      <c r="V180">
        <v>0</v>
      </c>
      <c r="W180">
        <v>0.54</v>
      </c>
      <c r="X180">
        <v>7.16</v>
      </c>
      <c r="Y180">
        <v>7.03</v>
      </c>
      <c r="Z180">
        <v>5.09</v>
      </c>
      <c r="AA180">
        <v>49.63</v>
      </c>
      <c r="AB180">
        <v>9.3000000000000007</v>
      </c>
      <c r="AC180">
        <v>0</v>
      </c>
      <c r="AD180">
        <v>5.09</v>
      </c>
      <c r="AE180" t="s">
        <v>219</v>
      </c>
      <c r="AF180" t="s">
        <v>219</v>
      </c>
      <c r="AG180">
        <v>83.33</v>
      </c>
      <c r="AH180">
        <v>2.5499999999999998</v>
      </c>
      <c r="AI180">
        <v>22.91</v>
      </c>
      <c r="AJ180">
        <v>10</v>
      </c>
      <c r="AK180">
        <v>0</v>
      </c>
      <c r="AL180">
        <v>1.27</v>
      </c>
      <c r="AM180" t="s">
        <v>219</v>
      </c>
      <c r="AN180" t="s">
        <v>219</v>
      </c>
      <c r="AO180">
        <v>92.31</v>
      </c>
      <c r="AP180">
        <v>0</v>
      </c>
      <c r="AQ180">
        <v>90</v>
      </c>
      <c r="AR180">
        <v>0.9</v>
      </c>
    </row>
    <row r="181" spans="1:44" x14ac:dyDescent="0.35">
      <c r="A181">
        <v>2</v>
      </c>
      <c r="B181" t="s">
        <v>39</v>
      </c>
      <c r="C181">
        <v>7</v>
      </c>
      <c r="D181" t="s">
        <v>297</v>
      </c>
      <c r="E181">
        <v>4</v>
      </c>
      <c r="F181">
        <v>3</v>
      </c>
      <c r="G181">
        <v>0</v>
      </c>
      <c r="H181">
        <v>3</v>
      </c>
      <c r="I181">
        <v>8</v>
      </c>
      <c r="J181">
        <v>0.57099999999999995</v>
      </c>
      <c r="K181">
        <v>14.93</v>
      </c>
      <c r="L181">
        <v>120.5</v>
      </c>
      <c r="M181">
        <v>11.02</v>
      </c>
      <c r="N181">
        <v>11.73</v>
      </c>
      <c r="O181">
        <v>92.77</v>
      </c>
      <c r="P181">
        <v>11.22</v>
      </c>
      <c r="Q181">
        <v>9.6</v>
      </c>
      <c r="R181">
        <v>70.38</v>
      </c>
      <c r="S181">
        <v>12</v>
      </c>
      <c r="T181">
        <v>1.07</v>
      </c>
      <c r="U181">
        <v>3.2</v>
      </c>
      <c r="V181">
        <v>25</v>
      </c>
      <c r="W181">
        <v>0.69</v>
      </c>
      <c r="X181">
        <v>8.64</v>
      </c>
      <c r="Y181">
        <v>7.41</v>
      </c>
      <c r="Z181">
        <v>6.4</v>
      </c>
      <c r="AA181">
        <v>53.32</v>
      </c>
      <c r="AB181">
        <v>10.71</v>
      </c>
      <c r="AC181">
        <v>0</v>
      </c>
      <c r="AD181">
        <v>2.13</v>
      </c>
      <c r="AE181" t="s">
        <v>219</v>
      </c>
      <c r="AF181" t="s">
        <v>219</v>
      </c>
      <c r="AG181">
        <v>93.33</v>
      </c>
      <c r="AH181">
        <v>3.2</v>
      </c>
      <c r="AI181">
        <v>20.260000000000002</v>
      </c>
      <c r="AJ181">
        <v>13.64</v>
      </c>
      <c r="AK181">
        <v>0</v>
      </c>
      <c r="AL181">
        <v>2.13</v>
      </c>
      <c r="AM181" t="s">
        <v>219</v>
      </c>
      <c r="AN181" t="s">
        <v>219</v>
      </c>
      <c r="AO181">
        <v>86.67</v>
      </c>
      <c r="AP181">
        <v>11.11</v>
      </c>
      <c r="AQ181">
        <v>95.45</v>
      </c>
      <c r="AR181">
        <v>1.0660000000000001</v>
      </c>
    </row>
    <row r="182" spans="1:44" x14ac:dyDescent="0.35">
      <c r="A182">
        <v>3</v>
      </c>
      <c r="B182" t="s">
        <v>40</v>
      </c>
      <c r="C182">
        <v>10</v>
      </c>
      <c r="D182" t="s">
        <v>276</v>
      </c>
      <c r="E182">
        <v>6</v>
      </c>
      <c r="F182">
        <v>3</v>
      </c>
      <c r="G182">
        <v>1</v>
      </c>
      <c r="H182">
        <v>6</v>
      </c>
      <c r="I182">
        <v>13</v>
      </c>
      <c r="J182">
        <v>0.65</v>
      </c>
      <c r="K182">
        <v>16.22</v>
      </c>
      <c r="L182">
        <v>102.29</v>
      </c>
      <c r="M182">
        <v>13.68</v>
      </c>
      <c r="N182">
        <v>13.72</v>
      </c>
      <c r="O182">
        <v>69.849999999999994</v>
      </c>
      <c r="P182">
        <v>16.420000000000002</v>
      </c>
      <c r="Q182">
        <v>12.47</v>
      </c>
      <c r="R182">
        <v>46.15</v>
      </c>
      <c r="S182">
        <v>21.28</v>
      </c>
      <c r="T182">
        <v>2.4900000000000002</v>
      </c>
      <c r="U182">
        <v>6.24</v>
      </c>
      <c r="V182">
        <v>28.57</v>
      </c>
      <c r="W182">
        <v>1.32</v>
      </c>
      <c r="X182">
        <v>6.11</v>
      </c>
      <c r="Y182">
        <v>17.72</v>
      </c>
      <c r="Z182">
        <v>7.48</v>
      </c>
      <c r="AA182">
        <v>52.39</v>
      </c>
      <c r="AB182">
        <v>12.5</v>
      </c>
      <c r="AC182">
        <v>1.25</v>
      </c>
      <c r="AD182">
        <v>6.24</v>
      </c>
      <c r="AE182" t="s">
        <v>288</v>
      </c>
      <c r="AF182" t="s">
        <v>288</v>
      </c>
      <c r="AG182">
        <v>75</v>
      </c>
      <c r="AH182">
        <v>4.99</v>
      </c>
      <c r="AI182">
        <v>18.71</v>
      </c>
      <c r="AJ182">
        <v>21.05</v>
      </c>
      <c r="AK182">
        <v>1.25</v>
      </c>
      <c r="AL182">
        <v>3.74</v>
      </c>
      <c r="AM182" t="s">
        <v>281</v>
      </c>
      <c r="AN182" t="s">
        <v>281</v>
      </c>
      <c r="AO182">
        <v>72.73</v>
      </c>
      <c r="AP182">
        <v>20</v>
      </c>
      <c r="AQ182">
        <v>86.49</v>
      </c>
      <c r="AR182">
        <v>1.0649999999999999</v>
      </c>
    </row>
    <row r="183" spans="1:44" x14ac:dyDescent="0.35">
      <c r="A183">
        <v>4</v>
      </c>
      <c r="B183" t="s">
        <v>41</v>
      </c>
      <c r="C183">
        <v>10</v>
      </c>
      <c r="D183" t="s">
        <v>298</v>
      </c>
      <c r="E183">
        <v>3</v>
      </c>
      <c r="F183">
        <v>6</v>
      </c>
      <c r="G183">
        <v>1</v>
      </c>
      <c r="H183">
        <v>2</v>
      </c>
      <c r="I183">
        <v>7</v>
      </c>
      <c r="J183">
        <v>0.35</v>
      </c>
      <c r="K183">
        <v>16.64</v>
      </c>
      <c r="L183">
        <v>93.16</v>
      </c>
      <c r="M183">
        <v>15.15</v>
      </c>
      <c r="N183">
        <v>13.31</v>
      </c>
      <c r="O183">
        <v>71.53</v>
      </c>
      <c r="P183">
        <v>15.69</v>
      </c>
      <c r="Q183">
        <v>11.65</v>
      </c>
      <c r="R183">
        <v>58.23</v>
      </c>
      <c r="S183">
        <v>16.670000000000002</v>
      </c>
      <c r="T183">
        <v>0</v>
      </c>
      <c r="U183">
        <v>8.32</v>
      </c>
      <c r="V183">
        <v>0</v>
      </c>
      <c r="W183">
        <v>0.44</v>
      </c>
      <c r="X183">
        <v>6.73</v>
      </c>
      <c r="Y183">
        <v>6.1</v>
      </c>
      <c r="Z183">
        <v>4.99</v>
      </c>
      <c r="AA183">
        <v>43.25</v>
      </c>
      <c r="AB183">
        <v>10.34</v>
      </c>
      <c r="AC183">
        <v>0</v>
      </c>
      <c r="AD183">
        <v>4.99</v>
      </c>
      <c r="AE183" t="s">
        <v>219</v>
      </c>
      <c r="AF183" t="s">
        <v>219</v>
      </c>
      <c r="AG183">
        <v>85</v>
      </c>
      <c r="AH183">
        <v>0</v>
      </c>
      <c r="AI183">
        <v>16.64</v>
      </c>
      <c r="AJ183">
        <v>0</v>
      </c>
      <c r="AK183">
        <v>0</v>
      </c>
      <c r="AL183">
        <v>4.99</v>
      </c>
      <c r="AM183" t="s">
        <v>219</v>
      </c>
      <c r="AN183" t="s">
        <v>85</v>
      </c>
      <c r="AO183">
        <v>66.67</v>
      </c>
      <c r="AP183">
        <v>0</v>
      </c>
      <c r="AQ183">
        <v>85.71</v>
      </c>
      <c r="AR183">
        <v>0.85699999999999998</v>
      </c>
    </row>
    <row r="184" spans="1:44" x14ac:dyDescent="0.35">
      <c r="A184">
        <v>5</v>
      </c>
      <c r="B184" t="s">
        <v>42</v>
      </c>
      <c r="C184">
        <v>10</v>
      </c>
      <c r="D184" t="s">
        <v>299</v>
      </c>
      <c r="E184">
        <v>6</v>
      </c>
      <c r="F184">
        <v>4</v>
      </c>
      <c r="G184">
        <v>0</v>
      </c>
      <c r="H184">
        <v>4</v>
      </c>
      <c r="I184">
        <v>12</v>
      </c>
      <c r="J184">
        <v>0.6</v>
      </c>
      <c r="K184">
        <v>23.31</v>
      </c>
      <c r="L184">
        <v>76.3</v>
      </c>
      <c r="M184">
        <v>23.4</v>
      </c>
      <c r="N184">
        <v>23.31</v>
      </c>
      <c r="O184">
        <v>62.53</v>
      </c>
      <c r="P184">
        <v>27.16</v>
      </c>
      <c r="Q184">
        <v>18.02</v>
      </c>
      <c r="R184">
        <v>50.87</v>
      </c>
      <c r="S184">
        <v>26.15</v>
      </c>
      <c r="T184">
        <v>0</v>
      </c>
      <c r="U184">
        <v>9.5399999999999991</v>
      </c>
      <c r="V184">
        <v>0</v>
      </c>
      <c r="W184">
        <v>1.02</v>
      </c>
      <c r="X184">
        <v>5.48</v>
      </c>
      <c r="Y184">
        <v>15.7</v>
      </c>
      <c r="Z184">
        <v>10.6</v>
      </c>
      <c r="AA184">
        <v>46.63</v>
      </c>
      <c r="AB184">
        <v>18.52</v>
      </c>
      <c r="AC184">
        <v>0</v>
      </c>
      <c r="AD184">
        <v>6.36</v>
      </c>
      <c r="AE184" t="s">
        <v>219</v>
      </c>
      <c r="AF184" t="s">
        <v>219</v>
      </c>
      <c r="AG184">
        <v>80.650000000000006</v>
      </c>
      <c r="AH184">
        <v>4.24</v>
      </c>
      <c r="AI184">
        <v>21.2</v>
      </c>
      <c r="AJ184">
        <v>16.670000000000002</v>
      </c>
      <c r="AK184">
        <v>0</v>
      </c>
      <c r="AL184">
        <v>5.3</v>
      </c>
      <c r="AM184" t="s">
        <v>219</v>
      </c>
      <c r="AN184" t="s">
        <v>219</v>
      </c>
      <c r="AO184">
        <v>70.59</v>
      </c>
      <c r="AP184">
        <v>0</v>
      </c>
      <c r="AQ184">
        <v>81.25</v>
      </c>
      <c r="AR184">
        <v>0.81299999999999994</v>
      </c>
    </row>
    <row r="185" spans="1:44" x14ac:dyDescent="0.35">
      <c r="A185">
        <v>6</v>
      </c>
      <c r="B185" t="s">
        <v>43</v>
      </c>
      <c r="C185">
        <v>10</v>
      </c>
      <c r="D185" t="s">
        <v>300</v>
      </c>
      <c r="E185">
        <v>3</v>
      </c>
      <c r="F185">
        <v>5</v>
      </c>
      <c r="G185">
        <v>2</v>
      </c>
      <c r="H185">
        <v>3</v>
      </c>
      <c r="I185">
        <v>8</v>
      </c>
      <c r="J185">
        <v>0.4</v>
      </c>
      <c r="K185">
        <v>11.36</v>
      </c>
      <c r="L185">
        <v>92.27</v>
      </c>
      <c r="M185">
        <v>10.96</v>
      </c>
      <c r="N185">
        <v>11.36</v>
      </c>
      <c r="O185">
        <v>70.98</v>
      </c>
      <c r="P185">
        <v>13.79</v>
      </c>
      <c r="Q185">
        <v>11.36</v>
      </c>
      <c r="R185">
        <v>53.94</v>
      </c>
      <c r="S185">
        <v>17.39</v>
      </c>
      <c r="T185">
        <v>1.42</v>
      </c>
      <c r="U185">
        <v>9.94</v>
      </c>
      <c r="V185">
        <v>12.5</v>
      </c>
      <c r="W185">
        <v>0.61</v>
      </c>
      <c r="X185">
        <v>5.96</v>
      </c>
      <c r="Y185">
        <v>9.25</v>
      </c>
      <c r="Z185">
        <v>5.68</v>
      </c>
      <c r="AA185">
        <v>41.17</v>
      </c>
      <c r="AB185">
        <v>12.12</v>
      </c>
      <c r="AC185">
        <v>1.42</v>
      </c>
      <c r="AD185">
        <v>8.52</v>
      </c>
      <c r="AE185" t="s">
        <v>293</v>
      </c>
      <c r="AF185" t="s">
        <v>281</v>
      </c>
      <c r="AG185">
        <v>70</v>
      </c>
      <c r="AH185">
        <v>2.84</v>
      </c>
      <c r="AI185">
        <v>17.03</v>
      </c>
      <c r="AJ185">
        <v>14.29</v>
      </c>
      <c r="AK185">
        <v>0</v>
      </c>
      <c r="AL185">
        <v>5.68</v>
      </c>
      <c r="AM185" t="s">
        <v>219</v>
      </c>
      <c r="AN185" t="s">
        <v>219</v>
      </c>
      <c r="AO185">
        <v>60</v>
      </c>
      <c r="AP185">
        <v>12.5</v>
      </c>
      <c r="AQ185">
        <v>81.58</v>
      </c>
      <c r="AR185">
        <v>0.94099999999999995</v>
      </c>
    </row>
    <row r="186" spans="1:44" x14ac:dyDescent="0.35">
      <c r="A186">
        <v>7</v>
      </c>
      <c r="B186" t="s">
        <v>44</v>
      </c>
      <c r="C186">
        <v>10</v>
      </c>
      <c r="D186" t="s">
        <v>301</v>
      </c>
      <c r="E186">
        <v>4</v>
      </c>
      <c r="F186">
        <v>5</v>
      </c>
      <c r="G186">
        <v>1</v>
      </c>
      <c r="H186">
        <v>4</v>
      </c>
      <c r="I186">
        <v>9</v>
      </c>
      <c r="J186">
        <v>0.45</v>
      </c>
      <c r="K186">
        <v>11.69</v>
      </c>
      <c r="L186">
        <v>95.43</v>
      </c>
      <c r="M186">
        <v>10.91</v>
      </c>
      <c r="N186">
        <v>11.69</v>
      </c>
      <c r="O186">
        <v>72.06</v>
      </c>
      <c r="P186">
        <v>13.95</v>
      </c>
      <c r="Q186">
        <v>7.79</v>
      </c>
      <c r="R186">
        <v>47.71</v>
      </c>
      <c r="S186">
        <v>14.04</v>
      </c>
      <c r="T186">
        <v>0.97</v>
      </c>
      <c r="U186">
        <v>7.79</v>
      </c>
      <c r="V186">
        <v>11.11</v>
      </c>
      <c r="W186">
        <v>2.0099999999999998</v>
      </c>
      <c r="X186">
        <v>6.95</v>
      </c>
      <c r="Y186">
        <v>22.47</v>
      </c>
      <c r="Z186">
        <v>7.79</v>
      </c>
      <c r="AA186">
        <v>52.58</v>
      </c>
      <c r="AB186">
        <v>12.9</v>
      </c>
      <c r="AC186">
        <v>0.97</v>
      </c>
      <c r="AD186">
        <v>6.82</v>
      </c>
      <c r="AE186" t="s">
        <v>302</v>
      </c>
      <c r="AF186" t="s">
        <v>282</v>
      </c>
      <c r="AG186">
        <v>79.41</v>
      </c>
      <c r="AH186">
        <v>4.87</v>
      </c>
      <c r="AI186">
        <v>20.45</v>
      </c>
      <c r="AJ186">
        <v>19.23</v>
      </c>
      <c r="AK186">
        <v>0.97</v>
      </c>
      <c r="AL186">
        <v>2.92</v>
      </c>
      <c r="AM186" t="s">
        <v>281</v>
      </c>
      <c r="AN186" t="s">
        <v>281</v>
      </c>
      <c r="AO186">
        <v>81.25</v>
      </c>
      <c r="AP186">
        <v>12.5</v>
      </c>
      <c r="AQ186">
        <v>83.67</v>
      </c>
      <c r="AR186">
        <v>0.96199999999999997</v>
      </c>
    </row>
    <row r="187" spans="1:44" x14ac:dyDescent="0.35">
      <c r="A187">
        <v>8</v>
      </c>
      <c r="B187" t="s">
        <v>45</v>
      </c>
      <c r="C187">
        <v>10</v>
      </c>
      <c r="D187" t="s">
        <v>257</v>
      </c>
      <c r="E187">
        <v>6</v>
      </c>
      <c r="F187">
        <v>1</v>
      </c>
      <c r="G187">
        <v>3</v>
      </c>
      <c r="H187">
        <v>5</v>
      </c>
      <c r="I187">
        <v>15</v>
      </c>
      <c r="J187">
        <v>0.75</v>
      </c>
      <c r="K187">
        <v>8.6300000000000008</v>
      </c>
      <c r="L187">
        <v>102.46</v>
      </c>
      <c r="M187">
        <v>7.77</v>
      </c>
      <c r="N187">
        <v>8.6300000000000008</v>
      </c>
      <c r="O187">
        <v>79.81</v>
      </c>
      <c r="P187">
        <v>9.76</v>
      </c>
      <c r="Q187">
        <v>6.47</v>
      </c>
      <c r="R187">
        <v>62.55</v>
      </c>
      <c r="S187">
        <v>9.3800000000000008</v>
      </c>
      <c r="T187">
        <v>0</v>
      </c>
      <c r="U187">
        <v>7.55</v>
      </c>
      <c r="V187">
        <v>0</v>
      </c>
      <c r="W187">
        <v>0.41</v>
      </c>
      <c r="X187">
        <v>6.96</v>
      </c>
      <c r="Y187">
        <v>5.61</v>
      </c>
      <c r="Z187">
        <v>3.24</v>
      </c>
      <c r="AA187">
        <v>49.61</v>
      </c>
      <c r="AB187">
        <v>6.12</v>
      </c>
      <c r="AC187">
        <v>0</v>
      </c>
      <c r="AD187">
        <v>4.3099999999999996</v>
      </c>
      <c r="AE187" t="s">
        <v>219</v>
      </c>
      <c r="AF187" t="s">
        <v>219</v>
      </c>
      <c r="AG187">
        <v>86.21</v>
      </c>
      <c r="AH187">
        <v>1.08</v>
      </c>
      <c r="AI187">
        <v>19.41</v>
      </c>
      <c r="AJ187">
        <v>5.26</v>
      </c>
      <c r="AK187">
        <v>0</v>
      </c>
      <c r="AL187">
        <v>3.24</v>
      </c>
      <c r="AM187" t="s">
        <v>219</v>
      </c>
      <c r="AN187" t="s">
        <v>219</v>
      </c>
      <c r="AO187">
        <v>80</v>
      </c>
      <c r="AP187">
        <v>0</v>
      </c>
      <c r="AQ187">
        <v>87.93</v>
      </c>
      <c r="AR187">
        <v>0.879</v>
      </c>
    </row>
    <row r="188" spans="1:44" x14ac:dyDescent="0.35">
      <c r="A188">
        <v>9</v>
      </c>
      <c r="B188" t="s">
        <v>46</v>
      </c>
      <c r="C188">
        <v>10</v>
      </c>
      <c r="D188" t="s">
        <v>303</v>
      </c>
      <c r="E188">
        <v>6</v>
      </c>
      <c r="F188">
        <v>3</v>
      </c>
      <c r="G188">
        <v>1</v>
      </c>
      <c r="H188">
        <v>6</v>
      </c>
      <c r="I188">
        <v>13</v>
      </c>
      <c r="J188">
        <v>0.65</v>
      </c>
      <c r="K188">
        <v>10.39</v>
      </c>
      <c r="L188">
        <v>91.18</v>
      </c>
      <c r="M188">
        <v>10.23</v>
      </c>
      <c r="N188">
        <v>9.23</v>
      </c>
      <c r="O188">
        <v>68.099999999999994</v>
      </c>
      <c r="P188">
        <v>11.94</v>
      </c>
      <c r="Q188">
        <v>8.08</v>
      </c>
      <c r="R188">
        <v>40.4</v>
      </c>
      <c r="S188">
        <v>16.670000000000002</v>
      </c>
      <c r="T188">
        <v>0</v>
      </c>
      <c r="U188">
        <v>2.31</v>
      </c>
      <c r="V188">
        <v>0</v>
      </c>
      <c r="W188">
        <v>0.42</v>
      </c>
      <c r="X188">
        <v>5.88</v>
      </c>
      <c r="Y188">
        <v>6.61</v>
      </c>
      <c r="Z188">
        <v>3.46</v>
      </c>
      <c r="AA188">
        <v>48.48</v>
      </c>
      <c r="AB188">
        <v>6.67</v>
      </c>
      <c r="AC188">
        <v>0</v>
      </c>
      <c r="AD188">
        <v>0</v>
      </c>
      <c r="AE188" t="s">
        <v>85</v>
      </c>
      <c r="AF188" t="s">
        <v>219</v>
      </c>
      <c r="AG188">
        <v>100</v>
      </c>
      <c r="AH188">
        <v>1.1499999999999999</v>
      </c>
      <c r="AI188">
        <v>18.47</v>
      </c>
      <c r="AJ188">
        <v>5.88</v>
      </c>
      <c r="AK188">
        <v>0</v>
      </c>
      <c r="AL188">
        <v>0</v>
      </c>
      <c r="AM188" t="s">
        <v>85</v>
      </c>
      <c r="AN188" t="s">
        <v>219</v>
      </c>
      <c r="AO188">
        <v>100</v>
      </c>
      <c r="AP188">
        <v>0</v>
      </c>
      <c r="AQ188">
        <v>94.29</v>
      </c>
      <c r="AR188">
        <v>0.94299999999999995</v>
      </c>
    </row>
    <row r="189" spans="1:44" x14ac:dyDescent="0.35">
      <c r="A189">
        <v>10</v>
      </c>
      <c r="B189" t="s">
        <v>47</v>
      </c>
      <c r="C189">
        <v>8</v>
      </c>
      <c r="D189" t="s">
        <v>253</v>
      </c>
      <c r="E189">
        <v>2</v>
      </c>
      <c r="F189">
        <v>5</v>
      </c>
      <c r="G189">
        <v>1</v>
      </c>
      <c r="H189">
        <v>2</v>
      </c>
      <c r="I189">
        <v>5</v>
      </c>
      <c r="J189">
        <v>0.313</v>
      </c>
      <c r="K189">
        <v>17.38</v>
      </c>
      <c r="L189">
        <v>114.45</v>
      </c>
      <c r="M189">
        <v>13.19</v>
      </c>
      <c r="N189">
        <v>13.04</v>
      </c>
      <c r="O189">
        <v>92.72</v>
      </c>
      <c r="P189">
        <v>12.33</v>
      </c>
      <c r="Q189">
        <v>11.59</v>
      </c>
      <c r="R189">
        <v>68.09</v>
      </c>
      <c r="S189">
        <v>14.55</v>
      </c>
      <c r="T189">
        <v>0</v>
      </c>
      <c r="U189">
        <v>10.14</v>
      </c>
      <c r="V189">
        <v>0</v>
      </c>
      <c r="W189">
        <v>0.82</v>
      </c>
      <c r="X189">
        <v>8.34</v>
      </c>
      <c r="Y189">
        <v>9</v>
      </c>
      <c r="Z189">
        <v>7.24</v>
      </c>
      <c r="AA189">
        <v>44.91</v>
      </c>
      <c r="AB189">
        <v>13.89</v>
      </c>
      <c r="AC189">
        <v>0</v>
      </c>
      <c r="AD189">
        <v>7.24</v>
      </c>
      <c r="AE189" t="s">
        <v>219</v>
      </c>
      <c r="AF189" t="s">
        <v>219</v>
      </c>
      <c r="AG189">
        <v>79.17</v>
      </c>
      <c r="AH189">
        <v>1.45</v>
      </c>
      <c r="AI189">
        <v>27.53</v>
      </c>
      <c r="AJ189">
        <v>5</v>
      </c>
      <c r="AK189">
        <v>0</v>
      </c>
      <c r="AL189">
        <v>7.24</v>
      </c>
      <c r="AM189" t="s">
        <v>219</v>
      </c>
      <c r="AN189" t="s">
        <v>219</v>
      </c>
      <c r="AO189">
        <v>66.67</v>
      </c>
      <c r="AP189">
        <v>0</v>
      </c>
      <c r="AQ189">
        <v>85.11</v>
      </c>
      <c r="AR189">
        <v>0.85099999999999998</v>
      </c>
    </row>
    <row r="190" spans="1:44" x14ac:dyDescent="0.35">
      <c r="A190">
        <v>11</v>
      </c>
      <c r="B190" t="s">
        <v>48</v>
      </c>
      <c r="C190">
        <v>10</v>
      </c>
      <c r="D190" t="s">
        <v>304</v>
      </c>
      <c r="E190">
        <v>3</v>
      </c>
      <c r="F190">
        <v>7</v>
      </c>
      <c r="G190">
        <v>0</v>
      </c>
      <c r="H190">
        <v>3</v>
      </c>
      <c r="I190">
        <v>6</v>
      </c>
      <c r="J190">
        <v>0.3</v>
      </c>
      <c r="K190">
        <v>5.99</v>
      </c>
      <c r="L190">
        <v>79.37</v>
      </c>
      <c r="M190">
        <v>7.02</v>
      </c>
      <c r="N190">
        <v>5.99</v>
      </c>
      <c r="O190">
        <v>62.9</v>
      </c>
      <c r="P190">
        <v>8.6999999999999993</v>
      </c>
      <c r="Q190">
        <v>5.99</v>
      </c>
      <c r="R190">
        <v>44.93</v>
      </c>
      <c r="S190">
        <v>11.76</v>
      </c>
      <c r="T190">
        <v>0</v>
      </c>
      <c r="U190">
        <v>7.49</v>
      </c>
      <c r="V190">
        <v>0</v>
      </c>
      <c r="W190">
        <v>0.15</v>
      </c>
      <c r="X190">
        <v>5.76</v>
      </c>
      <c r="Y190">
        <v>2.5099999999999998</v>
      </c>
      <c r="Z190">
        <v>0</v>
      </c>
      <c r="AA190">
        <v>41.93</v>
      </c>
      <c r="AB190">
        <v>0</v>
      </c>
      <c r="AC190">
        <v>0</v>
      </c>
      <c r="AD190">
        <v>5.99</v>
      </c>
      <c r="AE190" t="s">
        <v>219</v>
      </c>
      <c r="AF190" t="s">
        <v>85</v>
      </c>
      <c r="AG190">
        <v>80</v>
      </c>
      <c r="AH190">
        <v>0</v>
      </c>
      <c r="AI190">
        <v>13.48</v>
      </c>
      <c r="AJ190">
        <v>0</v>
      </c>
      <c r="AK190">
        <v>0</v>
      </c>
      <c r="AL190">
        <v>1.5</v>
      </c>
      <c r="AM190" t="s">
        <v>219</v>
      </c>
      <c r="AN190" t="s">
        <v>85</v>
      </c>
      <c r="AO190">
        <v>88.89</v>
      </c>
      <c r="AP190">
        <v>0</v>
      </c>
      <c r="AQ190">
        <v>83.33</v>
      </c>
      <c r="AR190">
        <v>0.83299999999999996</v>
      </c>
    </row>
    <row r="191" spans="1:44" x14ac:dyDescent="0.35">
      <c r="A191">
        <v>12</v>
      </c>
      <c r="B191" t="s">
        <v>49</v>
      </c>
      <c r="C191">
        <v>10</v>
      </c>
      <c r="D191" t="s">
        <v>254</v>
      </c>
      <c r="E191">
        <v>7</v>
      </c>
      <c r="F191">
        <v>3</v>
      </c>
      <c r="G191">
        <v>0</v>
      </c>
      <c r="H191">
        <v>7</v>
      </c>
      <c r="I191">
        <v>14</v>
      </c>
      <c r="J191">
        <v>0.7</v>
      </c>
      <c r="K191">
        <v>14.7</v>
      </c>
      <c r="L191">
        <v>113.59</v>
      </c>
      <c r="M191">
        <v>11.46</v>
      </c>
      <c r="N191">
        <v>13.36</v>
      </c>
      <c r="O191">
        <v>78.84</v>
      </c>
      <c r="P191">
        <v>14.49</v>
      </c>
      <c r="Q191">
        <v>9.35</v>
      </c>
      <c r="R191">
        <v>56.12</v>
      </c>
      <c r="S191">
        <v>14.29</v>
      </c>
      <c r="T191">
        <v>1.34</v>
      </c>
      <c r="U191">
        <v>6.68</v>
      </c>
      <c r="V191">
        <v>16.670000000000002</v>
      </c>
      <c r="W191">
        <v>0.78</v>
      </c>
      <c r="X191">
        <v>7.21</v>
      </c>
      <c r="Y191">
        <v>9.8000000000000007</v>
      </c>
      <c r="Z191">
        <v>6.68</v>
      </c>
      <c r="AA191">
        <v>62.81</v>
      </c>
      <c r="AB191">
        <v>9.6199999999999992</v>
      </c>
      <c r="AC191">
        <v>1.34</v>
      </c>
      <c r="AD191">
        <v>4.01</v>
      </c>
      <c r="AE191" t="s">
        <v>281</v>
      </c>
      <c r="AF191" t="s">
        <v>230</v>
      </c>
      <c r="AG191">
        <v>86.96</v>
      </c>
      <c r="AH191">
        <v>2.67</v>
      </c>
      <c r="AI191">
        <v>22.72</v>
      </c>
      <c r="AJ191">
        <v>10.53</v>
      </c>
      <c r="AK191">
        <v>1.34</v>
      </c>
      <c r="AL191">
        <v>1.34</v>
      </c>
      <c r="AM191" t="s">
        <v>218</v>
      </c>
      <c r="AN191" t="s">
        <v>218</v>
      </c>
      <c r="AO191">
        <v>90.91</v>
      </c>
      <c r="AP191">
        <v>14.29</v>
      </c>
      <c r="AQ191">
        <v>88.1</v>
      </c>
      <c r="AR191">
        <v>1.024</v>
      </c>
    </row>
    <row r="192" spans="1:44" x14ac:dyDescent="0.35">
      <c r="A192">
        <v>13</v>
      </c>
      <c r="B192" t="s">
        <v>50</v>
      </c>
      <c r="C192">
        <v>10</v>
      </c>
      <c r="D192" t="s">
        <v>249</v>
      </c>
      <c r="E192">
        <v>7</v>
      </c>
      <c r="F192">
        <v>2</v>
      </c>
      <c r="G192">
        <v>1</v>
      </c>
      <c r="H192">
        <v>7</v>
      </c>
      <c r="I192">
        <v>15</v>
      </c>
      <c r="J192">
        <v>0.75</v>
      </c>
      <c r="K192">
        <v>10.11</v>
      </c>
      <c r="L192">
        <v>79.75</v>
      </c>
      <c r="M192">
        <v>11.25</v>
      </c>
      <c r="N192">
        <v>6.74</v>
      </c>
      <c r="O192">
        <v>66.27</v>
      </c>
      <c r="P192">
        <v>9.23</v>
      </c>
      <c r="Q192">
        <v>4.49</v>
      </c>
      <c r="R192">
        <v>42.68</v>
      </c>
      <c r="S192">
        <v>9.52</v>
      </c>
      <c r="T192">
        <v>0</v>
      </c>
      <c r="U192">
        <v>4.49</v>
      </c>
      <c r="V192">
        <v>0</v>
      </c>
      <c r="W192">
        <v>0.52</v>
      </c>
      <c r="X192">
        <v>5.16</v>
      </c>
      <c r="Y192">
        <v>9.15</v>
      </c>
      <c r="Z192">
        <v>2.25</v>
      </c>
      <c r="AA192">
        <v>32.57</v>
      </c>
      <c r="AB192">
        <v>6.45</v>
      </c>
      <c r="AC192">
        <v>0</v>
      </c>
      <c r="AD192">
        <v>3.37</v>
      </c>
      <c r="AE192" t="s">
        <v>219</v>
      </c>
      <c r="AF192" t="s">
        <v>219</v>
      </c>
      <c r="AG192">
        <v>81.25</v>
      </c>
      <c r="AH192">
        <v>1.1200000000000001</v>
      </c>
      <c r="AI192">
        <v>13.48</v>
      </c>
      <c r="AJ192">
        <v>7.69</v>
      </c>
      <c r="AK192">
        <v>0</v>
      </c>
      <c r="AL192">
        <v>2.25</v>
      </c>
      <c r="AM192" t="s">
        <v>219</v>
      </c>
      <c r="AN192" t="s">
        <v>219</v>
      </c>
      <c r="AO192">
        <v>75</v>
      </c>
      <c r="AP192">
        <v>0</v>
      </c>
      <c r="AQ192">
        <v>89.47</v>
      </c>
      <c r="AR192">
        <v>0.89500000000000002</v>
      </c>
    </row>
    <row r="193" spans="1:44" x14ac:dyDescent="0.35">
      <c r="A193">
        <v>14</v>
      </c>
      <c r="B193" t="s">
        <v>51</v>
      </c>
      <c r="C193">
        <v>10</v>
      </c>
      <c r="D193" t="s">
        <v>305</v>
      </c>
      <c r="E193">
        <v>5</v>
      </c>
      <c r="F193">
        <v>4</v>
      </c>
      <c r="G193">
        <v>1</v>
      </c>
      <c r="H193">
        <v>4</v>
      </c>
      <c r="I193">
        <v>11</v>
      </c>
      <c r="J193">
        <v>0.55000000000000004</v>
      </c>
      <c r="K193">
        <v>6.27</v>
      </c>
      <c r="L193">
        <v>97.24</v>
      </c>
      <c r="M193">
        <v>6.06</v>
      </c>
      <c r="N193">
        <v>6.27</v>
      </c>
      <c r="O193">
        <v>73.19</v>
      </c>
      <c r="P193">
        <v>7.89</v>
      </c>
      <c r="Q193">
        <v>4.18</v>
      </c>
      <c r="R193">
        <v>58.55</v>
      </c>
      <c r="S193">
        <v>6.67</v>
      </c>
      <c r="T193">
        <v>1.05</v>
      </c>
      <c r="U193">
        <v>4.18</v>
      </c>
      <c r="V193">
        <v>20</v>
      </c>
      <c r="W193">
        <v>0.55000000000000004</v>
      </c>
      <c r="X193">
        <v>5.73</v>
      </c>
      <c r="Y193">
        <v>8.83</v>
      </c>
      <c r="Z193">
        <v>4.18</v>
      </c>
      <c r="AA193">
        <v>37.64</v>
      </c>
      <c r="AB193">
        <v>10</v>
      </c>
      <c r="AC193">
        <v>1.05</v>
      </c>
      <c r="AD193">
        <v>2.09</v>
      </c>
      <c r="AE193" t="s">
        <v>230</v>
      </c>
      <c r="AF193" t="s">
        <v>218</v>
      </c>
      <c r="AG193">
        <v>90.91</v>
      </c>
      <c r="AH193">
        <v>3.14</v>
      </c>
      <c r="AI193">
        <v>14.64</v>
      </c>
      <c r="AJ193">
        <v>17.649999999999999</v>
      </c>
      <c r="AK193">
        <v>1.05</v>
      </c>
      <c r="AL193">
        <v>1.05</v>
      </c>
      <c r="AM193" t="s">
        <v>218</v>
      </c>
      <c r="AN193" t="s">
        <v>223</v>
      </c>
      <c r="AO193">
        <v>90</v>
      </c>
      <c r="AP193">
        <v>25</v>
      </c>
      <c r="AQ193">
        <v>92.86</v>
      </c>
      <c r="AR193">
        <v>1.179</v>
      </c>
    </row>
    <row r="194" spans="1:44" x14ac:dyDescent="0.35">
      <c r="A194">
        <v>15</v>
      </c>
      <c r="B194" t="s">
        <v>52</v>
      </c>
      <c r="C194">
        <v>10</v>
      </c>
      <c r="D194" t="s">
        <v>264</v>
      </c>
      <c r="E194">
        <v>5</v>
      </c>
      <c r="F194">
        <v>4</v>
      </c>
      <c r="G194">
        <v>1</v>
      </c>
      <c r="H194">
        <v>5</v>
      </c>
      <c r="I194">
        <v>11</v>
      </c>
      <c r="J194">
        <v>0.55000000000000004</v>
      </c>
      <c r="K194">
        <v>19.48</v>
      </c>
      <c r="L194">
        <v>83.67</v>
      </c>
      <c r="M194">
        <v>18.89</v>
      </c>
      <c r="N194">
        <v>17.190000000000001</v>
      </c>
      <c r="O194">
        <v>66.48</v>
      </c>
      <c r="P194">
        <v>20.55</v>
      </c>
      <c r="Q194">
        <v>14.9</v>
      </c>
      <c r="R194">
        <v>51.58</v>
      </c>
      <c r="S194">
        <v>22.41</v>
      </c>
      <c r="T194">
        <v>1.1499999999999999</v>
      </c>
      <c r="U194">
        <v>5.73</v>
      </c>
      <c r="V194">
        <v>16.670000000000002</v>
      </c>
      <c r="W194">
        <v>0.88</v>
      </c>
      <c r="X194">
        <v>5.14</v>
      </c>
      <c r="Y194">
        <v>14.61</v>
      </c>
      <c r="Z194">
        <v>8.02</v>
      </c>
      <c r="AA194">
        <v>36.68</v>
      </c>
      <c r="AB194">
        <v>17.95</v>
      </c>
      <c r="AC194">
        <v>1.1499999999999999</v>
      </c>
      <c r="AD194">
        <v>3.44</v>
      </c>
      <c r="AE194" t="s">
        <v>281</v>
      </c>
      <c r="AF194" t="s">
        <v>288</v>
      </c>
      <c r="AG194">
        <v>88</v>
      </c>
      <c r="AH194">
        <v>5.73</v>
      </c>
      <c r="AI194">
        <v>13.75</v>
      </c>
      <c r="AJ194">
        <v>29.41</v>
      </c>
      <c r="AK194">
        <v>0</v>
      </c>
      <c r="AL194">
        <v>1.1499999999999999</v>
      </c>
      <c r="AM194" t="s">
        <v>219</v>
      </c>
      <c r="AN194" t="s">
        <v>219</v>
      </c>
      <c r="AO194">
        <v>88.89</v>
      </c>
      <c r="AP194">
        <v>7.69</v>
      </c>
      <c r="AQ194">
        <v>88.89</v>
      </c>
      <c r="AR194">
        <v>0.96599999999999997</v>
      </c>
    </row>
    <row r="195" spans="1:44" x14ac:dyDescent="0.35">
      <c r="A195">
        <v>16</v>
      </c>
      <c r="B195" t="s">
        <v>53</v>
      </c>
      <c r="C195">
        <v>10</v>
      </c>
      <c r="D195" t="s">
        <v>306</v>
      </c>
      <c r="E195">
        <v>5</v>
      </c>
      <c r="F195">
        <v>1</v>
      </c>
      <c r="G195">
        <v>4</v>
      </c>
      <c r="H195">
        <v>5</v>
      </c>
      <c r="I195">
        <v>14</v>
      </c>
      <c r="J195">
        <v>0.7</v>
      </c>
      <c r="K195">
        <v>10.23</v>
      </c>
      <c r="L195">
        <v>97.23</v>
      </c>
      <c r="M195">
        <v>9.52</v>
      </c>
      <c r="N195">
        <v>9.3800000000000008</v>
      </c>
      <c r="O195">
        <v>80.17</v>
      </c>
      <c r="P195">
        <v>10.48</v>
      </c>
      <c r="Q195">
        <v>7.68</v>
      </c>
      <c r="R195">
        <v>58.85</v>
      </c>
      <c r="S195">
        <v>11.54</v>
      </c>
      <c r="T195">
        <v>2.56</v>
      </c>
      <c r="U195">
        <v>7.68</v>
      </c>
      <c r="V195">
        <v>25</v>
      </c>
      <c r="W195">
        <v>0.69</v>
      </c>
      <c r="X195">
        <v>8.1</v>
      </c>
      <c r="Y195">
        <v>7.87</v>
      </c>
      <c r="Z195">
        <v>5.97</v>
      </c>
      <c r="AA195">
        <v>62.26</v>
      </c>
      <c r="AB195">
        <v>8.75</v>
      </c>
      <c r="AC195">
        <v>2.56</v>
      </c>
      <c r="AD195">
        <v>6.82</v>
      </c>
      <c r="AE195" t="s">
        <v>307</v>
      </c>
      <c r="AF195" t="s">
        <v>218</v>
      </c>
      <c r="AG195">
        <v>81.819999999999993</v>
      </c>
      <c r="AH195">
        <v>2.56</v>
      </c>
      <c r="AI195">
        <v>26.44</v>
      </c>
      <c r="AJ195">
        <v>8.82</v>
      </c>
      <c r="AK195">
        <v>0.85</v>
      </c>
      <c r="AL195">
        <v>4.26</v>
      </c>
      <c r="AM195" t="s">
        <v>288</v>
      </c>
      <c r="AN195" t="s">
        <v>218</v>
      </c>
      <c r="AO195">
        <v>75</v>
      </c>
      <c r="AP195">
        <v>33.33</v>
      </c>
      <c r="AQ195">
        <v>86.96</v>
      </c>
      <c r="AR195">
        <v>1.2030000000000001</v>
      </c>
    </row>
    <row r="196" spans="1:44" x14ac:dyDescent="0.35">
      <c r="A196">
        <v>17</v>
      </c>
      <c r="B196" t="s">
        <v>54</v>
      </c>
      <c r="C196">
        <v>9</v>
      </c>
      <c r="D196" t="s">
        <v>264</v>
      </c>
      <c r="E196">
        <v>6</v>
      </c>
      <c r="F196">
        <v>2</v>
      </c>
      <c r="G196">
        <v>1</v>
      </c>
      <c r="H196">
        <v>6</v>
      </c>
      <c r="I196">
        <v>13</v>
      </c>
      <c r="J196">
        <v>0.72199999999999998</v>
      </c>
      <c r="K196">
        <v>8.91</v>
      </c>
      <c r="L196">
        <v>113.26</v>
      </c>
      <c r="M196">
        <v>7.29</v>
      </c>
      <c r="N196">
        <v>6.36</v>
      </c>
      <c r="O196">
        <v>95.44</v>
      </c>
      <c r="P196">
        <v>6.25</v>
      </c>
      <c r="Q196">
        <v>6.36</v>
      </c>
      <c r="R196">
        <v>78.900000000000006</v>
      </c>
      <c r="S196">
        <v>7.46</v>
      </c>
      <c r="T196">
        <v>1.27</v>
      </c>
      <c r="U196">
        <v>17.82</v>
      </c>
      <c r="V196">
        <v>6.67</v>
      </c>
      <c r="W196">
        <v>0.41</v>
      </c>
      <c r="X196">
        <v>8.84</v>
      </c>
      <c r="Y196">
        <v>4.47</v>
      </c>
      <c r="Z196">
        <v>6.36</v>
      </c>
      <c r="AA196">
        <v>61.08</v>
      </c>
      <c r="AB196">
        <v>9.43</v>
      </c>
      <c r="AC196">
        <v>1.27</v>
      </c>
      <c r="AD196">
        <v>14</v>
      </c>
      <c r="AE196" t="s">
        <v>308</v>
      </c>
      <c r="AF196" t="s">
        <v>230</v>
      </c>
      <c r="AG196">
        <v>69.44</v>
      </c>
      <c r="AH196">
        <v>5.09</v>
      </c>
      <c r="AI196">
        <v>30.54</v>
      </c>
      <c r="AJ196">
        <v>14.29</v>
      </c>
      <c r="AK196">
        <v>1.27</v>
      </c>
      <c r="AL196">
        <v>10.18</v>
      </c>
      <c r="AM196" t="s">
        <v>277</v>
      </c>
      <c r="AN196" t="s">
        <v>230</v>
      </c>
      <c r="AO196">
        <v>61.9</v>
      </c>
      <c r="AP196">
        <v>20</v>
      </c>
      <c r="AQ196">
        <v>77.42</v>
      </c>
      <c r="AR196">
        <v>0.97399999999999998</v>
      </c>
    </row>
    <row r="197" spans="1:44" x14ac:dyDescent="0.35">
      <c r="A197">
        <v>18</v>
      </c>
      <c r="B197" t="s">
        <v>55</v>
      </c>
      <c r="C197">
        <v>10</v>
      </c>
      <c r="D197" t="s">
        <v>352</v>
      </c>
      <c r="E197">
        <v>4</v>
      </c>
      <c r="F197">
        <v>6</v>
      </c>
      <c r="G197">
        <v>0</v>
      </c>
      <c r="H197">
        <v>3</v>
      </c>
      <c r="I197">
        <v>8</v>
      </c>
      <c r="J197">
        <v>0.4</v>
      </c>
      <c r="K197">
        <v>4.8600000000000003</v>
      </c>
      <c r="L197">
        <v>106.95</v>
      </c>
      <c r="M197">
        <v>4.3499999999999996</v>
      </c>
      <c r="N197">
        <v>3.65</v>
      </c>
      <c r="O197">
        <v>80.22</v>
      </c>
      <c r="P197">
        <v>4.3499999999999996</v>
      </c>
      <c r="Q197">
        <v>3.65</v>
      </c>
      <c r="R197">
        <v>54.69</v>
      </c>
      <c r="S197">
        <v>6.25</v>
      </c>
      <c r="T197">
        <v>0</v>
      </c>
      <c r="U197">
        <v>10.94</v>
      </c>
      <c r="V197">
        <v>0</v>
      </c>
      <c r="W197">
        <v>0.08</v>
      </c>
      <c r="X197">
        <v>6.92</v>
      </c>
      <c r="Y197">
        <v>1.07</v>
      </c>
      <c r="Z197">
        <v>1.22</v>
      </c>
      <c r="AA197">
        <v>52.26</v>
      </c>
      <c r="AB197">
        <v>2.27</v>
      </c>
      <c r="AC197">
        <v>0</v>
      </c>
      <c r="AD197">
        <v>6.08</v>
      </c>
      <c r="AE197" t="s">
        <v>219</v>
      </c>
      <c r="AF197" t="s">
        <v>219</v>
      </c>
      <c r="AG197">
        <v>80.77</v>
      </c>
      <c r="AH197">
        <v>0</v>
      </c>
      <c r="AI197">
        <v>19.45</v>
      </c>
      <c r="AJ197">
        <v>0</v>
      </c>
      <c r="AK197">
        <v>0</v>
      </c>
      <c r="AL197">
        <v>2.4300000000000002</v>
      </c>
      <c r="AM197" t="s">
        <v>219</v>
      </c>
      <c r="AN197" t="s">
        <v>85</v>
      </c>
      <c r="AO197">
        <v>85.71</v>
      </c>
      <c r="AP197">
        <v>0</v>
      </c>
      <c r="AQ197">
        <v>80</v>
      </c>
      <c r="AR197">
        <v>0.8</v>
      </c>
    </row>
    <row r="198" spans="1:44" x14ac:dyDescent="0.35">
      <c r="A198">
        <v>19</v>
      </c>
      <c r="B198" t="s">
        <v>56</v>
      </c>
      <c r="C198">
        <v>10</v>
      </c>
      <c r="D198" t="s">
        <v>309</v>
      </c>
      <c r="E198">
        <v>4</v>
      </c>
      <c r="F198">
        <v>4</v>
      </c>
      <c r="G198">
        <v>2</v>
      </c>
      <c r="H198">
        <v>4</v>
      </c>
      <c r="I198">
        <v>10</v>
      </c>
      <c r="J198">
        <v>0.5</v>
      </c>
      <c r="K198">
        <v>13.83</v>
      </c>
      <c r="L198">
        <v>102.34</v>
      </c>
      <c r="M198">
        <v>11.9</v>
      </c>
      <c r="N198">
        <v>12.45</v>
      </c>
      <c r="O198">
        <v>78.83</v>
      </c>
      <c r="P198">
        <v>13.64</v>
      </c>
      <c r="Q198">
        <v>8.3000000000000007</v>
      </c>
      <c r="R198">
        <v>60.85</v>
      </c>
      <c r="S198">
        <v>12</v>
      </c>
      <c r="T198">
        <v>0</v>
      </c>
      <c r="U198">
        <v>8.3000000000000007</v>
      </c>
      <c r="V198">
        <v>0</v>
      </c>
      <c r="W198">
        <v>0.79</v>
      </c>
      <c r="X198">
        <v>9.57</v>
      </c>
      <c r="Y198">
        <v>7.66</v>
      </c>
      <c r="Z198">
        <v>6.92</v>
      </c>
      <c r="AA198">
        <v>58.09</v>
      </c>
      <c r="AB198">
        <v>10.64</v>
      </c>
      <c r="AC198">
        <v>0</v>
      </c>
      <c r="AD198">
        <v>6.92</v>
      </c>
      <c r="AE198" t="s">
        <v>219</v>
      </c>
      <c r="AF198" t="s">
        <v>219</v>
      </c>
      <c r="AG198">
        <v>81.48</v>
      </c>
      <c r="AH198">
        <v>2.77</v>
      </c>
      <c r="AI198">
        <v>13.83</v>
      </c>
      <c r="AJ198">
        <v>16.670000000000002</v>
      </c>
      <c r="AK198">
        <v>0</v>
      </c>
      <c r="AL198">
        <v>2.77</v>
      </c>
      <c r="AM198" t="s">
        <v>219</v>
      </c>
      <c r="AN198" t="s">
        <v>219</v>
      </c>
      <c r="AO198">
        <v>75</v>
      </c>
      <c r="AP198">
        <v>0</v>
      </c>
      <c r="AQ198">
        <v>86.36</v>
      </c>
      <c r="AR198">
        <v>0.86399999999999999</v>
      </c>
    </row>
    <row r="199" spans="1:44" x14ac:dyDescent="0.35">
      <c r="A199">
        <v>20</v>
      </c>
      <c r="B199" t="s">
        <v>57</v>
      </c>
      <c r="C199">
        <v>10</v>
      </c>
      <c r="D199" t="s">
        <v>310</v>
      </c>
      <c r="E199">
        <v>5</v>
      </c>
      <c r="F199">
        <v>4</v>
      </c>
      <c r="G199">
        <v>1</v>
      </c>
      <c r="H199">
        <v>4</v>
      </c>
      <c r="I199">
        <v>11</v>
      </c>
      <c r="J199">
        <v>0.55000000000000004</v>
      </c>
      <c r="K199">
        <v>6.11</v>
      </c>
      <c r="L199">
        <v>94.76</v>
      </c>
      <c r="M199">
        <v>6.06</v>
      </c>
      <c r="N199">
        <v>5.09</v>
      </c>
      <c r="O199">
        <v>68.27</v>
      </c>
      <c r="P199">
        <v>6.94</v>
      </c>
      <c r="Q199">
        <v>4.08</v>
      </c>
      <c r="R199">
        <v>45.85</v>
      </c>
      <c r="S199">
        <v>8.16</v>
      </c>
      <c r="T199">
        <v>1.02</v>
      </c>
      <c r="U199">
        <v>6.11</v>
      </c>
      <c r="V199">
        <v>14.29</v>
      </c>
      <c r="W199">
        <v>0.88</v>
      </c>
      <c r="X199">
        <v>6.53</v>
      </c>
      <c r="Y199">
        <v>11.87</v>
      </c>
      <c r="Z199">
        <v>2.04</v>
      </c>
      <c r="AA199">
        <v>49.93</v>
      </c>
      <c r="AB199">
        <v>3.92</v>
      </c>
      <c r="AC199">
        <v>0</v>
      </c>
      <c r="AD199">
        <v>6.11</v>
      </c>
      <c r="AE199" t="s">
        <v>219</v>
      </c>
      <c r="AF199" t="s">
        <v>219</v>
      </c>
      <c r="AG199">
        <v>76.92</v>
      </c>
      <c r="AH199">
        <v>2.04</v>
      </c>
      <c r="AI199">
        <v>19.36</v>
      </c>
      <c r="AJ199">
        <v>9.52</v>
      </c>
      <c r="AK199">
        <v>0</v>
      </c>
      <c r="AL199">
        <v>4.08</v>
      </c>
      <c r="AM199" t="s">
        <v>219</v>
      </c>
      <c r="AN199" t="s">
        <v>219</v>
      </c>
      <c r="AO199">
        <v>75</v>
      </c>
      <c r="AP199">
        <v>25</v>
      </c>
      <c r="AQ199">
        <v>86.67</v>
      </c>
      <c r="AR199">
        <v>1.117</v>
      </c>
    </row>
    <row r="200" spans="1:44" x14ac:dyDescent="0.35">
      <c r="A200">
        <v>21</v>
      </c>
      <c r="B200" t="s">
        <v>58</v>
      </c>
      <c r="C200">
        <v>10</v>
      </c>
      <c r="D200" t="s">
        <v>265</v>
      </c>
      <c r="E200">
        <v>4</v>
      </c>
      <c r="F200">
        <v>6</v>
      </c>
      <c r="G200">
        <v>0</v>
      </c>
      <c r="H200">
        <v>3</v>
      </c>
      <c r="I200">
        <v>8</v>
      </c>
      <c r="J200">
        <v>0.4</v>
      </c>
      <c r="K200">
        <v>20.45</v>
      </c>
      <c r="L200">
        <v>75.8</v>
      </c>
      <c r="M200">
        <v>21.25</v>
      </c>
      <c r="N200">
        <v>18.05</v>
      </c>
      <c r="O200">
        <v>60.16</v>
      </c>
      <c r="P200">
        <v>23.08</v>
      </c>
      <c r="Q200">
        <v>15.64</v>
      </c>
      <c r="R200">
        <v>51.74</v>
      </c>
      <c r="S200">
        <v>23.21</v>
      </c>
      <c r="T200">
        <v>1.2</v>
      </c>
      <c r="U200">
        <v>8.42</v>
      </c>
      <c r="V200">
        <v>12.5</v>
      </c>
      <c r="W200">
        <v>1.0900000000000001</v>
      </c>
      <c r="X200">
        <v>5.5</v>
      </c>
      <c r="Y200">
        <v>16.48</v>
      </c>
      <c r="Z200">
        <v>12.03</v>
      </c>
      <c r="AA200">
        <v>49.33</v>
      </c>
      <c r="AB200">
        <v>19.61</v>
      </c>
      <c r="AC200">
        <v>1.2</v>
      </c>
      <c r="AD200">
        <v>7.22</v>
      </c>
      <c r="AE200" t="s">
        <v>293</v>
      </c>
      <c r="AF200" t="s">
        <v>293</v>
      </c>
      <c r="AG200">
        <v>77.78</v>
      </c>
      <c r="AH200">
        <v>3.61</v>
      </c>
      <c r="AI200">
        <v>19.25</v>
      </c>
      <c r="AJ200">
        <v>15.79</v>
      </c>
      <c r="AK200">
        <v>1.2</v>
      </c>
      <c r="AL200">
        <v>6.02</v>
      </c>
      <c r="AM200" t="s">
        <v>288</v>
      </c>
      <c r="AN200" t="s">
        <v>230</v>
      </c>
      <c r="AO200">
        <v>61.54</v>
      </c>
      <c r="AP200">
        <v>7.69</v>
      </c>
      <c r="AQ200">
        <v>83.72</v>
      </c>
      <c r="AR200">
        <v>0.91400000000000003</v>
      </c>
    </row>
    <row r="201" spans="1:44" x14ac:dyDescent="0.35">
      <c r="A201">
        <v>22</v>
      </c>
      <c r="B201" t="s">
        <v>59</v>
      </c>
      <c r="C201">
        <v>10</v>
      </c>
      <c r="D201" t="s">
        <v>311</v>
      </c>
      <c r="E201">
        <v>6</v>
      </c>
      <c r="F201">
        <v>4</v>
      </c>
      <c r="G201">
        <v>0</v>
      </c>
      <c r="H201">
        <v>6</v>
      </c>
      <c r="I201">
        <v>12</v>
      </c>
      <c r="J201">
        <v>0.6</v>
      </c>
      <c r="K201">
        <v>14.5</v>
      </c>
      <c r="L201">
        <v>94.24</v>
      </c>
      <c r="M201">
        <v>13.33</v>
      </c>
      <c r="N201">
        <v>11.6</v>
      </c>
      <c r="O201">
        <v>72.489999999999995</v>
      </c>
      <c r="P201">
        <v>13.79</v>
      </c>
      <c r="Q201">
        <v>11.6</v>
      </c>
      <c r="R201">
        <v>57.99</v>
      </c>
      <c r="S201">
        <v>16.670000000000002</v>
      </c>
      <c r="T201">
        <v>0</v>
      </c>
      <c r="U201">
        <v>11.6</v>
      </c>
      <c r="V201">
        <v>0</v>
      </c>
      <c r="W201">
        <v>0.36</v>
      </c>
      <c r="X201">
        <v>7.54</v>
      </c>
      <c r="Y201">
        <v>4.58</v>
      </c>
      <c r="Z201">
        <v>2.9</v>
      </c>
      <c r="AA201">
        <v>53.64</v>
      </c>
      <c r="AB201">
        <v>5.13</v>
      </c>
      <c r="AC201">
        <v>0</v>
      </c>
      <c r="AD201">
        <v>11.6</v>
      </c>
      <c r="AE201" t="s">
        <v>219</v>
      </c>
      <c r="AF201" t="s">
        <v>219</v>
      </c>
      <c r="AG201">
        <v>66.67</v>
      </c>
      <c r="AH201">
        <v>1.45</v>
      </c>
      <c r="AI201">
        <v>24.65</v>
      </c>
      <c r="AJ201">
        <v>5.56</v>
      </c>
      <c r="AK201">
        <v>0</v>
      </c>
      <c r="AL201">
        <v>8.6999999999999993</v>
      </c>
      <c r="AM201" t="s">
        <v>219</v>
      </c>
      <c r="AN201" t="s">
        <v>219</v>
      </c>
      <c r="AO201">
        <v>57.14</v>
      </c>
      <c r="AP201">
        <v>0</v>
      </c>
      <c r="AQ201">
        <v>80</v>
      </c>
      <c r="AR201">
        <v>0.8</v>
      </c>
    </row>
    <row r="202" spans="1:44" x14ac:dyDescent="0.35">
      <c r="A202">
        <v>23</v>
      </c>
      <c r="B202" t="s">
        <v>60</v>
      </c>
      <c r="C202">
        <v>10</v>
      </c>
      <c r="D202" t="s">
        <v>312</v>
      </c>
      <c r="E202">
        <v>4</v>
      </c>
      <c r="F202">
        <v>5</v>
      </c>
      <c r="G202">
        <v>1</v>
      </c>
      <c r="H202">
        <v>3</v>
      </c>
      <c r="I202">
        <v>9</v>
      </c>
      <c r="J202">
        <v>0.45</v>
      </c>
      <c r="K202">
        <v>11.42</v>
      </c>
      <c r="L202">
        <v>72.3</v>
      </c>
      <c r="M202">
        <v>13.64</v>
      </c>
      <c r="N202">
        <v>11.42</v>
      </c>
      <c r="O202">
        <v>58.35</v>
      </c>
      <c r="P202">
        <v>16.36</v>
      </c>
      <c r="Q202">
        <v>8.8800000000000008</v>
      </c>
      <c r="R202">
        <v>43.13</v>
      </c>
      <c r="S202">
        <v>17.07</v>
      </c>
      <c r="T202">
        <v>1.27</v>
      </c>
      <c r="U202">
        <v>12.68</v>
      </c>
      <c r="V202">
        <v>9.09</v>
      </c>
      <c r="W202">
        <v>0.7</v>
      </c>
      <c r="X202">
        <v>6.32</v>
      </c>
      <c r="Y202">
        <v>10.039999999999999</v>
      </c>
      <c r="Z202">
        <v>3.81</v>
      </c>
      <c r="AA202">
        <v>43.13</v>
      </c>
      <c r="AB202">
        <v>8.11</v>
      </c>
      <c r="AC202">
        <v>1.27</v>
      </c>
      <c r="AD202">
        <v>12.68</v>
      </c>
      <c r="AE202" t="s">
        <v>313</v>
      </c>
      <c r="AF202" t="s">
        <v>230</v>
      </c>
      <c r="AG202">
        <v>60</v>
      </c>
      <c r="AH202">
        <v>2.54</v>
      </c>
      <c r="AI202">
        <v>25.37</v>
      </c>
      <c r="AJ202">
        <v>9.09</v>
      </c>
      <c r="AK202">
        <v>0</v>
      </c>
      <c r="AL202">
        <v>8.8800000000000008</v>
      </c>
      <c r="AM202" t="s">
        <v>219</v>
      </c>
      <c r="AN202" t="s">
        <v>219</v>
      </c>
      <c r="AO202">
        <v>61.11</v>
      </c>
      <c r="AP202">
        <v>14.29</v>
      </c>
      <c r="AQ202">
        <v>70.59</v>
      </c>
      <c r="AR202">
        <v>0.84899999999999998</v>
      </c>
    </row>
    <row r="203" spans="1:44" x14ac:dyDescent="0.35">
      <c r="A203">
        <v>24</v>
      </c>
      <c r="B203" t="s">
        <v>61</v>
      </c>
      <c r="C203">
        <v>10</v>
      </c>
      <c r="D203" t="s">
        <v>314</v>
      </c>
      <c r="E203">
        <v>4</v>
      </c>
      <c r="F203">
        <v>4</v>
      </c>
      <c r="G203">
        <v>2</v>
      </c>
      <c r="H203">
        <v>2</v>
      </c>
      <c r="I203">
        <v>10</v>
      </c>
      <c r="J203">
        <v>0.5</v>
      </c>
      <c r="K203">
        <v>15.69</v>
      </c>
      <c r="L203">
        <v>83.68</v>
      </c>
      <c r="M203">
        <v>15.79</v>
      </c>
      <c r="N203">
        <v>14.82</v>
      </c>
      <c r="O203">
        <v>70.61</v>
      </c>
      <c r="P203">
        <v>17.350000000000001</v>
      </c>
      <c r="Q203">
        <v>10.46</v>
      </c>
      <c r="R203">
        <v>54.92</v>
      </c>
      <c r="S203">
        <v>16</v>
      </c>
      <c r="T203">
        <v>0.87</v>
      </c>
      <c r="U203">
        <v>7.85</v>
      </c>
      <c r="V203">
        <v>10</v>
      </c>
      <c r="W203">
        <v>0.97</v>
      </c>
      <c r="X203">
        <v>5.83</v>
      </c>
      <c r="Y203">
        <v>14.26</v>
      </c>
      <c r="Z203">
        <v>6.1</v>
      </c>
      <c r="AA203">
        <v>40.97</v>
      </c>
      <c r="AB203">
        <v>12.96</v>
      </c>
      <c r="AC203">
        <v>0.87</v>
      </c>
      <c r="AD203">
        <v>6.1</v>
      </c>
      <c r="AE203" t="s">
        <v>302</v>
      </c>
      <c r="AF203" t="s">
        <v>281</v>
      </c>
      <c r="AG203">
        <v>75.86</v>
      </c>
      <c r="AH203">
        <v>3.49</v>
      </c>
      <c r="AI203">
        <v>16.559999999999999</v>
      </c>
      <c r="AJ203">
        <v>17.39</v>
      </c>
      <c r="AK203">
        <v>0.87</v>
      </c>
      <c r="AL203">
        <v>4.3600000000000003</v>
      </c>
      <c r="AM203" t="s">
        <v>288</v>
      </c>
      <c r="AN203" t="s">
        <v>230</v>
      </c>
      <c r="AO203">
        <v>61.54</v>
      </c>
      <c r="AP203">
        <v>8.33</v>
      </c>
      <c r="AQ203">
        <v>85.71</v>
      </c>
      <c r="AR203">
        <v>0.94</v>
      </c>
    </row>
    <row r="204" spans="1:44" x14ac:dyDescent="0.35">
      <c r="A204">
        <v>25</v>
      </c>
      <c r="B204" t="s">
        <v>62</v>
      </c>
      <c r="C204">
        <v>10</v>
      </c>
      <c r="D204" t="s">
        <v>315</v>
      </c>
      <c r="E204">
        <v>8</v>
      </c>
      <c r="F204">
        <v>1</v>
      </c>
      <c r="G204">
        <v>1</v>
      </c>
      <c r="H204">
        <v>8</v>
      </c>
      <c r="I204">
        <v>17</v>
      </c>
      <c r="J204">
        <v>0.85</v>
      </c>
      <c r="K204">
        <v>11.81</v>
      </c>
      <c r="L204">
        <v>97.73</v>
      </c>
      <c r="M204">
        <v>10.78</v>
      </c>
      <c r="N204">
        <v>11.81</v>
      </c>
      <c r="O204">
        <v>74.11</v>
      </c>
      <c r="P204">
        <v>13.75</v>
      </c>
      <c r="Q204">
        <v>8.59</v>
      </c>
      <c r="R204">
        <v>53.7</v>
      </c>
      <c r="S204">
        <v>13.79</v>
      </c>
      <c r="T204">
        <v>2.15</v>
      </c>
      <c r="U204">
        <v>6.44</v>
      </c>
      <c r="V204">
        <v>25</v>
      </c>
      <c r="W204">
        <v>0.83</v>
      </c>
      <c r="X204">
        <v>6.54</v>
      </c>
      <c r="Y204">
        <v>11.23</v>
      </c>
      <c r="Z204">
        <v>5.37</v>
      </c>
      <c r="AA204">
        <v>50.48</v>
      </c>
      <c r="AB204">
        <v>9.6199999999999992</v>
      </c>
      <c r="AC204">
        <v>1.07</v>
      </c>
      <c r="AD204">
        <v>4.3</v>
      </c>
      <c r="AE204" t="s">
        <v>282</v>
      </c>
      <c r="AF204" t="s">
        <v>230</v>
      </c>
      <c r="AG204">
        <v>82.61</v>
      </c>
      <c r="AH204">
        <v>2.15</v>
      </c>
      <c r="AI204">
        <v>20.41</v>
      </c>
      <c r="AJ204">
        <v>9.52</v>
      </c>
      <c r="AK204">
        <v>1.07</v>
      </c>
      <c r="AL204">
        <v>3.22</v>
      </c>
      <c r="AM204" t="s">
        <v>281</v>
      </c>
      <c r="AN204" t="s">
        <v>218</v>
      </c>
      <c r="AO204">
        <v>72.73</v>
      </c>
      <c r="AP204">
        <v>25</v>
      </c>
      <c r="AQ204">
        <v>88</v>
      </c>
      <c r="AR204">
        <v>1.1299999999999999</v>
      </c>
    </row>
    <row r="205" spans="1:44" x14ac:dyDescent="0.35">
      <c r="A205">
        <v>26</v>
      </c>
      <c r="B205" t="s">
        <v>63</v>
      </c>
      <c r="C205">
        <v>10</v>
      </c>
      <c r="D205" t="s">
        <v>292</v>
      </c>
      <c r="E205">
        <v>7</v>
      </c>
      <c r="F205">
        <v>2</v>
      </c>
      <c r="G205">
        <v>1</v>
      </c>
      <c r="H205">
        <v>7</v>
      </c>
      <c r="I205">
        <v>15</v>
      </c>
      <c r="J205">
        <v>0.75</v>
      </c>
      <c r="K205">
        <v>14.5</v>
      </c>
      <c r="L205">
        <v>77.34</v>
      </c>
      <c r="M205">
        <v>15.79</v>
      </c>
      <c r="N205">
        <v>10.63</v>
      </c>
      <c r="O205">
        <v>58.97</v>
      </c>
      <c r="P205">
        <v>15.28</v>
      </c>
      <c r="Q205">
        <v>8.6999999999999993</v>
      </c>
      <c r="R205">
        <v>40.6</v>
      </c>
      <c r="S205">
        <v>17.649999999999999</v>
      </c>
      <c r="T205">
        <v>0.97</v>
      </c>
      <c r="U205">
        <v>4.83</v>
      </c>
      <c r="V205">
        <v>16.670000000000002</v>
      </c>
      <c r="W205">
        <v>1.17</v>
      </c>
      <c r="X205">
        <v>4.88</v>
      </c>
      <c r="Y205">
        <v>19.38</v>
      </c>
      <c r="Z205">
        <v>6.77</v>
      </c>
      <c r="AA205">
        <v>43.5</v>
      </c>
      <c r="AB205">
        <v>13.46</v>
      </c>
      <c r="AC205">
        <v>0.97</v>
      </c>
      <c r="AD205">
        <v>2.9</v>
      </c>
      <c r="AE205" t="s">
        <v>281</v>
      </c>
      <c r="AF205" t="s">
        <v>288</v>
      </c>
      <c r="AG205">
        <v>87.5</v>
      </c>
      <c r="AH205">
        <v>4.83</v>
      </c>
      <c r="AI205">
        <v>17.399999999999999</v>
      </c>
      <c r="AJ205">
        <v>21.74</v>
      </c>
      <c r="AK205">
        <v>0</v>
      </c>
      <c r="AL205">
        <v>1.93</v>
      </c>
      <c r="AM205" t="s">
        <v>219</v>
      </c>
      <c r="AN205" t="s">
        <v>219</v>
      </c>
      <c r="AO205">
        <v>77.78</v>
      </c>
      <c r="AP205">
        <v>11.11</v>
      </c>
      <c r="AQ205">
        <v>88.1</v>
      </c>
      <c r="AR205">
        <v>0.99199999999999999</v>
      </c>
    </row>
    <row r="206" spans="1:44" x14ac:dyDescent="0.35">
      <c r="A206">
        <v>27</v>
      </c>
      <c r="B206" t="s">
        <v>64</v>
      </c>
      <c r="C206">
        <v>10</v>
      </c>
      <c r="D206" t="s">
        <v>316</v>
      </c>
      <c r="E206">
        <v>7</v>
      </c>
      <c r="F206">
        <v>2</v>
      </c>
      <c r="G206">
        <v>1</v>
      </c>
      <c r="H206">
        <v>7</v>
      </c>
      <c r="I206">
        <v>15</v>
      </c>
      <c r="J206">
        <v>0.75</v>
      </c>
      <c r="K206">
        <v>15.25</v>
      </c>
      <c r="L206">
        <v>71.150000000000006</v>
      </c>
      <c r="M206">
        <v>17.649999999999999</v>
      </c>
      <c r="N206">
        <v>13.55</v>
      </c>
      <c r="O206">
        <v>54.21</v>
      </c>
      <c r="P206">
        <v>20</v>
      </c>
      <c r="Q206">
        <v>11.86</v>
      </c>
      <c r="R206">
        <v>42.35</v>
      </c>
      <c r="S206">
        <v>21.88</v>
      </c>
      <c r="T206">
        <v>0</v>
      </c>
      <c r="U206">
        <v>11.86</v>
      </c>
      <c r="V206">
        <v>0</v>
      </c>
      <c r="W206">
        <v>0.56000000000000005</v>
      </c>
      <c r="X206">
        <v>5.21</v>
      </c>
      <c r="Y206">
        <v>9.7100000000000009</v>
      </c>
      <c r="Z206">
        <v>5.08</v>
      </c>
      <c r="AA206">
        <v>42.35</v>
      </c>
      <c r="AB206">
        <v>10.71</v>
      </c>
      <c r="AC206">
        <v>0</v>
      </c>
      <c r="AD206">
        <v>10.16</v>
      </c>
      <c r="AE206" t="s">
        <v>219</v>
      </c>
      <c r="AF206" t="s">
        <v>219</v>
      </c>
      <c r="AG206">
        <v>66.67</v>
      </c>
      <c r="AH206">
        <v>0</v>
      </c>
      <c r="AI206">
        <v>15.25</v>
      </c>
      <c r="AJ206">
        <v>0</v>
      </c>
      <c r="AK206">
        <v>0</v>
      </c>
      <c r="AL206">
        <v>6.78</v>
      </c>
      <c r="AM206" t="s">
        <v>219</v>
      </c>
      <c r="AN206" t="s">
        <v>85</v>
      </c>
      <c r="AO206">
        <v>55.56</v>
      </c>
      <c r="AP206">
        <v>0</v>
      </c>
      <c r="AQ206">
        <v>72</v>
      </c>
      <c r="AR206">
        <v>0.72</v>
      </c>
    </row>
    <row r="207" spans="1:44" x14ac:dyDescent="0.35">
      <c r="A207">
        <v>28</v>
      </c>
      <c r="B207" t="s">
        <v>65</v>
      </c>
      <c r="C207">
        <v>10</v>
      </c>
      <c r="D207" t="s">
        <v>236</v>
      </c>
      <c r="E207">
        <v>3</v>
      </c>
      <c r="F207">
        <v>7</v>
      </c>
      <c r="G207">
        <v>0</v>
      </c>
      <c r="H207">
        <v>3</v>
      </c>
      <c r="I207">
        <v>6</v>
      </c>
      <c r="J207">
        <v>0.3</v>
      </c>
      <c r="K207">
        <v>11.96</v>
      </c>
      <c r="L207">
        <v>79.400000000000006</v>
      </c>
      <c r="M207">
        <v>13.1</v>
      </c>
      <c r="N207">
        <v>10.88</v>
      </c>
      <c r="O207">
        <v>64.17</v>
      </c>
      <c r="P207">
        <v>14.49</v>
      </c>
      <c r="Q207">
        <v>10.88</v>
      </c>
      <c r="R207">
        <v>39.15</v>
      </c>
      <c r="S207">
        <v>21.74</v>
      </c>
      <c r="T207">
        <v>1.0900000000000001</v>
      </c>
      <c r="U207">
        <v>6.53</v>
      </c>
      <c r="V207">
        <v>14.29</v>
      </c>
      <c r="W207">
        <v>0.32</v>
      </c>
      <c r="X207">
        <v>5.82</v>
      </c>
      <c r="Y207">
        <v>5.25</v>
      </c>
      <c r="Z207">
        <v>5.44</v>
      </c>
      <c r="AA207">
        <v>50.03</v>
      </c>
      <c r="AB207">
        <v>9.8000000000000007</v>
      </c>
      <c r="AC207">
        <v>1.0900000000000001</v>
      </c>
      <c r="AD207">
        <v>4.3499999999999996</v>
      </c>
      <c r="AE207" t="s">
        <v>282</v>
      </c>
      <c r="AF207" t="s">
        <v>281</v>
      </c>
      <c r="AG207">
        <v>82.61</v>
      </c>
      <c r="AH207">
        <v>0</v>
      </c>
      <c r="AI207">
        <v>16.309999999999999</v>
      </c>
      <c r="AJ207">
        <v>0</v>
      </c>
      <c r="AK207">
        <v>0</v>
      </c>
      <c r="AL207">
        <v>3.26</v>
      </c>
      <c r="AM207" t="s">
        <v>219</v>
      </c>
      <c r="AN207" t="s">
        <v>85</v>
      </c>
      <c r="AO207">
        <v>66.67</v>
      </c>
      <c r="AP207">
        <v>10</v>
      </c>
      <c r="AQ207">
        <v>83.33</v>
      </c>
      <c r="AR207">
        <v>0.93300000000000005</v>
      </c>
    </row>
    <row r="208" spans="1:44" x14ac:dyDescent="0.35">
      <c r="A208">
        <v>29</v>
      </c>
      <c r="B208" t="s">
        <v>68</v>
      </c>
      <c r="C208">
        <v>8</v>
      </c>
      <c r="D208" t="s">
        <v>317</v>
      </c>
      <c r="E208">
        <v>6</v>
      </c>
      <c r="F208">
        <v>2</v>
      </c>
      <c r="G208">
        <v>0</v>
      </c>
      <c r="H208">
        <v>6</v>
      </c>
      <c r="I208">
        <v>12</v>
      </c>
      <c r="J208">
        <v>0.75</v>
      </c>
      <c r="K208">
        <v>16.46</v>
      </c>
      <c r="L208">
        <v>85.29</v>
      </c>
      <c r="M208">
        <v>16.18</v>
      </c>
      <c r="N208">
        <v>13.47</v>
      </c>
      <c r="O208">
        <v>61.35</v>
      </c>
      <c r="P208">
        <v>18</v>
      </c>
      <c r="Q208">
        <v>10.47</v>
      </c>
      <c r="R208">
        <v>41.9</v>
      </c>
      <c r="S208">
        <v>20</v>
      </c>
      <c r="T208">
        <v>0</v>
      </c>
      <c r="U208">
        <v>4.49</v>
      </c>
      <c r="V208">
        <v>0</v>
      </c>
      <c r="W208">
        <v>0.55000000000000004</v>
      </c>
      <c r="X208">
        <v>5.16</v>
      </c>
      <c r="Y208">
        <v>9.6</v>
      </c>
      <c r="Z208">
        <v>2.99</v>
      </c>
      <c r="AA208">
        <v>46.38</v>
      </c>
      <c r="AB208">
        <v>6.06</v>
      </c>
      <c r="AC208">
        <v>0</v>
      </c>
      <c r="AD208">
        <v>1.5</v>
      </c>
      <c r="AE208" t="s">
        <v>219</v>
      </c>
      <c r="AF208" t="s">
        <v>219</v>
      </c>
      <c r="AG208">
        <v>93.75</v>
      </c>
      <c r="AH208">
        <v>2.99</v>
      </c>
      <c r="AI208">
        <v>13.47</v>
      </c>
      <c r="AJ208">
        <v>18.18</v>
      </c>
      <c r="AK208">
        <v>0</v>
      </c>
      <c r="AL208">
        <v>1.5</v>
      </c>
      <c r="AM208" t="s">
        <v>219</v>
      </c>
      <c r="AN208" t="s">
        <v>219</v>
      </c>
      <c r="AO208">
        <v>80</v>
      </c>
      <c r="AP208">
        <v>0</v>
      </c>
      <c r="AQ208">
        <v>89.29</v>
      </c>
      <c r="AR208">
        <v>0.89300000000000002</v>
      </c>
    </row>
    <row r="209" spans="1:72" x14ac:dyDescent="0.35">
      <c r="A209">
        <v>30</v>
      </c>
      <c r="B209" t="s">
        <v>66</v>
      </c>
      <c r="C209">
        <v>10</v>
      </c>
      <c r="D209" t="s">
        <v>318</v>
      </c>
      <c r="E209">
        <v>6</v>
      </c>
      <c r="F209">
        <v>4</v>
      </c>
      <c r="G209">
        <v>0</v>
      </c>
      <c r="H209">
        <v>6</v>
      </c>
      <c r="I209">
        <v>12</v>
      </c>
      <c r="J209">
        <v>0.6</v>
      </c>
      <c r="K209">
        <v>6.48</v>
      </c>
      <c r="L209">
        <v>142.55000000000001</v>
      </c>
      <c r="M209">
        <v>4.3499999999999996</v>
      </c>
      <c r="N209">
        <v>6.48</v>
      </c>
      <c r="O209">
        <v>108.86</v>
      </c>
      <c r="P209">
        <v>5.62</v>
      </c>
      <c r="Q209">
        <v>6.48</v>
      </c>
      <c r="R209">
        <v>77.75</v>
      </c>
      <c r="S209">
        <v>7.69</v>
      </c>
      <c r="T209">
        <v>0</v>
      </c>
      <c r="U209">
        <v>10.37</v>
      </c>
      <c r="V209">
        <v>0</v>
      </c>
      <c r="W209">
        <v>0.25</v>
      </c>
      <c r="X209">
        <v>10.42</v>
      </c>
      <c r="Y209">
        <v>2.3199999999999998</v>
      </c>
      <c r="Z209">
        <v>2.59</v>
      </c>
      <c r="AA209">
        <v>79.05</v>
      </c>
      <c r="AB209">
        <v>3.17</v>
      </c>
      <c r="AC209">
        <v>0</v>
      </c>
      <c r="AD209">
        <v>7.78</v>
      </c>
      <c r="AE209" t="s">
        <v>219</v>
      </c>
      <c r="AF209" t="s">
        <v>219</v>
      </c>
      <c r="AG209">
        <v>82.86</v>
      </c>
      <c r="AH209">
        <v>0</v>
      </c>
      <c r="AI209">
        <v>27.21</v>
      </c>
      <c r="AJ209">
        <v>0</v>
      </c>
      <c r="AK209">
        <v>0</v>
      </c>
      <c r="AL209">
        <v>5.18</v>
      </c>
      <c r="AM209" t="s">
        <v>219</v>
      </c>
      <c r="AN209" t="s">
        <v>85</v>
      </c>
      <c r="AO209">
        <v>76.47</v>
      </c>
      <c r="AP209">
        <v>0</v>
      </c>
      <c r="AQ209">
        <v>86.67</v>
      </c>
      <c r="AR209">
        <v>0.86699999999999999</v>
      </c>
    </row>
    <row r="210" spans="1:72" x14ac:dyDescent="0.35">
      <c r="A210">
        <v>31</v>
      </c>
      <c r="B210" t="s">
        <v>67</v>
      </c>
      <c r="C210">
        <v>10</v>
      </c>
      <c r="D210" t="s">
        <v>353</v>
      </c>
      <c r="E210">
        <v>5</v>
      </c>
      <c r="F210">
        <v>3</v>
      </c>
      <c r="G210">
        <v>2</v>
      </c>
      <c r="H210">
        <v>4</v>
      </c>
      <c r="I210">
        <v>12</v>
      </c>
      <c r="J210">
        <v>0.6</v>
      </c>
      <c r="K210">
        <v>10.23</v>
      </c>
      <c r="L210">
        <v>67.05</v>
      </c>
      <c r="M210">
        <v>13.24</v>
      </c>
      <c r="N210">
        <v>9.09</v>
      </c>
      <c r="O210">
        <v>48.86</v>
      </c>
      <c r="P210">
        <v>15.69</v>
      </c>
      <c r="Q210">
        <v>7.95</v>
      </c>
      <c r="R210">
        <v>37.5</v>
      </c>
      <c r="S210">
        <v>17.5</v>
      </c>
      <c r="T210">
        <v>0</v>
      </c>
      <c r="U210">
        <v>4.55</v>
      </c>
      <c r="V210">
        <v>0</v>
      </c>
      <c r="W210">
        <v>0.35</v>
      </c>
      <c r="X210">
        <v>4.42</v>
      </c>
      <c r="Y210">
        <v>7.3</v>
      </c>
      <c r="Z210">
        <v>3.41</v>
      </c>
      <c r="AA210">
        <v>38.64</v>
      </c>
      <c r="AB210">
        <v>8.11</v>
      </c>
      <c r="AC210">
        <v>0</v>
      </c>
      <c r="AD210">
        <v>3.41</v>
      </c>
      <c r="AE210" t="s">
        <v>219</v>
      </c>
      <c r="AF210" t="s">
        <v>219</v>
      </c>
      <c r="AG210">
        <v>84.21</v>
      </c>
      <c r="AH210">
        <v>1.1399999999999999</v>
      </c>
      <c r="AI210">
        <v>18.18</v>
      </c>
      <c r="AJ210">
        <v>5.88</v>
      </c>
      <c r="AK210">
        <v>0</v>
      </c>
      <c r="AL210">
        <v>2.27</v>
      </c>
      <c r="AM210" t="s">
        <v>219</v>
      </c>
      <c r="AN210" t="s">
        <v>219</v>
      </c>
      <c r="AO210">
        <v>84.62</v>
      </c>
      <c r="AP210">
        <v>0</v>
      </c>
      <c r="AQ210">
        <v>87.88</v>
      </c>
      <c r="AR210">
        <v>0.879</v>
      </c>
    </row>
    <row r="214" spans="1:72" x14ac:dyDescent="0.35">
      <c r="A214" t="s">
        <v>79</v>
      </c>
      <c r="B214" t="s">
        <v>0</v>
      </c>
      <c r="C214" t="s">
        <v>1</v>
      </c>
      <c r="D214" t="s">
        <v>90</v>
      </c>
      <c r="E214" t="s">
        <v>2</v>
      </c>
      <c r="F214" t="s">
        <v>3</v>
      </c>
      <c r="G214" t="s">
        <v>4</v>
      </c>
      <c r="H214" t="s">
        <v>5</v>
      </c>
      <c r="I214" t="s">
        <v>6</v>
      </c>
      <c r="J214" t="s">
        <v>7</v>
      </c>
      <c r="K214" t="s">
        <v>91</v>
      </c>
      <c r="L214" t="s">
        <v>92</v>
      </c>
      <c r="M214" t="s">
        <v>8</v>
      </c>
      <c r="N214" t="s">
        <v>93</v>
      </c>
      <c r="O214" t="s">
        <v>94</v>
      </c>
      <c r="P214" t="s">
        <v>9</v>
      </c>
      <c r="Q214" t="s">
        <v>95</v>
      </c>
      <c r="R214" t="s">
        <v>71</v>
      </c>
      <c r="S214" t="s">
        <v>10</v>
      </c>
      <c r="T214" t="s">
        <v>96</v>
      </c>
      <c r="U214" t="s">
        <v>97</v>
      </c>
      <c r="V214" t="s">
        <v>11</v>
      </c>
      <c r="W214" t="s">
        <v>98</v>
      </c>
      <c r="X214" t="s">
        <v>99</v>
      </c>
      <c r="Y214" t="s">
        <v>14</v>
      </c>
      <c r="Z214" t="s">
        <v>100</v>
      </c>
      <c r="AA214" t="s">
        <v>101</v>
      </c>
      <c r="AB214" t="s">
        <v>15</v>
      </c>
      <c r="AC214" t="s">
        <v>102</v>
      </c>
      <c r="AD214" t="s">
        <v>103</v>
      </c>
      <c r="AE214" t="s">
        <v>16</v>
      </c>
      <c r="AF214" t="s">
        <v>104</v>
      </c>
      <c r="AG214" t="s">
        <v>105</v>
      </c>
      <c r="AH214" t="s">
        <v>17</v>
      </c>
      <c r="AI214" t="s">
        <v>18</v>
      </c>
      <c r="AJ214" t="s">
        <v>19</v>
      </c>
      <c r="AK214" t="s">
        <v>106</v>
      </c>
      <c r="AL214" t="s">
        <v>107</v>
      </c>
      <c r="AM214" t="s">
        <v>20</v>
      </c>
      <c r="AN214" t="s">
        <v>108</v>
      </c>
      <c r="AO214" t="s">
        <v>72</v>
      </c>
      <c r="AP214" t="s">
        <v>21</v>
      </c>
      <c r="AQ214" t="s">
        <v>109</v>
      </c>
      <c r="AR214" t="s">
        <v>73</v>
      </c>
      <c r="AS214" t="s">
        <v>22</v>
      </c>
      <c r="AT214" t="s">
        <v>23</v>
      </c>
      <c r="AU214" t="s">
        <v>24</v>
      </c>
      <c r="AV214" t="s">
        <v>110</v>
      </c>
      <c r="AW214" t="s">
        <v>111</v>
      </c>
      <c r="AX214" t="s">
        <v>25</v>
      </c>
      <c r="AY214" t="s">
        <v>112</v>
      </c>
      <c r="AZ214" t="s">
        <v>77</v>
      </c>
      <c r="BA214" t="s">
        <v>26</v>
      </c>
      <c r="BB214" t="s">
        <v>113</v>
      </c>
      <c r="BC214" t="s">
        <v>74</v>
      </c>
      <c r="BD214" t="s">
        <v>27</v>
      </c>
      <c r="BE214" t="s">
        <v>28</v>
      </c>
      <c r="BF214" t="s">
        <v>29</v>
      </c>
      <c r="BG214" t="s">
        <v>114</v>
      </c>
      <c r="BH214" t="s">
        <v>115</v>
      </c>
      <c r="BI214" t="s">
        <v>30</v>
      </c>
      <c r="BJ214" t="s">
        <v>116</v>
      </c>
      <c r="BK214" t="s">
        <v>75</v>
      </c>
      <c r="BL214" t="s">
        <v>31</v>
      </c>
      <c r="BM214" t="s">
        <v>117</v>
      </c>
      <c r="BN214" t="s">
        <v>76</v>
      </c>
      <c r="BO214" t="s">
        <v>32</v>
      </c>
      <c r="BP214" t="s">
        <v>33</v>
      </c>
      <c r="BQ214" t="s">
        <v>34</v>
      </c>
      <c r="BR214" t="s">
        <v>35</v>
      </c>
      <c r="BS214" t="s">
        <v>36</v>
      </c>
      <c r="BT214" t="s">
        <v>37</v>
      </c>
    </row>
    <row r="215" spans="1:72" x14ac:dyDescent="0.35">
      <c r="A215">
        <v>1</v>
      </c>
      <c r="B215" t="s">
        <v>38</v>
      </c>
      <c r="C215">
        <v>10</v>
      </c>
      <c r="D215">
        <v>5.43</v>
      </c>
      <c r="E215">
        <v>4</v>
      </c>
      <c r="F215">
        <v>4</v>
      </c>
      <c r="G215">
        <v>2</v>
      </c>
      <c r="H215">
        <v>4</v>
      </c>
      <c r="I215">
        <v>10</v>
      </c>
      <c r="J215">
        <v>0.5</v>
      </c>
      <c r="K215">
        <v>14</v>
      </c>
      <c r="L215">
        <v>103.08</v>
      </c>
      <c r="M215">
        <v>11.96</v>
      </c>
      <c r="N215">
        <v>12.73</v>
      </c>
      <c r="O215">
        <v>72.53</v>
      </c>
      <c r="P215">
        <v>14.93</v>
      </c>
      <c r="Q215">
        <v>11.45</v>
      </c>
      <c r="R215">
        <v>50.9</v>
      </c>
      <c r="S215">
        <v>18.37</v>
      </c>
      <c r="T215">
        <v>0</v>
      </c>
      <c r="U215">
        <v>5.09</v>
      </c>
      <c r="V215">
        <v>0</v>
      </c>
      <c r="W215">
        <v>0.54</v>
      </c>
      <c r="X215">
        <v>7.16</v>
      </c>
      <c r="Y215">
        <v>7.03</v>
      </c>
      <c r="Z215">
        <v>5.09</v>
      </c>
      <c r="AA215">
        <v>49.63</v>
      </c>
      <c r="AB215">
        <v>9.3000000000000007</v>
      </c>
      <c r="AC215">
        <v>3.82</v>
      </c>
      <c r="AD215">
        <v>30.54</v>
      </c>
      <c r="AE215">
        <v>11.11</v>
      </c>
      <c r="AF215">
        <v>0</v>
      </c>
      <c r="AG215">
        <v>5.09</v>
      </c>
      <c r="AH215">
        <v>0</v>
      </c>
      <c r="AI215">
        <v>0</v>
      </c>
      <c r="AJ215">
        <v>83.33</v>
      </c>
      <c r="AK215">
        <v>2.5499999999999998</v>
      </c>
      <c r="AL215">
        <v>22.91</v>
      </c>
      <c r="AM215">
        <v>10</v>
      </c>
      <c r="AN215">
        <v>2.5499999999999998</v>
      </c>
      <c r="AO215">
        <v>16.54</v>
      </c>
      <c r="AP215">
        <v>13.33</v>
      </c>
      <c r="AQ215">
        <v>0</v>
      </c>
      <c r="AR215">
        <v>1.27</v>
      </c>
      <c r="AS215">
        <v>0</v>
      </c>
      <c r="AT215">
        <v>0</v>
      </c>
      <c r="AU215">
        <v>92.31</v>
      </c>
      <c r="AV215">
        <v>2.5499999999999998</v>
      </c>
      <c r="AW215">
        <v>26.72</v>
      </c>
      <c r="AX215">
        <v>8.6999999999999993</v>
      </c>
      <c r="AY215">
        <v>1.27</v>
      </c>
      <c r="AZ215">
        <v>14</v>
      </c>
      <c r="BA215">
        <v>8.33</v>
      </c>
      <c r="BB215">
        <v>0</v>
      </c>
      <c r="BC215">
        <v>3.82</v>
      </c>
      <c r="BD215">
        <v>0</v>
      </c>
      <c r="BE215">
        <v>0</v>
      </c>
      <c r="BF215">
        <v>72.73</v>
      </c>
      <c r="BG215">
        <v>3.82</v>
      </c>
      <c r="BH215">
        <v>49.63</v>
      </c>
      <c r="BI215">
        <v>7.14</v>
      </c>
      <c r="BJ215">
        <v>3.82</v>
      </c>
      <c r="BK215">
        <v>20.36</v>
      </c>
      <c r="BL215">
        <v>15.79</v>
      </c>
      <c r="BM215">
        <v>0</v>
      </c>
      <c r="BN215">
        <v>0</v>
      </c>
      <c r="BO215" t="s">
        <v>85</v>
      </c>
      <c r="BP215">
        <v>0</v>
      </c>
      <c r="BQ215">
        <v>100</v>
      </c>
      <c r="BR215">
        <v>0</v>
      </c>
      <c r="BS215">
        <v>90</v>
      </c>
      <c r="BT215">
        <v>0.9</v>
      </c>
    </row>
    <row r="216" spans="1:72" x14ac:dyDescent="0.35">
      <c r="A216">
        <v>2</v>
      </c>
      <c r="B216" t="s">
        <v>39</v>
      </c>
      <c r="C216">
        <v>7</v>
      </c>
      <c r="D216">
        <v>8.02</v>
      </c>
      <c r="E216">
        <v>4</v>
      </c>
      <c r="F216">
        <v>3</v>
      </c>
      <c r="G216">
        <v>0</v>
      </c>
      <c r="H216">
        <v>3</v>
      </c>
      <c r="I216">
        <v>8</v>
      </c>
      <c r="J216">
        <v>0.57099999999999995</v>
      </c>
      <c r="K216">
        <v>14.93</v>
      </c>
      <c r="L216">
        <v>120.5</v>
      </c>
      <c r="M216">
        <v>11.02</v>
      </c>
      <c r="N216">
        <v>11.73</v>
      </c>
      <c r="O216">
        <v>92.77</v>
      </c>
      <c r="P216">
        <v>11.22</v>
      </c>
      <c r="Q216">
        <v>9.6</v>
      </c>
      <c r="R216">
        <v>70.38</v>
      </c>
      <c r="S216">
        <v>12</v>
      </c>
      <c r="T216">
        <v>1.07</v>
      </c>
      <c r="U216">
        <v>3.2</v>
      </c>
      <c r="V216">
        <v>25</v>
      </c>
      <c r="W216">
        <v>0.69</v>
      </c>
      <c r="X216">
        <v>8.64</v>
      </c>
      <c r="Y216">
        <v>7.41</v>
      </c>
      <c r="Z216">
        <v>6.4</v>
      </c>
      <c r="AA216">
        <v>53.32</v>
      </c>
      <c r="AB216">
        <v>10.71</v>
      </c>
      <c r="AC216">
        <v>4.2699999999999996</v>
      </c>
      <c r="AD216">
        <v>31.99</v>
      </c>
      <c r="AE216">
        <v>11.76</v>
      </c>
      <c r="AF216">
        <v>0</v>
      </c>
      <c r="AG216">
        <v>2.13</v>
      </c>
      <c r="AH216">
        <v>0</v>
      </c>
      <c r="AI216">
        <v>0</v>
      </c>
      <c r="AJ216">
        <v>93.33</v>
      </c>
      <c r="AK216">
        <v>3.2</v>
      </c>
      <c r="AL216">
        <v>20.260000000000002</v>
      </c>
      <c r="AM216">
        <v>13.64</v>
      </c>
      <c r="AN216">
        <v>3.2</v>
      </c>
      <c r="AO216">
        <v>16</v>
      </c>
      <c r="AP216">
        <v>16.670000000000002</v>
      </c>
      <c r="AQ216">
        <v>0</v>
      </c>
      <c r="AR216">
        <v>2.13</v>
      </c>
      <c r="AS216">
        <v>0</v>
      </c>
      <c r="AT216">
        <v>0</v>
      </c>
      <c r="AU216">
        <v>86.67</v>
      </c>
      <c r="AV216">
        <v>3.2</v>
      </c>
      <c r="AW216">
        <v>33.06</v>
      </c>
      <c r="AX216">
        <v>8.82</v>
      </c>
      <c r="AY216">
        <v>1.07</v>
      </c>
      <c r="AZ216">
        <v>16</v>
      </c>
      <c r="BA216">
        <v>6.25</v>
      </c>
      <c r="BB216">
        <v>0</v>
      </c>
      <c r="BC216">
        <v>0</v>
      </c>
      <c r="BD216" t="s">
        <v>85</v>
      </c>
      <c r="BE216">
        <v>0</v>
      </c>
      <c r="BF216">
        <v>100</v>
      </c>
      <c r="BG216">
        <v>6.4</v>
      </c>
      <c r="BH216">
        <v>65.05</v>
      </c>
      <c r="BI216">
        <v>8.9600000000000009</v>
      </c>
      <c r="BJ216">
        <v>4.2699999999999996</v>
      </c>
      <c r="BK216">
        <v>37.32</v>
      </c>
      <c r="BL216">
        <v>10.26</v>
      </c>
      <c r="BM216">
        <v>1.07</v>
      </c>
      <c r="BN216">
        <v>1.07</v>
      </c>
      <c r="BO216">
        <v>50</v>
      </c>
      <c r="BP216">
        <v>25</v>
      </c>
      <c r="BQ216">
        <v>97.14</v>
      </c>
      <c r="BR216">
        <v>11.11</v>
      </c>
      <c r="BS216">
        <v>95.45</v>
      </c>
      <c r="BT216">
        <v>1.0660000000000001</v>
      </c>
    </row>
    <row r="217" spans="1:72" x14ac:dyDescent="0.35">
      <c r="A217">
        <v>3</v>
      </c>
      <c r="B217" t="s">
        <v>40</v>
      </c>
      <c r="C217">
        <v>10</v>
      </c>
      <c r="D217">
        <v>5.49</v>
      </c>
      <c r="E217">
        <v>6</v>
      </c>
      <c r="F217">
        <v>3</v>
      </c>
      <c r="G217">
        <v>1</v>
      </c>
      <c r="H217">
        <v>6</v>
      </c>
      <c r="I217">
        <v>13</v>
      </c>
      <c r="J217">
        <v>0.65</v>
      </c>
      <c r="K217">
        <v>16.22</v>
      </c>
      <c r="L217">
        <v>102.29</v>
      </c>
      <c r="M217">
        <v>13.68</v>
      </c>
      <c r="N217">
        <v>13.72</v>
      </c>
      <c r="O217">
        <v>69.849999999999994</v>
      </c>
      <c r="P217">
        <v>16.420000000000002</v>
      </c>
      <c r="Q217">
        <v>12.47</v>
      </c>
      <c r="R217">
        <v>46.15</v>
      </c>
      <c r="S217">
        <v>21.28</v>
      </c>
      <c r="T217">
        <v>2.4900000000000002</v>
      </c>
      <c r="U217">
        <v>6.24</v>
      </c>
      <c r="V217">
        <v>28.57</v>
      </c>
      <c r="W217">
        <v>1.32</v>
      </c>
      <c r="X217">
        <v>6.11</v>
      </c>
      <c r="Y217">
        <v>17.72</v>
      </c>
      <c r="Z217">
        <v>7.48</v>
      </c>
      <c r="AA217">
        <v>52.39</v>
      </c>
      <c r="AB217">
        <v>12.5</v>
      </c>
      <c r="AC217">
        <v>7.48</v>
      </c>
      <c r="AD217">
        <v>24.95</v>
      </c>
      <c r="AE217">
        <v>23.08</v>
      </c>
      <c r="AF217">
        <v>1.25</v>
      </c>
      <c r="AG217">
        <v>6.24</v>
      </c>
      <c r="AH217">
        <v>16.670000000000002</v>
      </c>
      <c r="AI217">
        <v>16.670000000000002</v>
      </c>
      <c r="AJ217">
        <v>75</v>
      </c>
      <c r="AK217">
        <v>4.99</v>
      </c>
      <c r="AL217">
        <v>18.71</v>
      </c>
      <c r="AM217">
        <v>21.05</v>
      </c>
      <c r="AN217">
        <v>4.99</v>
      </c>
      <c r="AO217">
        <v>13.72</v>
      </c>
      <c r="AP217">
        <v>26.67</v>
      </c>
      <c r="AQ217">
        <v>1.25</v>
      </c>
      <c r="AR217">
        <v>3.74</v>
      </c>
      <c r="AS217">
        <v>25</v>
      </c>
      <c r="AT217">
        <v>25</v>
      </c>
      <c r="AU217">
        <v>72.73</v>
      </c>
      <c r="AV217">
        <v>2.4900000000000002</v>
      </c>
      <c r="AW217">
        <v>33.68</v>
      </c>
      <c r="AX217">
        <v>6.9</v>
      </c>
      <c r="AY217">
        <v>2.4900000000000002</v>
      </c>
      <c r="AZ217">
        <v>11.23</v>
      </c>
      <c r="BA217">
        <v>18.18</v>
      </c>
      <c r="BB217">
        <v>0</v>
      </c>
      <c r="BC217">
        <v>2.4900000000000002</v>
      </c>
      <c r="BD217">
        <v>0</v>
      </c>
      <c r="BE217">
        <v>0</v>
      </c>
      <c r="BF217">
        <v>77.78</v>
      </c>
      <c r="BG217">
        <v>3.74</v>
      </c>
      <c r="BH217">
        <v>47.4</v>
      </c>
      <c r="BI217">
        <v>7.32</v>
      </c>
      <c r="BJ217">
        <v>2.4900000000000002</v>
      </c>
      <c r="BK217">
        <v>19.96</v>
      </c>
      <c r="BL217">
        <v>11.11</v>
      </c>
      <c r="BM217">
        <v>0</v>
      </c>
      <c r="BN217">
        <v>0</v>
      </c>
      <c r="BO217" t="s">
        <v>85</v>
      </c>
      <c r="BP217">
        <v>0</v>
      </c>
      <c r="BQ217">
        <v>100</v>
      </c>
      <c r="BR217">
        <v>20</v>
      </c>
      <c r="BS217">
        <v>86.49</v>
      </c>
      <c r="BT217">
        <v>1.0649999999999999</v>
      </c>
    </row>
    <row r="218" spans="1:72" x14ac:dyDescent="0.35">
      <c r="A218">
        <v>4</v>
      </c>
      <c r="B218" t="s">
        <v>41</v>
      </c>
      <c r="C218">
        <v>10</v>
      </c>
      <c r="D218">
        <v>4.3600000000000003</v>
      </c>
      <c r="E218">
        <v>3</v>
      </c>
      <c r="F218">
        <v>6</v>
      </c>
      <c r="G218">
        <v>1</v>
      </c>
      <c r="H218">
        <v>2</v>
      </c>
      <c r="I218">
        <v>7</v>
      </c>
      <c r="J218">
        <v>0.35</v>
      </c>
      <c r="K218">
        <v>16.64</v>
      </c>
      <c r="L218">
        <v>99.82</v>
      </c>
      <c r="M218">
        <v>14.29</v>
      </c>
      <c r="N218">
        <v>13.31</v>
      </c>
      <c r="O218">
        <v>81.52</v>
      </c>
      <c r="P218">
        <v>14.04</v>
      </c>
      <c r="Q218">
        <v>11.65</v>
      </c>
      <c r="R218">
        <v>64.88</v>
      </c>
      <c r="S218">
        <v>15.22</v>
      </c>
      <c r="T218">
        <v>0</v>
      </c>
      <c r="U218">
        <v>8.32</v>
      </c>
      <c r="V218">
        <v>0</v>
      </c>
      <c r="W218">
        <v>0.44</v>
      </c>
      <c r="X218">
        <v>7.51</v>
      </c>
      <c r="Y218">
        <v>5.5</v>
      </c>
      <c r="Z218">
        <v>4.99</v>
      </c>
      <c r="AA218">
        <v>44.92</v>
      </c>
      <c r="AB218">
        <v>10</v>
      </c>
      <c r="AC218">
        <v>3.33</v>
      </c>
      <c r="AD218">
        <v>34.94</v>
      </c>
      <c r="AE218">
        <v>8.6999999999999993</v>
      </c>
      <c r="AF218">
        <v>0</v>
      </c>
      <c r="AG218">
        <v>4.99</v>
      </c>
      <c r="AH218">
        <v>0</v>
      </c>
      <c r="AI218">
        <v>0</v>
      </c>
      <c r="AJ218">
        <v>85.71</v>
      </c>
      <c r="AK218">
        <v>0</v>
      </c>
      <c r="AL218">
        <v>18.3</v>
      </c>
      <c r="AM218">
        <v>0</v>
      </c>
      <c r="AN218">
        <v>0</v>
      </c>
      <c r="AO218">
        <v>16.64</v>
      </c>
      <c r="AP218">
        <v>0</v>
      </c>
      <c r="AQ218">
        <v>0</v>
      </c>
      <c r="AR218">
        <v>4.99</v>
      </c>
      <c r="AS218">
        <v>0</v>
      </c>
      <c r="AT218" t="s">
        <v>85</v>
      </c>
      <c r="AU218">
        <v>70</v>
      </c>
      <c r="AV218">
        <v>4.99</v>
      </c>
      <c r="AW218">
        <v>26.62</v>
      </c>
      <c r="AX218">
        <v>15.79</v>
      </c>
      <c r="AY218">
        <v>3.33</v>
      </c>
      <c r="AZ218">
        <v>18.3</v>
      </c>
      <c r="BA218">
        <v>15.38</v>
      </c>
      <c r="BB218">
        <v>0</v>
      </c>
      <c r="BC218">
        <v>0</v>
      </c>
      <c r="BD218" t="s">
        <v>85</v>
      </c>
      <c r="BE218">
        <v>0</v>
      </c>
      <c r="BF218">
        <v>100</v>
      </c>
      <c r="BG218">
        <v>4.99</v>
      </c>
      <c r="BH218">
        <v>51.57</v>
      </c>
      <c r="BI218">
        <v>8.82</v>
      </c>
      <c r="BJ218">
        <v>3.33</v>
      </c>
      <c r="BK218">
        <v>28.28</v>
      </c>
      <c r="BL218">
        <v>10.53</v>
      </c>
      <c r="BM218">
        <v>0</v>
      </c>
      <c r="BN218">
        <v>3.33</v>
      </c>
      <c r="BO218">
        <v>0</v>
      </c>
      <c r="BP218">
        <v>0</v>
      </c>
      <c r="BQ218">
        <v>88.24</v>
      </c>
      <c r="BR218">
        <v>0</v>
      </c>
      <c r="BS218">
        <v>87.18</v>
      </c>
      <c r="BT218">
        <v>0.872</v>
      </c>
    </row>
    <row r="219" spans="1:72" x14ac:dyDescent="0.35">
      <c r="A219">
        <v>5</v>
      </c>
      <c r="B219" t="s">
        <v>42</v>
      </c>
      <c r="C219">
        <v>10</v>
      </c>
      <c r="D219">
        <v>6.4</v>
      </c>
      <c r="E219">
        <v>6</v>
      </c>
      <c r="F219">
        <v>4</v>
      </c>
      <c r="G219">
        <v>0</v>
      </c>
      <c r="H219">
        <v>4</v>
      </c>
      <c r="I219">
        <v>12</v>
      </c>
      <c r="J219">
        <v>0.6</v>
      </c>
      <c r="K219">
        <v>23.31</v>
      </c>
      <c r="L219">
        <v>76.3</v>
      </c>
      <c r="M219">
        <v>23.4</v>
      </c>
      <c r="N219">
        <v>23.31</v>
      </c>
      <c r="O219">
        <v>62.53</v>
      </c>
      <c r="P219">
        <v>27.16</v>
      </c>
      <c r="Q219">
        <v>18.02</v>
      </c>
      <c r="R219">
        <v>50.87</v>
      </c>
      <c r="S219">
        <v>26.15</v>
      </c>
      <c r="T219">
        <v>0</v>
      </c>
      <c r="U219">
        <v>9.5399999999999991</v>
      </c>
      <c r="V219">
        <v>0</v>
      </c>
      <c r="W219">
        <v>1.02</v>
      </c>
      <c r="X219">
        <v>5.48</v>
      </c>
      <c r="Y219">
        <v>15.7</v>
      </c>
      <c r="Z219">
        <v>10.6</v>
      </c>
      <c r="AA219">
        <v>46.63</v>
      </c>
      <c r="AB219">
        <v>18.52</v>
      </c>
      <c r="AC219">
        <v>7.42</v>
      </c>
      <c r="AD219">
        <v>32.85</v>
      </c>
      <c r="AE219">
        <v>18.420000000000002</v>
      </c>
      <c r="AF219">
        <v>0</v>
      </c>
      <c r="AG219">
        <v>6.36</v>
      </c>
      <c r="AH219">
        <v>0</v>
      </c>
      <c r="AI219">
        <v>0</v>
      </c>
      <c r="AJ219">
        <v>80.650000000000006</v>
      </c>
      <c r="AK219">
        <v>4.24</v>
      </c>
      <c r="AL219">
        <v>21.2</v>
      </c>
      <c r="AM219">
        <v>16.670000000000002</v>
      </c>
      <c r="AN219">
        <v>3.18</v>
      </c>
      <c r="AO219">
        <v>18.02</v>
      </c>
      <c r="AP219">
        <v>15</v>
      </c>
      <c r="AQ219">
        <v>0</v>
      </c>
      <c r="AR219">
        <v>5.3</v>
      </c>
      <c r="AS219">
        <v>0</v>
      </c>
      <c r="AT219">
        <v>0</v>
      </c>
      <c r="AU219">
        <v>70.59</v>
      </c>
      <c r="AV219">
        <v>6.36</v>
      </c>
      <c r="AW219">
        <v>25.43</v>
      </c>
      <c r="AX219">
        <v>20</v>
      </c>
      <c r="AY219">
        <v>4.24</v>
      </c>
      <c r="AZ219">
        <v>14.84</v>
      </c>
      <c r="BA219">
        <v>22.22</v>
      </c>
      <c r="BB219">
        <v>0</v>
      </c>
      <c r="BC219">
        <v>1.06</v>
      </c>
      <c r="BD219">
        <v>0</v>
      </c>
      <c r="BE219">
        <v>0</v>
      </c>
      <c r="BF219">
        <v>92.86</v>
      </c>
      <c r="BG219">
        <v>6.36</v>
      </c>
      <c r="BH219">
        <v>28.61</v>
      </c>
      <c r="BI219">
        <v>18.18</v>
      </c>
      <c r="BJ219">
        <v>4.24</v>
      </c>
      <c r="BK219">
        <v>16.96</v>
      </c>
      <c r="BL219">
        <v>20</v>
      </c>
      <c r="BM219">
        <v>0</v>
      </c>
      <c r="BN219">
        <v>3.18</v>
      </c>
      <c r="BO219">
        <v>0</v>
      </c>
      <c r="BP219">
        <v>0</v>
      </c>
      <c r="BQ219">
        <v>81.25</v>
      </c>
      <c r="BR219">
        <v>0</v>
      </c>
      <c r="BS219">
        <v>81.25</v>
      </c>
      <c r="BT219">
        <v>0.81299999999999994</v>
      </c>
    </row>
    <row r="220" spans="1:72" x14ac:dyDescent="0.35">
      <c r="A220">
        <v>6</v>
      </c>
      <c r="B220" t="s">
        <v>43</v>
      </c>
      <c r="C220">
        <v>10</v>
      </c>
      <c r="D220">
        <v>4.1399999999999997</v>
      </c>
      <c r="E220">
        <v>3</v>
      </c>
      <c r="F220">
        <v>5</v>
      </c>
      <c r="G220">
        <v>2</v>
      </c>
      <c r="H220">
        <v>3</v>
      </c>
      <c r="I220">
        <v>8</v>
      </c>
      <c r="J220">
        <v>0.4</v>
      </c>
      <c r="K220">
        <v>11.36</v>
      </c>
      <c r="L220">
        <v>92.27</v>
      </c>
      <c r="M220">
        <v>10.96</v>
      </c>
      <c r="N220">
        <v>11.36</v>
      </c>
      <c r="O220">
        <v>70.98</v>
      </c>
      <c r="P220">
        <v>13.79</v>
      </c>
      <c r="Q220">
        <v>11.36</v>
      </c>
      <c r="R220">
        <v>53.94</v>
      </c>
      <c r="S220">
        <v>17.39</v>
      </c>
      <c r="T220">
        <v>1.42</v>
      </c>
      <c r="U220">
        <v>9.94</v>
      </c>
      <c r="V220">
        <v>12.5</v>
      </c>
      <c r="W220">
        <v>0.61</v>
      </c>
      <c r="X220">
        <v>5.96</v>
      </c>
      <c r="Y220">
        <v>9.25</v>
      </c>
      <c r="Z220">
        <v>5.68</v>
      </c>
      <c r="AA220">
        <v>41.17</v>
      </c>
      <c r="AB220">
        <v>12.12</v>
      </c>
      <c r="AC220">
        <v>5.68</v>
      </c>
      <c r="AD220">
        <v>28.39</v>
      </c>
      <c r="AE220">
        <v>16.670000000000002</v>
      </c>
      <c r="AF220">
        <v>1.42</v>
      </c>
      <c r="AG220">
        <v>8.52</v>
      </c>
      <c r="AH220">
        <v>14.29</v>
      </c>
      <c r="AI220">
        <v>25</v>
      </c>
      <c r="AJ220">
        <v>70</v>
      </c>
      <c r="AK220">
        <v>2.84</v>
      </c>
      <c r="AL220">
        <v>17.03</v>
      </c>
      <c r="AM220">
        <v>14.29</v>
      </c>
      <c r="AN220">
        <v>2.84</v>
      </c>
      <c r="AO220">
        <v>14.2</v>
      </c>
      <c r="AP220">
        <v>16.670000000000002</v>
      </c>
      <c r="AQ220">
        <v>0</v>
      </c>
      <c r="AR220">
        <v>5.68</v>
      </c>
      <c r="AS220">
        <v>0</v>
      </c>
      <c r="AT220">
        <v>0</v>
      </c>
      <c r="AU220">
        <v>60</v>
      </c>
      <c r="AV220">
        <v>2.84</v>
      </c>
      <c r="AW220">
        <v>24.13</v>
      </c>
      <c r="AX220">
        <v>10.53</v>
      </c>
      <c r="AY220">
        <v>2.84</v>
      </c>
      <c r="AZ220">
        <v>14.2</v>
      </c>
      <c r="BA220">
        <v>16.670000000000002</v>
      </c>
      <c r="BB220">
        <v>1.42</v>
      </c>
      <c r="BC220">
        <v>2.84</v>
      </c>
      <c r="BD220">
        <v>33.33</v>
      </c>
      <c r="BE220">
        <v>50</v>
      </c>
      <c r="BF220">
        <v>80</v>
      </c>
      <c r="BG220">
        <v>2.84</v>
      </c>
      <c r="BH220">
        <v>49.68</v>
      </c>
      <c r="BI220">
        <v>5.41</v>
      </c>
      <c r="BJ220">
        <v>2.84</v>
      </c>
      <c r="BK220">
        <v>25.55</v>
      </c>
      <c r="BL220">
        <v>10</v>
      </c>
      <c r="BM220">
        <v>0</v>
      </c>
      <c r="BN220">
        <v>1.42</v>
      </c>
      <c r="BO220">
        <v>0</v>
      </c>
      <c r="BP220">
        <v>0</v>
      </c>
      <c r="BQ220">
        <v>94.44</v>
      </c>
      <c r="BR220">
        <v>12.5</v>
      </c>
      <c r="BS220">
        <v>81.58</v>
      </c>
      <c r="BT220">
        <v>0.94099999999999995</v>
      </c>
    </row>
    <row r="221" spans="1:72" x14ac:dyDescent="0.35">
      <c r="A221">
        <v>7</v>
      </c>
      <c r="B221" t="s">
        <v>44</v>
      </c>
      <c r="C221">
        <v>10</v>
      </c>
      <c r="D221">
        <v>6.1</v>
      </c>
      <c r="E221">
        <v>4</v>
      </c>
      <c r="F221">
        <v>5</v>
      </c>
      <c r="G221">
        <v>1</v>
      </c>
      <c r="H221">
        <v>4</v>
      </c>
      <c r="I221">
        <v>9</v>
      </c>
      <c r="J221">
        <v>0.45</v>
      </c>
      <c r="K221">
        <v>11.69</v>
      </c>
      <c r="L221">
        <v>95.43</v>
      </c>
      <c r="M221">
        <v>10.91</v>
      </c>
      <c r="N221">
        <v>11.69</v>
      </c>
      <c r="O221">
        <v>72.06</v>
      </c>
      <c r="P221">
        <v>13.95</v>
      </c>
      <c r="Q221">
        <v>7.79</v>
      </c>
      <c r="R221">
        <v>47.71</v>
      </c>
      <c r="S221">
        <v>14.04</v>
      </c>
      <c r="T221">
        <v>0.97</v>
      </c>
      <c r="U221">
        <v>7.79</v>
      </c>
      <c r="V221">
        <v>11.11</v>
      </c>
      <c r="W221">
        <v>2.0099999999999998</v>
      </c>
      <c r="X221">
        <v>6.95</v>
      </c>
      <c r="Y221">
        <v>22.47</v>
      </c>
      <c r="Z221">
        <v>7.79</v>
      </c>
      <c r="AA221">
        <v>52.58</v>
      </c>
      <c r="AB221">
        <v>12.9</v>
      </c>
      <c r="AC221">
        <v>4.87</v>
      </c>
      <c r="AD221">
        <v>33.11</v>
      </c>
      <c r="AE221">
        <v>12.82</v>
      </c>
      <c r="AF221">
        <v>0.97</v>
      </c>
      <c r="AG221">
        <v>6.82</v>
      </c>
      <c r="AH221">
        <v>12.5</v>
      </c>
      <c r="AI221">
        <v>20</v>
      </c>
      <c r="AJ221">
        <v>79.41</v>
      </c>
      <c r="AK221">
        <v>4.87</v>
      </c>
      <c r="AL221">
        <v>20.45</v>
      </c>
      <c r="AM221">
        <v>19.23</v>
      </c>
      <c r="AN221">
        <v>3.9</v>
      </c>
      <c r="AO221">
        <v>15.58</v>
      </c>
      <c r="AP221">
        <v>20</v>
      </c>
      <c r="AQ221">
        <v>0.97</v>
      </c>
      <c r="AR221">
        <v>2.92</v>
      </c>
      <c r="AS221">
        <v>25</v>
      </c>
      <c r="AT221">
        <v>25</v>
      </c>
      <c r="AU221">
        <v>81.25</v>
      </c>
      <c r="AV221">
        <v>2.92</v>
      </c>
      <c r="AW221">
        <v>32.130000000000003</v>
      </c>
      <c r="AX221">
        <v>8.33</v>
      </c>
      <c r="AY221">
        <v>0.97</v>
      </c>
      <c r="AZ221">
        <v>17.53</v>
      </c>
      <c r="BA221">
        <v>5.26</v>
      </c>
      <c r="BB221">
        <v>0</v>
      </c>
      <c r="BC221">
        <v>3.9</v>
      </c>
      <c r="BD221">
        <v>0</v>
      </c>
      <c r="BE221">
        <v>0</v>
      </c>
      <c r="BF221">
        <v>77.78</v>
      </c>
      <c r="BG221">
        <v>0.97</v>
      </c>
      <c r="BH221">
        <v>39.92</v>
      </c>
      <c r="BI221">
        <v>2.38</v>
      </c>
      <c r="BJ221">
        <v>0</v>
      </c>
      <c r="BK221">
        <v>13.63</v>
      </c>
      <c r="BL221">
        <v>0</v>
      </c>
      <c r="BM221">
        <v>0</v>
      </c>
      <c r="BN221">
        <v>0.97</v>
      </c>
      <c r="BO221">
        <v>0</v>
      </c>
      <c r="BP221" t="s">
        <v>85</v>
      </c>
      <c r="BQ221">
        <v>92.86</v>
      </c>
      <c r="BR221">
        <v>12.5</v>
      </c>
      <c r="BS221">
        <v>83.67</v>
      </c>
      <c r="BT221">
        <v>0.96199999999999997</v>
      </c>
    </row>
    <row r="222" spans="1:72" x14ac:dyDescent="0.35">
      <c r="A222">
        <v>8</v>
      </c>
      <c r="B222" t="s">
        <v>45</v>
      </c>
      <c r="C222">
        <v>10</v>
      </c>
      <c r="D222">
        <v>6.34</v>
      </c>
      <c r="E222">
        <v>6</v>
      </c>
      <c r="F222">
        <v>1</v>
      </c>
      <c r="G222">
        <v>3</v>
      </c>
      <c r="H222">
        <v>5</v>
      </c>
      <c r="I222">
        <v>15</v>
      </c>
      <c r="J222">
        <v>0.75</v>
      </c>
      <c r="K222">
        <v>8.6300000000000008</v>
      </c>
      <c r="L222">
        <v>102.46</v>
      </c>
      <c r="M222">
        <v>7.77</v>
      </c>
      <c r="N222">
        <v>8.6300000000000008</v>
      </c>
      <c r="O222">
        <v>79.81</v>
      </c>
      <c r="P222">
        <v>9.76</v>
      </c>
      <c r="Q222">
        <v>6.47</v>
      </c>
      <c r="R222">
        <v>62.55</v>
      </c>
      <c r="S222">
        <v>9.3800000000000008</v>
      </c>
      <c r="T222">
        <v>0</v>
      </c>
      <c r="U222">
        <v>7.55</v>
      </c>
      <c r="V222">
        <v>0</v>
      </c>
      <c r="W222">
        <v>0.41</v>
      </c>
      <c r="X222">
        <v>6.96</v>
      </c>
      <c r="Y222">
        <v>5.61</v>
      </c>
      <c r="Z222">
        <v>3.24</v>
      </c>
      <c r="AA222">
        <v>49.61</v>
      </c>
      <c r="AB222">
        <v>6.12</v>
      </c>
      <c r="AC222">
        <v>1.08</v>
      </c>
      <c r="AD222">
        <v>31.28</v>
      </c>
      <c r="AE222">
        <v>3.33</v>
      </c>
      <c r="AF222">
        <v>0</v>
      </c>
      <c r="AG222">
        <v>4.3099999999999996</v>
      </c>
      <c r="AH222">
        <v>0</v>
      </c>
      <c r="AI222">
        <v>0</v>
      </c>
      <c r="AJ222">
        <v>86.21</v>
      </c>
      <c r="AK222">
        <v>1.08</v>
      </c>
      <c r="AL222">
        <v>19.41</v>
      </c>
      <c r="AM222">
        <v>5.26</v>
      </c>
      <c r="AN222">
        <v>1.08</v>
      </c>
      <c r="AO222">
        <v>16.18</v>
      </c>
      <c r="AP222">
        <v>6.25</v>
      </c>
      <c r="AQ222">
        <v>0</v>
      </c>
      <c r="AR222">
        <v>3.24</v>
      </c>
      <c r="AS222">
        <v>0</v>
      </c>
      <c r="AT222">
        <v>0</v>
      </c>
      <c r="AU222">
        <v>80</v>
      </c>
      <c r="AV222">
        <v>2.16</v>
      </c>
      <c r="AW222">
        <v>30.2</v>
      </c>
      <c r="AX222">
        <v>6.67</v>
      </c>
      <c r="AY222">
        <v>0</v>
      </c>
      <c r="AZ222">
        <v>15.1</v>
      </c>
      <c r="BA222">
        <v>0</v>
      </c>
      <c r="BB222">
        <v>0</v>
      </c>
      <c r="BC222">
        <v>1.08</v>
      </c>
      <c r="BD222">
        <v>0</v>
      </c>
      <c r="BE222" t="s">
        <v>85</v>
      </c>
      <c r="BF222">
        <v>92.86</v>
      </c>
      <c r="BG222">
        <v>3.24</v>
      </c>
      <c r="BH222">
        <v>49.61</v>
      </c>
      <c r="BI222">
        <v>6.12</v>
      </c>
      <c r="BJ222">
        <v>3.24</v>
      </c>
      <c r="BK222">
        <v>31.28</v>
      </c>
      <c r="BL222">
        <v>9.3800000000000008</v>
      </c>
      <c r="BM222">
        <v>0</v>
      </c>
      <c r="BN222">
        <v>3.24</v>
      </c>
      <c r="BO222">
        <v>0</v>
      </c>
      <c r="BP222">
        <v>0</v>
      </c>
      <c r="BQ222">
        <v>89.66</v>
      </c>
      <c r="BR222">
        <v>0</v>
      </c>
      <c r="BS222">
        <v>87.93</v>
      </c>
      <c r="BT222">
        <v>0.879</v>
      </c>
    </row>
    <row r="223" spans="1:72" x14ac:dyDescent="0.35">
      <c r="A223">
        <v>9</v>
      </c>
      <c r="B223" t="s">
        <v>46</v>
      </c>
      <c r="C223">
        <v>10</v>
      </c>
      <c r="D223">
        <v>5.12</v>
      </c>
      <c r="E223">
        <v>6</v>
      </c>
      <c r="F223">
        <v>3</v>
      </c>
      <c r="G223">
        <v>1</v>
      </c>
      <c r="H223">
        <v>6</v>
      </c>
      <c r="I223">
        <v>13</v>
      </c>
      <c r="J223">
        <v>0.65</v>
      </c>
      <c r="K223">
        <v>10.39</v>
      </c>
      <c r="L223">
        <v>91.18</v>
      </c>
      <c r="M223">
        <v>10.23</v>
      </c>
      <c r="N223">
        <v>9.23</v>
      </c>
      <c r="O223">
        <v>68.099999999999994</v>
      </c>
      <c r="P223">
        <v>11.94</v>
      </c>
      <c r="Q223">
        <v>8.08</v>
      </c>
      <c r="R223">
        <v>40.4</v>
      </c>
      <c r="S223">
        <v>16.670000000000002</v>
      </c>
      <c r="T223">
        <v>0</v>
      </c>
      <c r="U223">
        <v>2.31</v>
      </c>
      <c r="V223">
        <v>0</v>
      </c>
      <c r="W223">
        <v>0.42</v>
      </c>
      <c r="X223">
        <v>5.88</v>
      </c>
      <c r="Y223">
        <v>6.61</v>
      </c>
      <c r="Z223">
        <v>3.46</v>
      </c>
      <c r="AA223">
        <v>48.48</v>
      </c>
      <c r="AB223">
        <v>6.67</v>
      </c>
      <c r="AC223">
        <v>3.46</v>
      </c>
      <c r="AD223">
        <v>20.78</v>
      </c>
      <c r="AE223">
        <v>14.29</v>
      </c>
      <c r="AF223">
        <v>0</v>
      </c>
      <c r="AG223">
        <v>0</v>
      </c>
      <c r="AH223" t="s">
        <v>85</v>
      </c>
      <c r="AI223">
        <v>0</v>
      </c>
      <c r="AJ223">
        <v>100</v>
      </c>
      <c r="AK223">
        <v>1.1499999999999999</v>
      </c>
      <c r="AL223">
        <v>18.47</v>
      </c>
      <c r="AM223">
        <v>5.88</v>
      </c>
      <c r="AN223">
        <v>1.1499999999999999</v>
      </c>
      <c r="AO223">
        <v>10.39</v>
      </c>
      <c r="AP223">
        <v>10</v>
      </c>
      <c r="AQ223">
        <v>0</v>
      </c>
      <c r="AR223">
        <v>0</v>
      </c>
      <c r="AS223" t="s">
        <v>85</v>
      </c>
      <c r="AT223">
        <v>0</v>
      </c>
      <c r="AU223">
        <v>100</v>
      </c>
      <c r="AV223">
        <v>2.31</v>
      </c>
      <c r="AW223">
        <v>30.01</v>
      </c>
      <c r="AX223">
        <v>7.14</v>
      </c>
      <c r="AY223">
        <v>2.31</v>
      </c>
      <c r="AZ223">
        <v>10.39</v>
      </c>
      <c r="BA223">
        <v>18.18</v>
      </c>
      <c r="BB223">
        <v>0</v>
      </c>
      <c r="BC223">
        <v>0</v>
      </c>
      <c r="BD223" t="s">
        <v>85</v>
      </c>
      <c r="BE223">
        <v>0</v>
      </c>
      <c r="BF223">
        <v>100</v>
      </c>
      <c r="BG223">
        <v>5.77</v>
      </c>
      <c r="BH223">
        <v>41.55</v>
      </c>
      <c r="BI223">
        <v>12.2</v>
      </c>
      <c r="BJ223">
        <v>3.46</v>
      </c>
      <c r="BK223">
        <v>19.62</v>
      </c>
      <c r="BL223">
        <v>15</v>
      </c>
      <c r="BM223">
        <v>0</v>
      </c>
      <c r="BN223">
        <v>2.31</v>
      </c>
      <c r="BO223">
        <v>0</v>
      </c>
      <c r="BP223">
        <v>0</v>
      </c>
      <c r="BQ223">
        <v>88.24</v>
      </c>
      <c r="BR223">
        <v>0</v>
      </c>
      <c r="BS223">
        <v>94.29</v>
      </c>
      <c r="BT223">
        <v>0.94299999999999995</v>
      </c>
    </row>
    <row r="224" spans="1:72" x14ac:dyDescent="0.35">
      <c r="A224">
        <v>10</v>
      </c>
      <c r="B224" t="s">
        <v>47</v>
      </c>
      <c r="C224">
        <v>8</v>
      </c>
      <c r="D224">
        <v>5.1100000000000003</v>
      </c>
      <c r="E224">
        <v>2</v>
      </c>
      <c r="F224">
        <v>5</v>
      </c>
      <c r="G224">
        <v>1</v>
      </c>
      <c r="H224">
        <v>2</v>
      </c>
      <c r="I224">
        <v>5</v>
      </c>
      <c r="J224">
        <v>0.313</v>
      </c>
      <c r="K224">
        <v>17.38</v>
      </c>
      <c r="L224">
        <v>114.45</v>
      </c>
      <c r="M224">
        <v>13.19</v>
      </c>
      <c r="N224">
        <v>13.04</v>
      </c>
      <c r="O224">
        <v>92.72</v>
      </c>
      <c r="P224">
        <v>12.33</v>
      </c>
      <c r="Q224">
        <v>11.59</v>
      </c>
      <c r="R224">
        <v>68.09</v>
      </c>
      <c r="S224">
        <v>14.55</v>
      </c>
      <c r="T224">
        <v>0</v>
      </c>
      <c r="U224">
        <v>10.14</v>
      </c>
      <c r="V224">
        <v>0</v>
      </c>
      <c r="W224">
        <v>0.82</v>
      </c>
      <c r="X224">
        <v>8.34</v>
      </c>
      <c r="Y224">
        <v>9</v>
      </c>
      <c r="Z224">
        <v>7.24</v>
      </c>
      <c r="AA224">
        <v>44.91</v>
      </c>
      <c r="AB224">
        <v>13.89</v>
      </c>
      <c r="AC224">
        <v>5.79</v>
      </c>
      <c r="AD224">
        <v>34.770000000000003</v>
      </c>
      <c r="AE224">
        <v>14.29</v>
      </c>
      <c r="AF224">
        <v>0</v>
      </c>
      <c r="AG224">
        <v>7.24</v>
      </c>
      <c r="AH224">
        <v>0</v>
      </c>
      <c r="AI224">
        <v>0</v>
      </c>
      <c r="AJ224">
        <v>79.17</v>
      </c>
      <c r="AK224">
        <v>1.45</v>
      </c>
      <c r="AL224">
        <v>27.53</v>
      </c>
      <c r="AM224">
        <v>5</v>
      </c>
      <c r="AN224">
        <v>1.45</v>
      </c>
      <c r="AO224">
        <v>21.73</v>
      </c>
      <c r="AP224">
        <v>6.25</v>
      </c>
      <c r="AQ224">
        <v>0</v>
      </c>
      <c r="AR224">
        <v>7.24</v>
      </c>
      <c r="AS224">
        <v>0</v>
      </c>
      <c r="AT224">
        <v>0</v>
      </c>
      <c r="AU224">
        <v>66.67</v>
      </c>
      <c r="AV224">
        <v>5.79</v>
      </c>
      <c r="AW224">
        <v>17.38</v>
      </c>
      <c r="AX224">
        <v>25</v>
      </c>
      <c r="AY224">
        <v>4.3499999999999996</v>
      </c>
      <c r="AZ224">
        <v>13.04</v>
      </c>
      <c r="BA224">
        <v>25</v>
      </c>
      <c r="BB224">
        <v>0</v>
      </c>
      <c r="BC224">
        <v>0</v>
      </c>
      <c r="BD224" t="s">
        <v>85</v>
      </c>
      <c r="BE224">
        <v>0</v>
      </c>
      <c r="BF224">
        <v>100</v>
      </c>
      <c r="BG224">
        <v>8.69</v>
      </c>
      <c r="BH224">
        <v>66.64</v>
      </c>
      <c r="BI224">
        <v>11.54</v>
      </c>
      <c r="BJ224">
        <v>5.79</v>
      </c>
      <c r="BK224">
        <v>31.87</v>
      </c>
      <c r="BL224">
        <v>15.38</v>
      </c>
      <c r="BM224">
        <v>0</v>
      </c>
      <c r="BN224">
        <v>2.9</v>
      </c>
      <c r="BO224">
        <v>0</v>
      </c>
      <c r="BP224">
        <v>0</v>
      </c>
      <c r="BQ224">
        <v>90.91</v>
      </c>
      <c r="BR224">
        <v>0</v>
      </c>
      <c r="BS224">
        <v>85.11</v>
      </c>
      <c r="BT224">
        <v>0.85099999999999998</v>
      </c>
    </row>
    <row r="225" spans="1:72" x14ac:dyDescent="0.35">
      <c r="A225">
        <v>11</v>
      </c>
      <c r="B225" t="s">
        <v>48</v>
      </c>
      <c r="C225">
        <v>10</v>
      </c>
      <c r="D225">
        <v>4</v>
      </c>
      <c r="E225">
        <v>3</v>
      </c>
      <c r="F225">
        <v>7</v>
      </c>
      <c r="G225">
        <v>0</v>
      </c>
      <c r="H225">
        <v>3</v>
      </c>
      <c r="I225">
        <v>6</v>
      </c>
      <c r="J225">
        <v>0.3</v>
      </c>
      <c r="K225">
        <v>5.99</v>
      </c>
      <c r="L225">
        <v>79.37</v>
      </c>
      <c r="M225">
        <v>7.02</v>
      </c>
      <c r="N225">
        <v>5.99</v>
      </c>
      <c r="O225">
        <v>62.9</v>
      </c>
      <c r="P225">
        <v>8.6999999999999993</v>
      </c>
      <c r="Q225">
        <v>5.99</v>
      </c>
      <c r="R225">
        <v>44.93</v>
      </c>
      <c r="S225">
        <v>11.76</v>
      </c>
      <c r="T225">
        <v>0</v>
      </c>
      <c r="U225">
        <v>7.49</v>
      </c>
      <c r="V225">
        <v>0</v>
      </c>
      <c r="W225">
        <v>0.15</v>
      </c>
      <c r="X225">
        <v>5.76</v>
      </c>
      <c r="Y225">
        <v>2.5099999999999998</v>
      </c>
      <c r="Z225">
        <v>0</v>
      </c>
      <c r="AA225">
        <v>41.93</v>
      </c>
      <c r="AB225">
        <v>0</v>
      </c>
      <c r="AC225">
        <v>0</v>
      </c>
      <c r="AD225">
        <v>29.95</v>
      </c>
      <c r="AE225">
        <v>0</v>
      </c>
      <c r="AF225">
        <v>0</v>
      </c>
      <c r="AG225">
        <v>5.99</v>
      </c>
      <c r="AH225">
        <v>0</v>
      </c>
      <c r="AI225" t="s">
        <v>85</v>
      </c>
      <c r="AJ225">
        <v>80</v>
      </c>
      <c r="AK225">
        <v>0</v>
      </c>
      <c r="AL225">
        <v>13.48</v>
      </c>
      <c r="AM225">
        <v>0</v>
      </c>
      <c r="AN225">
        <v>0</v>
      </c>
      <c r="AO225">
        <v>13.48</v>
      </c>
      <c r="AP225">
        <v>0</v>
      </c>
      <c r="AQ225">
        <v>0</v>
      </c>
      <c r="AR225">
        <v>1.5</v>
      </c>
      <c r="AS225">
        <v>0</v>
      </c>
      <c r="AT225" t="s">
        <v>85</v>
      </c>
      <c r="AU225">
        <v>88.89</v>
      </c>
      <c r="AV225">
        <v>0</v>
      </c>
      <c r="AW225">
        <v>28.45</v>
      </c>
      <c r="AX225">
        <v>0</v>
      </c>
      <c r="AY225">
        <v>0</v>
      </c>
      <c r="AZ225">
        <v>16.47</v>
      </c>
      <c r="BA225">
        <v>0</v>
      </c>
      <c r="BB225">
        <v>0</v>
      </c>
      <c r="BC225">
        <v>4.49</v>
      </c>
      <c r="BD225">
        <v>0</v>
      </c>
      <c r="BE225" t="s">
        <v>85</v>
      </c>
      <c r="BF225">
        <v>72.73</v>
      </c>
      <c r="BG225">
        <v>3</v>
      </c>
      <c r="BH225">
        <v>37.44</v>
      </c>
      <c r="BI225">
        <v>7.41</v>
      </c>
      <c r="BJ225">
        <v>3</v>
      </c>
      <c r="BK225">
        <v>14.98</v>
      </c>
      <c r="BL225">
        <v>16.670000000000002</v>
      </c>
      <c r="BM225">
        <v>0</v>
      </c>
      <c r="BN225">
        <v>1.5</v>
      </c>
      <c r="BO225">
        <v>0</v>
      </c>
      <c r="BP225">
        <v>0</v>
      </c>
      <c r="BQ225">
        <v>90</v>
      </c>
      <c r="BR225">
        <v>0</v>
      </c>
      <c r="BS225">
        <v>83.33</v>
      </c>
      <c r="BT225">
        <v>0.83299999999999996</v>
      </c>
    </row>
    <row r="226" spans="1:72" x14ac:dyDescent="0.35">
      <c r="A226">
        <v>12</v>
      </c>
      <c r="B226" t="s">
        <v>49</v>
      </c>
      <c r="C226">
        <v>10</v>
      </c>
      <c r="D226">
        <v>4.29</v>
      </c>
      <c r="E226">
        <v>7</v>
      </c>
      <c r="F226">
        <v>3</v>
      </c>
      <c r="G226">
        <v>0</v>
      </c>
      <c r="H226">
        <v>7</v>
      </c>
      <c r="I226">
        <v>14</v>
      </c>
      <c r="J226">
        <v>0.7</v>
      </c>
      <c r="K226">
        <v>14.7</v>
      </c>
      <c r="L226">
        <v>113.59</v>
      </c>
      <c r="M226">
        <v>11.46</v>
      </c>
      <c r="N226">
        <v>13.36</v>
      </c>
      <c r="O226">
        <v>78.84</v>
      </c>
      <c r="P226">
        <v>14.49</v>
      </c>
      <c r="Q226">
        <v>9.35</v>
      </c>
      <c r="R226">
        <v>56.12</v>
      </c>
      <c r="S226">
        <v>14.29</v>
      </c>
      <c r="T226">
        <v>1.34</v>
      </c>
      <c r="U226">
        <v>6.68</v>
      </c>
      <c r="V226">
        <v>16.670000000000002</v>
      </c>
      <c r="W226">
        <v>0.78</v>
      </c>
      <c r="X226">
        <v>7.21</v>
      </c>
      <c r="Y226">
        <v>9.8000000000000007</v>
      </c>
      <c r="Z226">
        <v>6.68</v>
      </c>
      <c r="AA226">
        <v>62.81</v>
      </c>
      <c r="AB226">
        <v>9.6199999999999992</v>
      </c>
      <c r="AC226">
        <v>4.01</v>
      </c>
      <c r="AD226">
        <v>30.73</v>
      </c>
      <c r="AE226">
        <v>11.54</v>
      </c>
      <c r="AF226">
        <v>1.34</v>
      </c>
      <c r="AG226">
        <v>4.01</v>
      </c>
      <c r="AH226">
        <v>25</v>
      </c>
      <c r="AI226">
        <v>33.33</v>
      </c>
      <c r="AJ226">
        <v>86.96</v>
      </c>
      <c r="AK226">
        <v>2.67</v>
      </c>
      <c r="AL226">
        <v>22.72</v>
      </c>
      <c r="AM226">
        <v>10.53</v>
      </c>
      <c r="AN226">
        <v>2.67</v>
      </c>
      <c r="AO226">
        <v>14.7</v>
      </c>
      <c r="AP226">
        <v>15.38</v>
      </c>
      <c r="AQ226">
        <v>1.34</v>
      </c>
      <c r="AR226">
        <v>1.34</v>
      </c>
      <c r="AS226">
        <v>50</v>
      </c>
      <c r="AT226">
        <v>50</v>
      </c>
      <c r="AU226">
        <v>90.91</v>
      </c>
      <c r="AV226">
        <v>4.01</v>
      </c>
      <c r="AW226">
        <v>40.090000000000003</v>
      </c>
      <c r="AX226">
        <v>9.09</v>
      </c>
      <c r="AY226">
        <v>1.34</v>
      </c>
      <c r="AZ226">
        <v>16.04</v>
      </c>
      <c r="BA226">
        <v>7.69</v>
      </c>
      <c r="BB226">
        <v>0</v>
      </c>
      <c r="BC226">
        <v>2.67</v>
      </c>
      <c r="BD226">
        <v>0</v>
      </c>
      <c r="BE226">
        <v>0</v>
      </c>
      <c r="BF226">
        <v>83.33</v>
      </c>
      <c r="BG226">
        <v>1.34</v>
      </c>
      <c r="BH226">
        <v>48.11</v>
      </c>
      <c r="BI226">
        <v>2.7</v>
      </c>
      <c r="BJ226">
        <v>1.34</v>
      </c>
      <c r="BK226">
        <v>25.39</v>
      </c>
      <c r="BL226">
        <v>5</v>
      </c>
      <c r="BM226">
        <v>0</v>
      </c>
      <c r="BN226">
        <v>2.67</v>
      </c>
      <c r="BO226">
        <v>0</v>
      </c>
      <c r="BP226">
        <v>0</v>
      </c>
      <c r="BQ226">
        <v>89.47</v>
      </c>
      <c r="BR226">
        <v>14.29</v>
      </c>
      <c r="BS226">
        <v>88.1</v>
      </c>
      <c r="BT226">
        <v>1.024</v>
      </c>
    </row>
    <row r="227" spans="1:72" x14ac:dyDescent="0.35">
      <c r="A227">
        <v>13</v>
      </c>
      <c r="B227" t="s">
        <v>50</v>
      </c>
      <c r="C227">
        <v>10</v>
      </c>
      <c r="D227">
        <v>6.32</v>
      </c>
      <c r="E227">
        <v>8</v>
      </c>
      <c r="F227">
        <v>1</v>
      </c>
      <c r="G227">
        <v>1</v>
      </c>
      <c r="H227">
        <v>7</v>
      </c>
      <c r="I227">
        <v>17</v>
      </c>
      <c r="J227">
        <v>0.85</v>
      </c>
      <c r="K227">
        <v>9.76</v>
      </c>
      <c r="L227">
        <v>81.3</v>
      </c>
      <c r="M227">
        <v>10.71</v>
      </c>
      <c r="N227">
        <v>6.5</v>
      </c>
      <c r="O227">
        <v>69.38</v>
      </c>
      <c r="P227">
        <v>8.57</v>
      </c>
      <c r="Q227">
        <v>4.34</v>
      </c>
      <c r="R227">
        <v>47.7</v>
      </c>
      <c r="S227">
        <v>8.33</v>
      </c>
      <c r="T227">
        <v>0</v>
      </c>
      <c r="U227">
        <v>3.25</v>
      </c>
      <c r="V227">
        <v>0</v>
      </c>
      <c r="W227">
        <v>0.57999999999999996</v>
      </c>
      <c r="X227">
        <v>5.68</v>
      </c>
      <c r="Y227">
        <v>9.2100000000000009</v>
      </c>
      <c r="Z227">
        <v>2.17</v>
      </c>
      <c r="AA227">
        <v>36.86</v>
      </c>
      <c r="AB227">
        <v>5.56</v>
      </c>
      <c r="AC227">
        <v>1.08</v>
      </c>
      <c r="AD227">
        <v>24.93</v>
      </c>
      <c r="AE227">
        <v>4.17</v>
      </c>
      <c r="AF227">
        <v>0</v>
      </c>
      <c r="AG227">
        <v>2.17</v>
      </c>
      <c r="AH227">
        <v>0</v>
      </c>
      <c r="AI227">
        <v>0</v>
      </c>
      <c r="AJ227">
        <v>91.3</v>
      </c>
      <c r="AK227">
        <v>1.08</v>
      </c>
      <c r="AL227">
        <v>14.09</v>
      </c>
      <c r="AM227">
        <v>7.14</v>
      </c>
      <c r="AN227">
        <v>1.08</v>
      </c>
      <c r="AO227">
        <v>9.76</v>
      </c>
      <c r="AP227">
        <v>10</v>
      </c>
      <c r="AQ227">
        <v>0</v>
      </c>
      <c r="AR227">
        <v>1.08</v>
      </c>
      <c r="AS227">
        <v>0</v>
      </c>
      <c r="AT227">
        <v>0</v>
      </c>
      <c r="AU227">
        <v>88.89</v>
      </c>
      <c r="AV227">
        <v>1.08</v>
      </c>
      <c r="AW227">
        <v>22.76</v>
      </c>
      <c r="AX227">
        <v>4.55</v>
      </c>
      <c r="AY227">
        <v>0</v>
      </c>
      <c r="AZ227">
        <v>15.18</v>
      </c>
      <c r="BA227">
        <v>0</v>
      </c>
      <c r="BB227">
        <v>0</v>
      </c>
      <c r="BC227">
        <v>1.08</v>
      </c>
      <c r="BD227">
        <v>0</v>
      </c>
      <c r="BE227" t="s">
        <v>85</v>
      </c>
      <c r="BF227">
        <v>92.86</v>
      </c>
      <c r="BG227">
        <v>7.59</v>
      </c>
      <c r="BH227">
        <v>43.36</v>
      </c>
      <c r="BI227">
        <v>14.89</v>
      </c>
      <c r="BJ227">
        <v>3.25</v>
      </c>
      <c r="BK227">
        <v>21.68</v>
      </c>
      <c r="BL227">
        <v>13.04</v>
      </c>
      <c r="BM227">
        <v>0</v>
      </c>
      <c r="BN227">
        <v>1.08</v>
      </c>
      <c r="BO227">
        <v>0</v>
      </c>
      <c r="BP227">
        <v>0</v>
      </c>
      <c r="BQ227">
        <v>95</v>
      </c>
      <c r="BR227">
        <v>0</v>
      </c>
      <c r="BS227">
        <v>93.18</v>
      </c>
      <c r="BT227">
        <v>0.93200000000000005</v>
      </c>
    </row>
    <row r="228" spans="1:72" x14ac:dyDescent="0.35">
      <c r="A228">
        <v>14</v>
      </c>
      <c r="B228" t="s">
        <v>51</v>
      </c>
      <c r="C228">
        <v>10</v>
      </c>
      <c r="D228">
        <v>6.44</v>
      </c>
      <c r="E228">
        <v>5</v>
      </c>
      <c r="F228">
        <v>4</v>
      </c>
      <c r="G228">
        <v>1</v>
      </c>
      <c r="H228">
        <v>4</v>
      </c>
      <c r="I228">
        <v>11</v>
      </c>
      <c r="J228">
        <v>0.55000000000000004</v>
      </c>
      <c r="K228">
        <v>6.27</v>
      </c>
      <c r="L228">
        <v>97.24</v>
      </c>
      <c r="M228">
        <v>6.06</v>
      </c>
      <c r="N228">
        <v>6.27</v>
      </c>
      <c r="O228">
        <v>73.19</v>
      </c>
      <c r="P228">
        <v>7.89</v>
      </c>
      <c r="Q228">
        <v>4.18</v>
      </c>
      <c r="R228">
        <v>58.55</v>
      </c>
      <c r="S228">
        <v>6.67</v>
      </c>
      <c r="T228">
        <v>1.05</v>
      </c>
      <c r="U228">
        <v>4.18</v>
      </c>
      <c r="V228">
        <v>20</v>
      </c>
      <c r="W228">
        <v>0.55000000000000004</v>
      </c>
      <c r="X228">
        <v>5.73</v>
      </c>
      <c r="Y228">
        <v>8.83</v>
      </c>
      <c r="Z228">
        <v>4.18</v>
      </c>
      <c r="AA228">
        <v>37.64</v>
      </c>
      <c r="AB228">
        <v>10</v>
      </c>
      <c r="AC228">
        <v>2.09</v>
      </c>
      <c r="AD228">
        <v>23</v>
      </c>
      <c r="AE228">
        <v>8.33</v>
      </c>
      <c r="AF228">
        <v>1.05</v>
      </c>
      <c r="AG228">
        <v>2.09</v>
      </c>
      <c r="AH228">
        <v>33.33</v>
      </c>
      <c r="AI228">
        <v>50</v>
      </c>
      <c r="AJ228">
        <v>90.91</v>
      </c>
      <c r="AK228">
        <v>3.14</v>
      </c>
      <c r="AL228">
        <v>14.64</v>
      </c>
      <c r="AM228">
        <v>17.649999999999999</v>
      </c>
      <c r="AN228">
        <v>1.05</v>
      </c>
      <c r="AO228">
        <v>10.46</v>
      </c>
      <c r="AP228">
        <v>9.09</v>
      </c>
      <c r="AQ228">
        <v>1.05</v>
      </c>
      <c r="AR228">
        <v>1.05</v>
      </c>
      <c r="AS228">
        <v>50</v>
      </c>
      <c r="AT228">
        <v>100</v>
      </c>
      <c r="AU228">
        <v>90</v>
      </c>
      <c r="AV228">
        <v>1.05</v>
      </c>
      <c r="AW228">
        <v>23</v>
      </c>
      <c r="AX228">
        <v>4.3499999999999996</v>
      </c>
      <c r="AY228">
        <v>1.05</v>
      </c>
      <c r="AZ228">
        <v>12.55</v>
      </c>
      <c r="BA228">
        <v>7.69</v>
      </c>
      <c r="BB228">
        <v>0</v>
      </c>
      <c r="BC228">
        <v>1.05</v>
      </c>
      <c r="BD228">
        <v>0</v>
      </c>
      <c r="BE228">
        <v>0</v>
      </c>
      <c r="BF228">
        <v>91.67</v>
      </c>
      <c r="BG228">
        <v>1.05</v>
      </c>
      <c r="BH228">
        <v>58.55</v>
      </c>
      <c r="BI228">
        <v>1.75</v>
      </c>
      <c r="BJ228">
        <v>1.05</v>
      </c>
      <c r="BK228">
        <v>35.549999999999997</v>
      </c>
      <c r="BL228">
        <v>2.86</v>
      </c>
      <c r="BM228">
        <v>0</v>
      </c>
      <c r="BN228">
        <v>2.09</v>
      </c>
      <c r="BO228">
        <v>0</v>
      </c>
      <c r="BP228">
        <v>0</v>
      </c>
      <c r="BQ228">
        <v>94.12</v>
      </c>
      <c r="BR228">
        <v>25</v>
      </c>
      <c r="BS228">
        <v>92.86</v>
      </c>
      <c r="BT228">
        <v>1.179</v>
      </c>
    </row>
    <row r="229" spans="1:72" x14ac:dyDescent="0.35">
      <c r="A229">
        <v>15</v>
      </c>
      <c r="B229" t="s">
        <v>52</v>
      </c>
      <c r="C229">
        <v>10</v>
      </c>
      <c r="D229">
        <v>5.14</v>
      </c>
      <c r="E229">
        <v>5</v>
      </c>
      <c r="F229">
        <v>4</v>
      </c>
      <c r="G229">
        <v>1</v>
      </c>
      <c r="H229">
        <v>5</v>
      </c>
      <c r="I229">
        <v>11</v>
      </c>
      <c r="J229">
        <v>0.55000000000000004</v>
      </c>
      <c r="K229">
        <v>19.48</v>
      </c>
      <c r="L229">
        <v>83.67</v>
      </c>
      <c r="M229">
        <v>18.89</v>
      </c>
      <c r="N229">
        <v>17.190000000000001</v>
      </c>
      <c r="O229">
        <v>66.48</v>
      </c>
      <c r="P229">
        <v>20.55</v>
      </c>
      <c r="Q229">
        <v>14.9</v>
      </c>
      <c r="R229">
        <v>51.58</v>
      </c>
      <c r="S229">
        <v>22.41</v>
      </c>
      <c r="T229">
        <v>1.1499999999999999</v>
      </c>
      <c r="U229">
        <v>5.73</v>
      </c>
      <c r="V229">
        <v>16.670000000000002</v>
      </c>
      <c r="W229">
        <v>0.88</v>
      </c>
      <c r="X229">
        <v>5.14</v>
      </c>
      <c r="Y229">
        <v>14.61</v>
      </c>
      <c r="Z229">
        <v>8.02</v>
      </c>
      <c r="AA229">
        <v>36.68</v>
      </c>
      <c r="AB229">
        <v>17.95</v>
      </c>
      <c r="AC229">
        <v>6.88</v>
      </c>
      <c r="AD229">
        <v>28.65</v>
      </c>
      <c r="AE229">
        <v>19.350000000000001</v>
      </c>
      <c r="AF229">
        <v>1.1499999999999999</v>
      </c>
      <c r="AG229">
        <v>3.44</v>
      </c>
      <c r="AH229">
        <v>25</v>
      </c>
      <c r="AI229">
        <v>16.670000000000002</v>
      </c>
      <c r="AJ229">
        <v>88</v>
      </c>
      <c r="AK229">
        <v>5.73</v>
      </c>
      <c r="AL229">
        <v>13.75</v>
      </c>
      <c r="AM229">
        <v>29.41</v>
      </c>
      <c r="AN229">
        <v>4.58</v>
      </c>
      <c r="AO229">
        <v>10.32</v>
      </c>
      <c r="AP229">
        <v>30.77</v>
      </c>
      <c r="AQ229">
        <v>0</v>
      </c>
      <c r="AR229">
        <v>1.1499999999999999</v>
      </c>
      <c r="AS229">
        <v>0</v>
      </c>
      <c r="AT229">
        <v>0</v>
      </c>
      <c r="AU229">
        <v>88.89</v>
      </c>
      <c r="AV229">
        <v>2.29</v>
      </c>
      <c r="AW229">
        <v>22.92</v>
      </c>
      <c r="AX229">
        <v>9.09</v>
      </c>
      <c r="AY229">
        <v>2.29</v>
      </c>
      <c r="AZ229">
        <v>18.34</v>
      </c>
      <c r="BA229">
        <v>11.11</v>
      </c>
      <c r="BB229">
        <v>1.1499999999999999</v>
      </c>
      <c r="BC229">
        <v>2.29</v>
      </c>
      <c r="BD229">
        <v>33.33</v>
      </c>
      <c r="BE229">
        <v>50</v>
      </c>
      <c r="BF229">
        <v>87.5</v>
      </c>
      <c r="BG229">
        <v>5.73</v>
      </c>
      <c r="BH229">
        <v>45.85</v>
      </c>
      <c r="BI229">
        <v>11.11</v>
      </c>
      <c r="BJ229">
        <v>2.29</v>
      </c>
      <c r="BK229">
        <v>22.92</v>
      </c>
      <c r="BL229">
        <v>9.09</v>
      </c>
      <c r="BM229">
        <v>0</v>
      </c>
      <c r="BN229">
        <v>2.29</v>
      </c>
      <c r="BO229">
        <v>0</v>
      </c>
      <c r="BP229">
        <v>0</v>
      </c>
      <c r="BQ229">
        <v>90</v>
      </c>
      <c r="BR229">
        <v>7.69</v>
      </c>
      <c r="BS229">
        <v>88.89</v>
      </c>
      <c r="BT229">
        <v>0.96599999999999997</v>
      </c>
    </row>
    <row r="230" spans="1:72" x14ac:dyDescent="0.35">
      <c r="A230">
        <v>16</v>
      </c>
      <c r="B230" t="s">
        <v>53</v>
      </c>
      <c r="C230">
        <v>10</v>
      </c>
      <c r="D230">
        <v>7.02</v>
      </c>
      <c r="E230">
        <v>5</v>
      </c>
      <c r="F230">
        <v>1</v>
      </c>
      <c r="G230">
        <v>4</v>
      </c>
      <c r="H230">
        <v>5</v>
      </c>
      <c r="I230">
        <v>14</v>
      </c>
      <c r="J230">
        <v>0.7</v>
      </c>
      <c r="K230">
        <v>10.23</v>
      </c>
      <c r="L230">
        <v>97.23</v>
      </c>
      <c r="M230">
        <v>9.52</v>
      </c>
      <c r="N230">
        <v>9.3800000000000008</v>
      </c>
      <c r="O230">
        <v>80.17</v>
      </c>
      <c r="P230">
        <v>10.48</v>
      </c>
      <c r="Q230">
        <v>7.68</v>
      </c>
      <c r="R230">
        <v>58.85</v>
      </c>
      <c r="S230">
        <v>11.54</v>
      </c>
      <c r="T230">
        <v>2.56</v>
      </c>
      <c r="U230">
        <v>7.68</v>
      </c>
      <c r="V230">
        <v>25</v>
      </c>
      <c r="W230">
        <v>0.69</v>
      </c>
      <c r="X230">
        <v>8.1</v>
      </c>
      <c r="Y230">
        <v>7.87</v>
      </c>
      <c r="Z230">
        <v>5.97</v>
      </c>
      <c r="AA230">
        <v>62.26</v>
      </c>
      <c r="AB230">
        <v>8.75</v>
      </c>
      <c r="AC230">
        <v>5.12</v>
      </c>
      <c r="AD230">
        <v>37.53</v>
      </c>
      <c r="AE230">
        <v>12</v>
      </c>
      <c r="AF230">
        <v>2.56</v>
      </c>
      <c r="AG230">
        <v>6.82</v>
      </c>
      <c r="AH230">
        <v>27.27</v>
      </c>
      <c r="AI230">
        <v>50</v>
      </c>
      <c r="AJ230">
        <v>81.819999999999993</v>
      </c>
      <c r="AK230">
        <v>2.56</v>
      </c>
      <c r="AL230">
        <v>26.44</v>
      </c>
      <c r="AM230">
        <v>8.82</v>
      </c>
      <c r="AN230">
        <v>1.71</v>
      </c>
      <c r="AO230">
        <v>17.059999999999999</v>
      </c>
      <c r="AP230">
        <v>9.09</v>
      </c>
      <c r="AQ230">
        <v>0.85</v>
      </c>
      <c r="AR230">
        <v>4.26</v>
      </c>
      <c r="AS230">
        <v>16.670000000000002</v>
      </c>
      <c r="AT230">
        <v>50</v>
      </c>
      <c r="AU230">
        <v>75</v>
      </c>
      <c r="AV230">
        <v>3.41</v>
      </c>
      <c r="AW230">
        <v>35.82</v>
      </c>
      <c r="AX230">
        <v>8.6999999999999993</v>
      </c>
      <c r="AY230">
        <v>3.41</v>
      </c>
      <c r="AZ230">
        <v>20.47</v>
      </c>
      <c r="BA230">
        <v>14.29</v>
      </c>
      <c r="BB230">
        <v>1.71</v>
      </c>
      <c r="BC230">
        <v>2.56</v>
      </c>
      <c r="BD230">
        <v>40</v>
      </c>
      <c r="BE230">
        <v>50</v>
      </c>
      <c r="BF230">
        <v>87.5</v>
      </c>
      <c r="BG230">
        <v>1.71</v>
      </c>
      <c r="BH230">
        <v>34.119999999999997</v>
      </c>
      <c r="BI230">
        <v>4.76</v>
      </c>
      <c r="BJ230">
        <v>0</v>
      </c>
      <c r="BK230">
        <v>21.32</v>
      </c>
      <c r="BL230">
        <v>0</v>
      </c>
      <c r="BM230">
        <v>0</v>
      </c>
      <c r="BN230">
        <v>0.85</v>
      </c>
      <c r="BO230">
        <v>0</v>
      </c>
      <c r="BP230" t="s">
        <v>85</v>
      </c>
      <c r="BQ230">
        <v>96</v>
      </c>
      <c r="BR230">
        <v>33.33</v>
      </c>
      <c r="BS230">
        <v>86.96</v>
      </c>
      <c r="BT230">
        <v>1.2030000000000001</v>
      </c>
    </row>
    <row r="231" spans="1:72" x14ac:dyDescent="0.35">
      <c r="A231">
        <v>17</v>
      </c>
      <c r="B231" t="s">
        <v>54</v>
      </c>
      <c r="C231">
        <v>8</v>
      </c>
      <c r="D231">
        <v>5.18</v>
      </c>
      <c r="E231">
        <v>5</v>
      </c>
      <c r="F231">
        <v>2</v>
      </c>
      <c r="G231">
        <v>1</v>
      </c>
      <c r="H231">
        <v>5</v>
      </c>
      <c r="I231">
        <v>11</v>
      </c>
      <c r="J231">
        <v>0.68799999999999994</v>
      </c>
      <c r="K231">
        <v>8.48</v>
      </c>
      <c r="L231">
        <v>113.12</v>
      </c>
      <c r="M231">
        <v>6.98</v>
      </c>
      <c r="N231">
        <v>7.07</v>
      </c>
      <c r="O231">
        <v>97.56</v>
      </c>
      <c r="P231">
        <v>6.76</v>
      </c>
      <c r="Q231">
        <v>7.07</v>
      </c>
      <c r="R231">
        <v>80.599999999999994</v>
      </c>
      <c r="S231">
        <v>8.06</v>
      </c>
      <c r="T231">
        <v>1.41</v>
      </c>
      <c r="U231">
        <v>19.8</v>
      </c>
      <c r="V231">
        <v>6.67</v>
      </c>
      <c r="W231">
        <v>0.46</v>
      </c>
      <c r="X231">
        <v>9.26</v>
      </c>
      <c r="Y231">
        <v>4.7300000000000004</v>
      </c>
      <c r="Z231">
        <v>5.66</v>
      </c>
      <c r="AA231">
        <v>59.39</v>
      </c>
      <c r="AB231">
        <v>8.6999999999999993</v>
      </c>
      <c r="AC231">
        <v>4.24</v>
      </c>
      <c r="AD231">
        <v>46.66</v>
      </c>
      <c r="AE231">
        <v>8.33</v>
      </c>
      <c r="AF231">
        <v>1.41</v>
      </c>
      <c r="AG231">
        <v>15.55</v>
      </c>
      <c r="AH231">
        <v>8.33</v>
      </c>
      <c r="AI231">
        <v>33.33</v>
      </c>
      <c r="AJ231">
        <v>66.67</v>
      </c>
      <c r="AK231">
        <v>4.24</v>
      </c>
      <c r="AL231">
        <v>33.94</v>
      </c>
      <c r="AM231">
        <v>11.11</v>
      </c>
      <c r="AN231">
        <v>4.24</v>
      </c>
      <c r="AO231">
        <v>29.69</v>
      </c>
      <c r="AP231">
        <v>12.5</v>
      </c>
      <c r="AQ231">
        <v>1.41</v>
      </c>
      <c r="AR231">
        <v>11.31</v>
      </c>
      <c r="AS231">
        <v>11.11</v>
      </c>
      <c r="AT231">
        <v>33.33</v>
      </c>
      <c r="AU231">
        <v>61.9</v>
      </c>
      <c r="AV231">
        <v>1.41</v>
      </c>
      <c r="AW231">
        <v>25.45</v>
      </c>
      <c r="AX231">
        <v>5.26</v>
      </c>
      <c r="AY231">
        <v>0</v>
      </c>
      <c r="AZ231">
        <v>16.97</v>
      </c>
      <c r="BA231">
        <v>0</v>
      </c>
      <c r="BB231">
        <v>0</v>
      </c>
      <c r="BC231">
        <v>4.24</v>
      </c>
      <c r="BD231">
        <v>0</v>
      </c>
      <c r="BE231" t="s">
        <v>85</v>
      </c>
      <c r="BF231">
        <v>75</v>
      </c>
      <c r="BG231">
        <v>1.41</v>
      </c>
      <c r="BH231">
        <v>53.73</v>
      </c>
      <c r="BI231">
        <v>2.56</v>
      </c>
      <c r="BJ231">
        <v>1.41</v>
      </c>
      <c r="BK231">
        <v>33.94</v>
      </c>
      <c r="BL231">
        <v>4</v>
      </c>
      <c r="BM231">
        <v>0</v>
      </c>
      <c r="BN231">
        <v>4.24</v>
      </c>
      <c r="BO231">
        <v>0</v>
      </c>
      <c r="BP231">
        <v>0</v>
      </c>
      <c r="BQ231">
        <v>87.5</v>
      </c>
      <c r="BR231">
        <v>20</v>
      </c>
      <c r="BS231">
        <v>75.44</v>
      </c>
      <c r="BT231">
        <v>0.95399999999999996</v>
      </c>
    </row>
    <row r="232" spans="1:72" x14ac:dyDescent="0.35">
      <c r="A232">
        <v>18</v>
      </c>
      <c r="B232" t="s">
        <v>55</v>
      </c>
      <c r="C232">
        <v>10</v>
      </c>
      <c r="D232">
        <v>6.3</v>
      </c>
      <c r="E232">
        <v>3</v>
      </c>
      <c r="F232">
        <v>7</v>
      </c>
      <c r="G232">
        <v>0</v>
      </c>
      <c r="H232">
        <v>3</v>
      </c>
      <c r="I232">
        <v>6</v>
      </c>
      <c r="J232">
        <v>0.3</v>
      </c>
      <c r="K232">
        <v>4.3600000000000003</v>
      </c>
      <c r="L232">
        <v>106.88</v>
      </c>
      <c r="M232">
        <v>3.92</v>
      </c>
      <c r="N232">
        <v>3.27</v>
      </c>
      <c r="O232">
        <v>80.7</v>
      </c>
      <c r="P232">
        <v>3.9</v>
      </c>
      <c r="Q232">
        <v>3.27</v>
      </c>
      <c r="R232">
        <v>55.62</v>
      </c>
      <c r="S232">
        <v>5.56</v>
      </c>
      <c r="T232">
        <v>0</v>
      </c>
      <c r="U232">
        <v>14.18</v>
      </c>
      <c r="V232">
        <v>0</v>
      </c>
      <c r="W232">
        <v>7.0000000000000007E-2</v>
      </c>
      <c r="X232">
        <v>7.49</v>
      </c>
      <c r="Y232">
        <v>0.89</v>
      </c>
      <c r="Z232">
        <v>1.0900000000000001</v>
      </c>
      <c r="AA232">
        <v>52.35</v>
      </c>
      <c r="AB232">
        <v>2.04</v>
      </c>
      <c r="AC232">
        <v>1.0900000000000001</v>
      </c>
      <c r="AD232">
        <v>32.72</v>
      </c>
      <c r="AE232">
        <v>3.23</v>
      </c>
      <c r="AF232">
        <v>0</v>
      </c>
      <c r="AG232">
        <v>9.82</v>
      </c>
      <c r="AH232">
        <v>0</v>
      </c>
      <c r="AI232">
        <v>0</v>
      </c>
      <c r="AJ232">
        <v>70</v>
      </c>
      <c r="AK232">
        <v>0</v>
      </c>
      <c r="AL232">
        <v>21.81</v>
      </c>
      <c r="AM232">
        <v>0</v>
      </c>
      <c r="AN232">
        <v>0</v>
      </c>
      <c r="AO232">
        <v>19.63</v>
      </c>
      <c r="AP232">
        <v>0</v>
      </c>
      <c r="AQ232">
        <v>0</v>
      </c>
      <c r="AR232">
        <v>5.45</v>
      </c>
      <c r="AS232">
        <v>0</v>
      </c>
      <c r="AT232" t="s">
        <v>85</v>
      </c>
      <c r="AU232">
        <v>72.22</v>
      </c>
      <c r="AV232">
        <v>1.0900000000000001</v>
      </c>
      <c r="AW232">
        <v>30.54</v>
      </c>
      <c r="AX232">
        <v>3.45</v>
      </c>
      <c r="AY232">
        <v>1.0900000000000001</v>
      </c>
      <c r="AZ232">
        <v>13.09</v>
      </c>
      <c r="BA232">
        <v>7.69</v>
      </c>
      <c r="BB232">
        <v>0</v>
      </c>
      <c r="BC232">
        <v>4.3600000000000003</v>
      </c>
      <c r="BD232">
        <v>0</v>
      </c>
      <c r="BE232">
        <v>0</v>
      </c>
      <c r="BF232">
        <v>66.67</v>
      </c>
      <c r="BG232">
        <v>2.1800000000000002</v>
      </c>
      <c r="BH232">
        <v>51.26</v>
      </c>
      <c r="BI232">
        <v>4.08</v>
      </c>
      <c r="BJ232">
        <v>1.0900000000000001</v>
      </c>
      <c r="BK232">
        <v>21.81</v>
      </c>
      <c r="BL232">
        <v>4.76</v>
      </c>
      <c r="BM232">
        <v>0</v>
      </c>
      <c r="BN232">
        <v>4.3600000000000003</v>
      </c>
      <c r="BO232">
        <v>0</v>
      </c>
      <c r="BP232">
        <v>0</v>
      </c>
      <c r="BQ232">
        <v>80</v>
      </c>
      <c r="BR232">
        <v>0</v>
      </c>
      <c r="BS232">
        <v>74.510000000000005</v>
      </c>
      <c r="BT232">
        <v>0.745</v>
      </c>
    </row>
    <row r="233" spans="1:72" x14ac:dyDescent="0.35">
      <c r="A233">
        <v>19</v>
      </c>
      <c r="B233" t="s">
        <v>56</v>
      </c>
      <c r="C233">
        <v>10</v>
      </c>
      <c r="D233">
        <v>4.2</v>
      </c>
      <c r="E233">
        <v>4</v>
      </c>
      <c r="F233">
        <v>4</v>
      </c>
      <c r="G233">
        <v>2</v>
      </c>
      <c r="H233">
        <v>4</v>
      </c>
      <c r="I233">
        <v>10</v>
      </c>
      <c r="J233">
        <v>0.5</v>
      </c>
      <c r="K233">
        <v>13.83</v>
      </c>
      <c r="L233">
        <v>102.34</v>
      </c>
      <c r="M233">
        <v>11.9</v>
      </c>
      <c r="N233">
        <v>12.45</v>
      </c>
      <c r="O233">
        <v>78.83</v>
      </c>
      <c r="P233">
        <v>13.64</v>
      </c>
      <c r="Q233">
        <v>8.3000000000000007</v>
      </c>
      <c r="R233">
        <v>60.85</v>
      </c>
      <c r="S233">
        <v>12</v>
      </c>
      <c r="T233">
        <v>0</v>
      </c>
      <c r="U233">
        <v>8.3000000000000007</v>
      </c>
      <c r="V233">
        <v>0</v>
      </c>
      <c r="W233">
        <v>0.79</v>
      </c>
      <c r="X233">
        <v>9.57</v>
      </c>
      <c r="Y233">
        <v>7.66</v>
      </c>
      <c r="Z233">
        <v>6.92</v>
      </c>
      <c r="AA233">
        <v>58.09</v>
      </c>
      <c r="AB233">
        <v>10.64</v>
      </c>
      <c r="AC233">
        <v>2.77</v>
      </c>
      <c r="AD233">
        <v>37.340000000000003</v>
      </c>
      <c r="AE233">
        <v>6.9</v>
      </c>
      <c r="AF233">
        <v>0</v>
      </c>
      <c r="AG233">
        <v>6.92</v>
      </c>
      <c r="AH233">
        <v>0</v>
      </c>
      <c r="AI233">
        <v>0</v>
      </c>
      <c r="AJ233">
        <v>81.48</v>
      </c>
      <c r="AK233">
        <v>2.77</v>
      </c>
      <c r="AL233">
        <v>13.83</v>
      </c>
      <c r="AM233">
        <v>16.670000000000002</v>
      </c>
      <c r="AN233">
        <v>1.38</v>
      </c>
      <c r="AO233">
        <v>11.06</v>
      </c>
      <c r="AP233">
        <v>11.11</v>
      </c>
      <c r="AQ233">
        <v>0</v>
      </c>
      <c r="AR233">
        <v>2.77</v>
      </c>
      <c r="AS233">
        <v>0</v>
      </c>
      <c r="AT233">
        <v>0</v>
      </c>
      <c r="AU233">
        <v>75</v>
      </c>
      <c r="AV233">
        <v>4.1500000000000004</v>
      </c>
      <c r="AW233">
        <v>44.26</v>
      </c>
      <c r="AX233">
        <v>8.57</v>
      </c>
      <c r="AY233">
        <v>1.38</v>
      </c>
      <c r="AZ233">
        <v>26.28</v>
      </c>
      <c r="BA233">
        <v>5</v>
      </c>
      <c r="BB233">
        <v>0</v>
      </c>
      <c r="BC233">
        <v>4.1500000000000004</v>
      </c>
      <c r="BD233">
        <v>0</v>
      </c>
      <c r="BE233">
        <v>0</v>
      </c>
      <c r="BF233">
        <v>84.21</v>
      </c>
      <c r="BG233">
        <v>6.92</v>
      </c>
      <c r="BH233">
        <v>40.11</v>
      </c>
      <c r="BI233">
        <v>14.71</v>
      </c>
      <c r="BJ233">
        <v>5.53</v>
      </c>
      <c r="BK233">
        <v>22.13</v>
      </c>
      <c r="BL233">
        <v>20</v>
      </c>
      <c r="BM233">
        <v>0</v>
      </c>
      <c r="BN233">
        <v>0</v>
      </c>
      <c r="BO233" t="s">
        <v>85</v>
      </c>
      <c r="BP233">
        <v>0</v>
      </c>
      <c r="BQ233">
        <v>100</v>
      </c>
      <c r="BR233">
        <v>0</v>
      </c>
      <c r="BS233">
        <v>86.36</v>
      </c>
      <c r="BT233">
        <v>0.86399999999999999</v>
      </c>
    </row>
    <row r="234" spans="1:72" x14ac:dyDescent="0.35">
      <c r="A234">
        <v>20</v>
      </c>
      <c r="B234" t="s">
        <v>57</v>
      </c>
      <c r="C234">
        <v>9</v>
      </c>
      <c r="D234">
        <v>6.53</v>
      </c>
      <c r="E234">
        <v>5</v>
      </c>
      <c r="F234">
        <v>3</v>
      </c>
      <c r="G234">
        <v>1</v>
      </c>
      <c r="H234">
        <v>4</v>
      </c>
      <c r="I234">
        <v>11</v>
      </c>
      <c r="J234">
        <v>0.61099999999999999</v>
      </c>
      <c r="K234">
        <v>6.8</v>
      </c>
      <c r="L234">
        <v>95.18</v>
      </c>
      <c r="M234">
        <v>6.67</v>
      </c>
      <c r="N234">
        <v>5.67</v>
      </c>
      <c r="O234">
        <v>67.989999999999995</v>
      </c>
      <c r="P234">
        <v>7.69</v>
      </c>
      <c r="Q234">
        <v>4.53</v>
      </c>
      <c r="R234">
        <v>44.19</v>
      </c>
      <c r="S234">
        <v>9.3000000000000007</v>
      </c>
      <c r="T234">
        <v>1.1299999999999999</v>
      </c>
      <c r="U234">
        <v>6.8</v>
      </c>
      <c r="V234">
        <v>14.29</v>
      </c>
      <c r="W234">
        <v>0.98</v>
      </c>
      <c r="X234">
        <v>6.29</v>
      </c>
      <c r="Y234">
        <v>13.45</v>
      </c>
      <c r="Z234">
        <v>2.27</v>
      </c>
      <c r="AA234">
        <v>47.59</v>
      </c>
      <c r="AB234">
        <v>4.55</v>
      </c>
      <c r="AC234">
        <v>2.27</v>
      </c>
      <c r="AD234">
        <v>24.93</v>
      </c>
      <c r="AE234">
        <v>8.33</v>
      </c>
      <c r="AF234">
        <v>0</v>
      </c>
      <c r="AG234">
        <v>6.8</v>
      </c>
      <c r="AH234">
        <v>0</v>
      </c>
      <c r="AI234">
        <v>0</v>
      </c>
      <c r="AJ234">
        <v>72.73</v>
      </c>
      <c r="AK234">
        <v>2.27</v>
      </c>
      <c r="AL234">
        <v>18.13</v>
      </c>
      <c r="AM234">
        <v>11.11</v>
      </c>
      <c r="AN234">
        <v>2.27</v>
      </c>
      <c r="AO234">
        <v>14.73</v>
      </c>
      <c r="AP234">
        <v>13.33</v>
      </c>
      <c r="AQ234">
        <v>0</v>
      </c>
      <c r="AR234">
        <v>4.53</v>
      </c>
      <c r="AS234">
        <v>0</v>
      </c>
      <c r="AT234">
        <v>0</v>
      </c>
      <c r="AU234">
        <v>69.23</v>
      </c>
      <c r="AV234">
        <v>0</v>
      </c>
      <c r="AW234">
        <v>29.46</v>
      </c>
      <c r="AX234">
        <v>0</v>
      </c>
      <c r="AY234">
        <v>0</v>
      </c>
      <c r="AZ234">
        <v>10.199999999999999</v>
      </c>
      <c r="BA234">
        <v>0</v>
      </c>
      <c r="BB234">
        <v>0</v>
      </c>
      <c r="BC234">
        <v>2.27</v>
      </c>
      <c r="BD234">
        <v>0</v>
      </c>
      <c r="BE234" t="s">
        <v>85</v>
      </c>
      <c r="BF234">
        <v>77.78</v>
      </c>
      <c r="BG234">
        <v>2.27</v>
      </c>
      <c r="BH234">
        <v>44.19</v>
      </c>
      <c r="BI234">
        <v>4.88</v>
      </c>
      <c r="BJ234">
        <v>0</v>
      </c>
      <c r="BK234">
        <v>19.260000000000002</v>
      </c>
      <c r="BL234">
        <v>0</v>
      </c>
      <c r="BM234">
        <v>0</v>
      </c>
      <c r="BN234">
        <v>0</v>
      </c>
      <c r="BO234" t="s">
        <v>85</v>
      </c>
      <c r="BP234" t="s">
        <v>85</v>
      </c>
      <c r="BQ234">
        <v>100</v>
      </c>
      <c r="BR234">
        <v>25</v>
      </c>
      <c r="BS234">
        <v>84.62</v>
      </c>
      <c r="BT234">
        <v>1.0960000000000001</v>
      </c>
    </row>
    <row r="235" spans="1:72" x14ac:dyDescent="0.35">
      <c r="A235">
        <v>21</v>
      </c>
      <c r="B235" t="s">
        <v>58</v>
      </c>
      <c r="C235">
        <v>10</v>
      </c>
      <c r="D235">
        <v>4.07</v>
      </c>
      <c r="E235">
        <v>3</v>
      </c>
      <c r="F235">
        <v>7</v>
      </c>
      <c r="G235">
        <v>0</v>
      </c>
      <c r="H235">
        <v>3</v>
      </c>
      <c r="I235">
        <v>6</v>
      </c>
      <c r="J235">
        <v>0.3</v>
      </c>
      <c r="K235">
        <v>18.93</v>
      </c>
      <c r="L235">
        <v>100.49</v>
      </c>
      <c r="M235">
        <v>15.85</v>
      </c>
      <c r="N235">
        <v>16.02</v>
      </c>
      <c r="O235">
        <v>77.180000000000007</v>
      </c>
      <c r="P235">
        <v>17.190000000000001</v>
      </c>
      <c r="Q235">
        <v>14.56</v>
      </c>
      <c r="R235">
        <v>62.62</v>
      </c>
      <c r="S235">
        <v>18.87</v>
      </c>
      <c r="T235">
        <v>1.46</v>
      </c>
      <c r="U235">
        <v>14.56</v>
      </c>
      <c r="V235">
        <v>9.09</v>
      </c>
      <c r="W235">
        <v>1.1299999999999999</v>
      </c>
      <c r="X235">
        <v>7.49</v>
      </c>
      <c r="Y235">
        <v>13.08</v>
      </c>
      <c r="Z235">
        <v>13.11</v>
      </c>
      <c r="AA235">
        <v>72.819999999999993</v>
      </c>
      <c r="AB235">
        <v>15.25</v>
      </c>
      <c r="AC235">
        <v>8.74</v>
      </c>
      <c r="AD235">
        <v>43.69</v>
      </c>
      <c r="AE235">
        <v>16.670000000000002</v>
      </c>
      <c r="AF235">
        <v>1.46</v>
      </c>
      <c r="AG235">
        <v>11.65</v>
      </c>
      <c r="AH235">
        <v>11.11</v>
      </c>
      <c r="AI235">
        <v>16.670000000000002</v>
      </c>
      <c r="AJ235">
        <v>73.33</v>
      </c>
      <c r="AK235">
        <v>2.91</v>
      </c>
      <c r="AL235">
        <v>26.21</v>
      </c>
      <c r="AM235">
        <v>10</v>
      </c>
      <c r="AN235">
        <v>2.91</v>
      </c>
      <c r="AO235">
        <v>17.48</v>
      </c>
      <c r="AP235">
        <v>14.29</v>
      </c>
      <c r="AQ235">
        <v>1.46</v>
      </c>
      <c r="AR235">
        <v>8.74</v>
      </c>
      <c r="AS235">
        <v>14.29</v>
      </c>
      <c r="AT235">
        <v>50</v>
      </c>
      <c r="AU235">
        <v>50</v>
      </c>
      <c r="AV235">
        <v>10.19</v>
      </c>
      <c r="AW235">
        <v>46.6</v>
      </c>
      <c r="AX235">
        <v>17.95</v>
      </c>
      <c r="AY235">
        <v>5.83</v>
      </c>
      <c r="AZ235">
        <v>26.21</v>
      </c>
      <c r="BA235">
        <v>18.18</v>
      </c>
      <c r="BB235">
        <v>0</v>
      </c>
      <c r="BC235">
        <v>2.91</v>
      </c>
      <c r="BD235">
        <v>0</v>
      </c>
      <c r="BE235">
        <v>0</v>
      </c>
      <c r="BF235">
        <v>88.89</v>
      </c>
      <c r="BG235">
        <v>0</v>
      </c>
      <c r="BH235">
        <v>27.67</v>
      </c>
      <c r="BI235">
        <v>0</v>
      </c>
      <c r="BJ235">
        <v>0</v>
      </c>
      <c r="BK235">
        <v>18.93</v>
      </c>
      <c r="BL235">
        <v>0</v>
      </c>
      <c r="BM235">
        <v>0</v>
      </c>
      <c r="BN235">
        <v>2.91</v>
      </c>
      <c r="BO235">
        <v>0</v>
      </c>
      <c r="BP235" t="s">
        <v>85</v>
      </c>
      <c r="BQ235">
        <v>84.62</v>
      </c>
      <c r="BR235">
        <v>10</v>
      </c>
      <c r="BS235">
        <v>76.739999999999995</v>
      </c>
      <c r="BT235">
        <v>0.86699999999999999</v>
      </c>
    </row>
    <row r="236" spans="1:72" x14ac:dyDescent="0.35">
      <c r="A236">
        <v>22</v>
      </c>
      <c r="B236" t="s">
        <v>59</v>
      </c>
      <c r="C236">
        <v>10</v>
      </c>
      <c r="D236">
        <v>4.08</v>
      </c>
      <c r="E236">
        <v>6</v>
      </c>
      <c r="F236">
        <v>4</v>
      </c>
      <c r="G236">
        <v>0</v>
      </c>
      <c r="H236">
        <v>6</v>
      </c>
      <c r="I236">
        <v>12</v>
      </c>
      <c r="J236">
        <v>0.6</v>
      </c>
      <c r="K236">
        <v>14.5</v>
      </c>
      <c r="L236">
        <v>94.24</v>
      </c>
      <c r="M236">
        <v>13.33</v>
      </c>
      <c r="N236">
        <v>11.6</v>
      </c>
      <c r="O236">
        <v>72.489999999999995</v>
      </c>
      <c r="P236">
        <v>13.79</v>
      </c>
      <c r="Q236">
        <v>11.6</v>
      </c>
      <c r="R236">
        <v>57.99</v>
      </c>
      <c r="S236">
        <v>16.670000000000002</v>
      </c>
      <c r="T236">
        <v>0</v>
      </c>
      <c r="U236">
        <v>11.6</v>
      </c>
      <c r="V236">
        <v>0</v>
      </c>
      <c r="W236">
        <v>0.36</v>
      </c>
      <c r="X236">
        <v>7.54</v>
      </c>
      <c r="Y236">
        <v>4.58</v>
      </c>
      <c r="Z236">
        <v>2.9</v>
      </c>
      <c r="AA236">
        <v>53.64</v>
      </c>
      <c r="AB236">
        <v>5.13</v>
      </c>
      <c r="AC236">
        <v>1.45</v>
      </c>
      <c r="AD236">
        <v>34.799999999999997</v>
      </c>
      <c r="AE236">
        <v>4</v>
      </c>
      <c r="AF236">
        <v>0</v>
      </c>
      <c r="AG236">
        <v>11.6</v>
      </c>
      <c r="AH236">
        <v>0</v>
      </c>
      <c r="AI236">
        <v>0</v>
      </c>
      <c r="AJ236">
        <v>66.67</v>
      </c>
      <c r="AK236">
        <v>1.45</v>
      </c>
      <c r="AL236">
        <v>24.65</v>
      </c>
      <c r="AM236">
        <v>5.56</v>
      </c>
      <c r="AN236">
        <v>1.45</v>
      </c>
      <c r="AO236">
        <v>20.3</v>
      </c>
      <c r="AP236">
        <v>6.67</v>
      </c>
      <c r="AQ236">
        <v>0</v>
      </c>
      <c r="AR236">
        <v>8.6999999999999993</v>
      </c>
      <c r="AS236">
        <v>0</v>
      </c>
      <c r="AT236">
        <v>0</v>
      </c>
      <c r="AU236">
        <v>57.14</v>
      </c>
      <c r="AV236">
        <v>1.45</v>
      </c>
      <c r="AW236">
        <v>29</v>
      </c>
      <c r="AX236">
        <v>4.76</v>
      </c>
      <c r="AY236">
        <v>0</v>
      </c>
      <c r="AZ236">
        <v>14.5</v>
      </c>
      <c r="BA236">
        <v>0</v>
      </c>
      <c r="BB236">
        <v>0</v>
      </c>
      <c r="BC236">
        <v>2.9</v>
      </c>
      <c r="BD236">
        <v>0</v>
      </c>
      <c r="BE236" t="s">
        <v>85</v>
      </c>
      <c r="BF236">
        <v>80</v>
      </c>
      <c r="BG236">
        <v>2.9</v>
      </c>
      <c r="BH236">
        <v>37.700000000000003</v>
      </c>
      <c r="BI236">
        <v>7.14</v>
      </c>
      <c r="BJ236">
        <v>1.45</v>
      </c>
      <c r="BK236">
        <v>23.2</v>
      </c>
      <c r="BL236">
        <v>5.88</v>
      </c>
      <c r="BM236">
        <v>0</v>
      </c>
      <c r="BN236">
        <v>0</v>
      </c>
      <c r="BO236" t="s">
        <v>85</v>
      </c>
      <c r="BP236">
        <v>0</v>
      </c>
      <c r="BQ236">
        <v>100</v>
      </c>
      <c r="BR236">
        <v>0</v>
      </c>
      <c r="BS236">
        <v>80</v>
      </c>
      <c r="BT236">
        <v>0.8</v>
      </c>
    </row>
    <row r="237" spans="1:72" x14ac:dyDescent="0.35">
      <c r="A237">
        <v>23</v>
      </c>
      <c r="B237" t="s">
        <v>60</v>
      </c>
      <c r="C237">
        <v>10</v>
      </c>
      <c r="D237">
        <v>5.44</v>
      </c>
      <c r="E237">
        <v>4</v>
      </c>
      <c r="F237">
        <v>5</v>
      </c>
      <c r="G237">
        <v>1</v>
      </c>
      <c r="H237">
        <v>3</v>
      </c>
      <c r="I237">
        <v>9</v>
      </c>
      <c r="J237">
        <v>0.45</v>
      </c>
      <c r="K237">
        <v>11.42</v>
      </c>
      <c r="L237">
        <v>72.3</v>
      </c>
      <c r="M237">
        <v>13.64</v>
      </c>
      <c r="N237">
        <v>11.42</v>
      </c>
      <c r="O237">
        <v>58.35</v>
      </c>
      <c r="P237">
        <v>16.36</v>
      </c>
      <c r="Q237">
        <v>8.8800000000000008</v>
      </c>
      <c r="R237">
        <v>43.13</v>
      </c>
      <c r="S237">
        <v>17.07</v>
      </c>
      <c r="T237">
        <v>1.27</v>
      </c>
      <c r="U237">
        <v>12.68</v>
      </c>
      <c r="V237">
        <v>9.09</v>
      </c>
      <c r="W237">
        <v>0.7</v>
      </c>
      <c r="X237">
        <v>6.32</v>
      </c>
      <c r="Y237">
        <v>10.039999999999999</v>
      </c>
      <c r="Z237">
        <v>3.81</v>
      </c>
      <c r="AA237">
        <v>43.13</v>
      </c>
      <c r="AB237">
        <v>8.11</v>
      </c>
      <c r="AC237">
        <v>3.81</v>
      </c>
      <c r="AD237">
        <v>31.71</v>
      </c>
      <c r="AE237">
        <v>10.71</v>
      </c>
      <c r="AF237">
        <v>1.27</v>
      </c>
      <c r="AG237">
        <v>12.68</v>
      </c>
      <c r="AH237">
        <v>9.09</v>
      </c>
      <c r="AI237">
        <v>33.33</v>
      </c>
      <c r="AJ237">
        <v>60</v>
      </c>
      <c r="AK237">
        <v>2.54</v>
      </c>
      <c r="AL237">
        <v>25.37</v>
      </c>
      <c r="AM237">
        <v>9.09</v>
      </c>
      <c r="AN237">
        <v>2.54</v>
      </c>
      <c r="AO237">
        <v>22.83</v>
      </c>
      <c r="AP237">
        <v>10</v>
      </c>
      <c r="AQ237">
        <v>0</v>
      </c>
      <c r="AR237">
        <v>8.8800000000000008</v>
      </c>
      <c r="AS237">
        <v>0</v>
      </c>
      <c r="AT237">
        <v>0</v>
      </c>
      <c r="AU237">
        <v>61.11</v>
      </c>
      <c r="AV237">
        <v>1.27</v>
      </c>
      <c r="AW237">
        <v>17.760000000000002</v>
      </c>
      <c r="AX237">
        <v>6.67</v>
      </c>
      <c r="AY237">
        <v>1.27</v>
      </c>
      <c r="AZ237">
        <v>8.8800000000000008</v>
      </c>
      <c r="BA237">
        <v>12.5</v>
      </c>
      <c r="BB237">
        <v>1.27</v>
      </c>
      <c r="BC237">
        <v>3.81</v>
      </c>
      <c r="BD237">
        <v>25</v>
      </c>
      <c r="BE237">
        <v>100</v>
      </c>
      <c r="BF237">
        <v>57.14</v>
      </c>
      <c r="BG237">
        <v>2.54</v>
      </c>
      <c r="BH237">
        <v>26.64</v>
      </c>
      <c r="BI237">
        <v>8.6999999999999993</v>
      </c>
      <c r="BJ237">
        <v>1.27</v>
      </c>
      <c r="BK237">
        <v>11.42</v>
      </c>
      <c r="BL237">
        <v>10</v>
      </c>
      <c r="BM237">
        <v>0</v>
      </c>
      <c r="BN237">
        <v>0</v>
      </c>
      <c r="BO237" t="s">
        <v>85</v>
      </c>
      <c r="BP237">
        <v>0</v>
      </c>
      <c r="BQ237">
        <v>100</v>
      </c>
      <c r="BR237">
        <v>14.29</v>
      </c>
      <c r="BS237">
        <v>70.59</v>
      </c>
      <c r="BT237">
        <v>0.84899999999999998</v>
      </c>
    </row>
    <row r="238" spans="1:72" x14ac:dyDescent="0.35">
      <c r="A238">
        <v>24</v>
      </c>
      <c r="B238" t="s">
        <v>61</v>
      </c>
      <c r="C238">
        <v>10</v>
      </c>
      <c r="D238">
        <v>7.53</v>
      </c>
      <c r="E238">
        <v>4</v>
      </c>
      <c r="F238">
        <v>4</v>
      </c>
      <c r="G238">
        <v>2</v>
      </c>
      <c r="H238">
        <v>2</v>
      </c>
      <c r="I238">
        <v>10</v>
      </c>
      <c r="J238">
        <v>0.5</v>
      </c>
      <c r="K238">
        <v>15.69</v>
      </c>
      <c r="L238">
        <v>83.68</v>
      </c>
      <c r="M238">
        <v>15.79</v>
      </c>
      <c r="N238">
        <v>14.82</v>
      </c>
      <c r="O238">
        <v>70.61</v>
      </c>
      <c r="P238">
        <v>17.350000000000001</v>
      </c>
      <c r="Q238">
        <v>10.46</v>
      </c>
      <c r="R238">
        <v>54.92</v>
      </c>
      <c r="S238">
        <v>16</v>
      </c>
      <c r="T238">
        <v>0.87</v>
      </c>
      <c r="U238">
        <v>7.85</v>
      </c>
      <c r="V238">
        <v>10</v>
      </c>
      <c r="W238">
        <v>0.97</v>
      </c>
      <c r="X238">
        <v>5.83</v>
      </c>
      <c r="Y238">
        <v>14.26</v>
      </c>
      <c r="Z238">
        <v>6.1</v>
      </c>
      <c r="AA238">
        <v>40.97</v>
      </c>
      <c r="AB238">
        <v>12.96</v>
      </c>
      <c r="AC238">
        <v>3.49</v>
      </c>
      <c r="AD238">
        <v>25.28</v>
      </c>
      <c r="AE238">
        <v>12.12</v>
      </c>
      <c r="AF238">
        <v>0.87</v>
      </c>
      <c r="AG238">
        <v>6.1</v>
      </c>
      <c r="AH238">
        <v>12.5</v>
      </c>
      <c r="AI238">
        <v>25</v>
      </c>
      <c r="AJ238">
        <v>75.86</v>
      </c>
      <c r="AK238">
        <v>3.49</v>
      </c>
      <c r="AL238">
        <v>16.559999999999999</v>
      </c>
      <c r="AM238">
        <v>17.39</v>
      </c>
      <c r="AN238">
        <v>2.62</v>
      </c>
      <c r="AO238">
        <v>11.33</v>
      </c>
      <c r="AP238">
        <v>18.75</v>
      </c>
      <c r="AQ238">
        <v>0.87</v>
      </c>
      <c r="AR238">
        <v>4.3600000000000003</v>
      </c>
      <c r="AS238">
        <v>16.670000000000002</v>
      </c>
      <c r="AT238">
        <v>33.33</v>
      </c>
      <c r="AU238">
        <v>61.54</v>
      </c>
      <c r="AV238">
        <v>2.62</v>
      </c>
      <c r="AW238">
        <v>24.41</v>
      </c>
      <c r="AX238">
        <v>9.68</v>
      </c>
      <c r="AY238">
        <v>0.87</v>
      </c>
      <c r="AZ238">
        <v>13.95</v>
      </c>
      <c r="BA238">
        <v>5.88</v>
      </c>
      <c r="BB238">
        <v>0</v>
      </c>
      <c r="BC238">
        <v>1.74</v>
      </c>
      <c r="BD238">
        <v>0</v>
      </c>
      <c r="BE238">
        <v>0</v>
      </c>
      <c r="BF238">
        <v>87.5</v>
      </c>
      <c r="BG238">
        <v>4.3600000000000003</v>
      </c>
      <c r="BH238">
        <v>40.97</v>
      </c>
      <c r="BI238">
        <v>9.6199999999999992</v>
      </c>
      <c r="BJ238">
        <v>2.62</v>
      </c>
      <c r="BK238">
        <v>29.64</v>
      </c>
      <c r="BL238">
        <v>8.11</v>
      </c>
      <c r="BM238">
        <v>0</v>
      </c>
      <c r="BN238">
        <v>1.74</v>
      </c>
      <c r="BO238">
        <v>0</v>
      </c>
      <c r="BP238">
        <v>0</v>
      </c>
      <c r="BQ238">
        <v>94.12</v>
      </c>
      <c r="BR238">
        <v>8.33</v>
      </c>
      <c r="BS238">
        <v>85.71</v>
      </c>
      <c r="BT238">
        <v>0.94</v>
      </c>
    </row>
    <row r="239" spans="1:72" x14ac:dyDescent="0.35">
      <c r="A239">
        <v>25</v>
      </c>
      <c r="B239" t="s">
        <v>62</v>
      </c>
      <c r="C239">
        <v>10</v>
      </c>
      <c r="D239">
        <v>6.35</v>
      </c>
      <c r="E239">
        <v>8</v>
      </c>
      <c r="F239">
        <v>1</v>
      </c>
      <c r="G239">
        <v>1</v>
      </c>
      <c r="H239">
        <v>8</v>
      </c>
      <c r="I239">
        <v>17</v>
      </c>
      <c r="J239">
        <v>0.85</v>
      </c>
      <c r="K239">
        <v>11.81</v>
      </c>
      <c r="L239">
        <v>97.73</v>
      </c>
      <c r="M239">
        <v>10.78</v>
      </c>
      <c r="N239">
        <v>11.81</v>
      </c>
      <c r="O239">
        <v>74.11</v>
      </c>
      <c r="P239">
        <v>13.75</v>
      </c>
      <c r="Q239">
        <v>8.59</v>
      </c>
      <c r="R239">
        <v>53.7</v>
      </c>
      <c r="S239">
        <v>13.79</v>
      </c>
      <c r="T239">
        <v>2.15</v>
      </c>
      <c r="U239">
        <v>6.44</v>
      </c>
      <c r="V239">
        <v>25</v>
      </c>
      <c r="W239">
        <v>0.83</v>
      </c>
      <c r="X239">
        <v>6.54</v>
      </c>
      <c r="Y239">
        <v>11.23</v>
      </c>
      <c r="Z239">
        <v>5.37</v>
      </c>
      <c r="AA239">
        <v>50.48</v>
      </c>
      <c r="AB239">
        <v>9.6199999999999992</v>
      </c>
      <c r="AC239">
        <v>3.22</v>
      </c>
      <c r="AD239">
        <v>24.7</v>
      </c>
      <c r="AE239">
        <v>11.54</v>
      </c>
      <c r="AF239">
        <v>1.07</v>
      </c>
      <c r="AG239">
        <v>4.3</v>
      </c>
      <c r="AH239">
        <v>20</v>
      </c>
      <c r="AI239">
        <v>33.33</v>
      </c>
      <c r="AJ239">
        <v>82.61</v>
      </c>
      <c r="AK239">
        <v>2.15</v>
      </c>
      <c r="AL239">
        <v>20.41</v>
      </c>
      <c r="AM239">
        <v>9.52</v>
      </c>
      <c r="AN239">
        <v>2.15</v>
      </c>
      <c r="AO239">
        <v>11.81</v>
      </c>
      <c r="AP239">
        <v>15.38</v>
      </c>
      <c r="AQ239">
        <v>1.07</v>
      </c>
      <c r="AR239">
        <v>3.22</v>
      </c>
      <c r="AS239">
        <v>25</v>
      </c>
      <c r="AT239">
        <v>50</v>
      </c>
      <c r="AU239">
        <v>72.73</v>
      </c>
      <c r="AV239">
        <v>3.22</v>
      </c>
      <c r="AW239">
        <v>30.07</v>
      </c>
      <c r="AX239">
        <v>9.68</v>
      </c>
      <c r="AY239">
        <v>1.07</v>
      </c>
      <c r="AZ239">
        <v>12.89</v>
      </c>
      <c r="BA239">
        <v>7.69</v>
      </c>
      <c r="BB239">
        <v>0</v>
      </c>
      <c r="BC239">
        <v>1.07</v>
      </c>
      <c r="BD239">
        <v>0</v>
      </c>
      <c r="BE239">
        <v>0</v>
      </c>
      <c r="BF239">
        <v>91.67</v>
      </c>
      <c r="BG239">
        <v>2.15</v>
      </c>
      <c r="BH239">
        <v>47.26</v>
      </c>
      <c r="BI239">
        <v>4.3499999999999996</v>
      </c>
      <c r="BJ239">
        <v>2.15</v>
      </c>
      <c r="BK239">
        <v>29</v>
      </c>
      <c r="BL239">
        <v>6.9</v>
      </c>
      <c r="BM239">
        <v>0</v>
      </c>
      <c r="BN239">
        <v>2.15</v>
      </c>
      <c r="BO239">
        <v>0</v>
      </c>
      <c r="BP239">
        <v>0</v>
      </c>
      <c r="BQ239">
        <v>92.59</v>
      </c>
      <c r="BR239">
        <v>25</v>
      </c>
      <c r="BS239">
        <v>88</v>
      </c>
      <c r="BT239">
        <v>1.1299999999999999</v>
      </c>
    </row>
    <row r="240" spans="1:72" x14ac:dyDescent="0.35">
      <c r="A240">
        <v>26</v>
      </c>
      <c r="B240" t="s">
        <v>63</v>
      </c>
      <c r="C240">
        <v>10</v>
      </c>
      <c r="D240">
        <v>6.57</v>
      </c>
      <c r="E240">
        <v>6</v>
      </c>
      <c r="F240">
        <v>2</v>
      </c>
      <c r="G240">
        <v>2</v>
      </c>
      <c r="H240">
        <v>6</v>
      </c>
      <c r="I240">
        <v>14</v>
      </c>
      <c r="J240">
        <v>0.7</v>
      </c>
      <c r="K240">
        <v>13.11</v>
      </c>
      <c r="L240">
        <v>86.75</v>
      </c>
      <c r="M240">
        <v>13.13</v>
      </c>
      <c r="N240">
        <v>9.08</v>
      </c>
      <c r="O240">
        <v>64.56</v>
      </c>
      <c r="P240">
        <v>12.33</v>
      </c>
      <c r="Q240">
        <v>8.07</v>
      </c>
      <c r="R240">
        <v>42.36</v>
      </c>
      <c r="S240">
        <v>16</v>
      </c>
      <c r="T240">
        <v>1.01</v>
      </c>
      <c r="U240">
        <v>4.03</v>
      </c>
      <c r="V240">
        <v>20</v>
      </c>
      <c r="W240">
        <v>0.76</v>
      </c>
      <c r="X240">
        <v>5.28</v>
      </c>
      <c r="Y240">
        <v>12.57</v>
      </c>
      <c r="Z240">
        <v>5.04</v>
      </c>
      <c r="AA240">
        <v>46.4</v>
      </c>
      <c r="AB240">
        <v>9.8000000000000007</v>
      </c>
      <c r="AC240">
        <v>4.03</v>
      </c>
      <c r="AD240">
        <v>21.18</v>
      </c>
      <c r="AE240">
        <v>16</v>
      </c>
      <c r="AF240">
        <v>1.01</v>
      </c>
      <c r="AG240">
        <v>2.02</v>
      </c>
      <c r="AH240">
        <v>33.33</v>
      </c>
      <c r="AI240">
        <v>25</v>
      </c>
      <c r="AJ240">
        <v>90.48</v>
      </c>
      <c r="AK240">
        <v>2.02</v>
      </c>
      <c r="AL240">
        <v>17.149999999999999</v>
      </c>
      <c r="AM240">
        <v>10.53</v>
      </c>
      <c r="AN240">
        <v>2.02</v>
      </c>
      <c r="AO240">
        <v>8.07</v>
      </c>
      <c r="AP240">
        <v>20</v>
      </c>
      <c r="AQ240">
        <v>0</v>
      </c>
      <c r="AR240">
        <v>1.01</v>
      </c>
      <c r="AS240">
        <v>0</v>
      </c>
      <c r="AT240">
        <v>0</v>
      </c>
      <c r="AU240">
        <v>87.5</v>
      </c>
      <c r="AV240">
        <v>3.03</v>
      </c>
      <c r="AW240">
        <v>29.25</v>
      </c>
      <c r="AX240">
        <v>9.3800000000000008</v>
      </c>
      <c r="AY240">
        <v>2.02</v>
      </c>
      <c r="AZ240">
        <v>13.11</v>
      </c>
      <c r="BA240">
        <v>13.33</v>
      </c>
      <c r="BB240">
        <v>1.01</v>
      </c>
      <c r="BC240">
        <v>1.01</v>
      </c>
      <c r="BD240">
        <v>50</v>
      </c>
      <c r="BE240">
        <v>50</v>
      </c>
      <c r="BF240">
        <v>92.31</v>
      </c>
      <c r="BG240">
        <v>6.05</v>
      </c>
      <c r="BH240">
        <v>39.340000000000003</v>
      </c>
      <c r="BI240">
        <v>13.33</v>
      </c>
      <c r="BJ240">
        <v>2.02</v>
      </c>
      <c r="BK240">
        <v>21.18</v>
      </c>
      <c r="BL240">
        <v>8.6999999999999993</v>
      </c>
      <c r="BM240">
        <v>0</v>
      </c>
      <c r="BN240">
        <v>2.02</v>
      </c>
      <c r="BO240">
        <v>0</v>
      </c>
      <c r="BP240">
        <v>0</v>
      </c>
      <c r="BQ240">
        <v>90.48</v>
      </c>
      <c r="BR240">
        <v>12.5</v>
      </c>
      <c r="BS240">
        <v>90.48</v>
      </c>
      <c r="BT240">
        <v>1.03</v>
      </c>
    </row>
    <row r="241" spans="1:72" x14ac:dyDescent="0.35">
      <c r="A241">
        <v>27</v>
      </c>
      <c r="B241" t="s">
        <v>64</v>
      </c>
      <c r="C241">
        <v>10</v>
      </c>
      <c r="D241">
        <v>4.33</v>
      </c>
      <c r="E241">
        <v>7</v>
      </c>
      <c r="F241">
        <v>2</v>
      </c>
      <c r="G241">
        <v>1</v>
      </c>
      <c r="H241">
        <v>7</v>
      </c>
      <c r="I241">
        <v>15</v>
      </c>
      <c r="J241">
        <v>0.75</v>
      </c>
      <c r="K241">
        <v>15.25</v>
      </c>
      <c r="L241">
        <v>71.150000000000006</v>
      </c>
      <c r="M241">
        <v>17.649999999999999</v>
      </c>
      <c r="N241">
        <v>13.55</v>
      </c>
      <c r="O241">
        <v>54.21</v>
      </c>
      <c r="P241">
        <v>20</v>
      </c>
      <c r="Q241">
        <v>11.86</v>
      </c>
      <c r="R241">
        <v>42.35</v>
      </c>
      <c r="S241">
        <v>21.88</v>
      </c>
      <c r="T241">
        <v>0</v>
      </c>
      <c r="U241">
        <v>11.86</v>
      </c>
      <c r="V241">
        <v>0</v>
      </c>
      <c r="W241">
        <v>0.56000000000000005</v>
      </c>
      <c r="X241">
        <v>5.21</v>
      </c>
      <c r="Y241">
        <v>9.7100000000000009</v>
      </c>
      <c r="Z241">
        <v>5.08</v>
      </c>
      <c r="AA241">
        <v>42.35</v>
      </c>
      <c r="AB241">
        <v>10.71</v>
      </c>
      <c r="AC241">
        <v>5.08</v>
      </c>
      <c r="AD241">
        <v>30.49</v>
      </c>
      <c r="AE241">
        <v>14.29</v>
      </c>
      <c r="AF241">
        <v>0</v>
      </c>
      <c r="AG241">
        <v>10.16</v>
      </c>
      <c r="AH241">
        <v>0</v>
      </c>
      <c r="AI241">
        <v>0</v>
      </c>
      <c r="AJ241">
        <v>66.67</v>
      </c>
      <c r="AK241">
        <v>0</v>
      </c>
      <c r="AL241">
        <v>15.25</v>
      </c>
      <c r="AM241">
        <v>0</v>
      </c>
      <c r="AN241">
        <v>0</v>
      </c>
      <c r="AO241">
        <v>15.25</v>
      </c>
      <c r="AP241">
        <v>0</v>
      </c>
      <c r="AQ241">
        <v>0</v>
      </c>
      <c r="AR241">
        <v>6.78</v>
      </c>
      <c r="AS241">
        <v>0</v>
      </c>
      <c r="AT241" t="s">
        <v>85</v>
      </c>
      <c r="AU241">
        <v>55.56</v>
      </c>
      <c r="AV241">
        <v>5.08</v>
      </c>
      <c r="AW241">
        <v>27.11</v>
      </c>
      <c r="AX241">
        <v>15.79</v>
      </c>
      <c r="AY241">
        <v>5.08</v>
      </c>
      <c r="AZ241">
        <v>15.25</v>
      </c>
      <c r="BA241">
        <v>25</v>
      </c>
      <c r="BB241">
        <v>0</v>
      </c>
      <c r="BC241">
        <v>3.39</v>
      </c>
      <c r="BD241">
        <v>0</v>
      </c>
      <c r="BE241">
        <v>0</v>
      </c>
      <c r="BF241">
        <v>77.78</v>
      </c>
      <c r="BG241">
        <v>0</v>
      </c>
      <c r="BH241">
        <v>28.8</v>
      </c>
      <c r="BI241">
        <v>0</v>
      </c>
      <c r="BJ241">
        <v>0</v>
      </c>
      <c r="BK241">
        <v>11.86</v>
      </c>
      <c r="BL241">
        <v>0</v>
      </c>
      <c r="BM241">
        <v>0</v>
      </c>
      <c r="BN241">
        <v>1.69</v>
      </c>
      <c r="BO241">
        <v>0</v>
      </c>
      <c r="BP241" t="s">
        <v>85</v>
      </c>
      <c r="BQ241">
        <v>85.71</v>
      </c>
      <c r="BR241">
        <v>0</v>
      </c>
      <c r="BS241">
        <v>72</v>
      </c>
      <c r="BT241">
        <v>0.72</v>
      </c>
    </row>
    <row r="242" spans="1:72" x14ac:dyDescent="0.35">
      <c r="A242">
        <v>28</v>
      </c>
      <c r="B242" t="s">
        <v>65</v>
      </c>
      <c r="C242">
        <v>10</v>
      </c>
      <c r="D242">
        <v>6.31</v>
      </c>
      <c r="E242">
        <v>3</v>
      </c>
      <c r="F242">
        <v>7</v>
      </c>
      <c r="G242">
        <v>0</v>
      </c>
      <c r="H242">
        <v>3</v>
      </c>
      <c r="I242">
        <v>6</v>
      </c>
      <c r="J242">
        <v>0.3</v>
      </c>
      <c r="K242">
        <v>11.96</v>
      </c>
      <c r="L242">
        <v>79.400000000000006</v>
      </c>
      <c r="M242">
        <v>13.1</v>
      </c>
      <c r="N242">
        <v>10.88</v>
      </c>
      <c r="O242">
        <v>64.17</v>
      </c>
      <c r="P242">
        <v>14.49</v>
      </c>
      <c r="Q242">
        <v>10.88</v>
      </c>
      <c r="R242">
        <v>39.15</v>
      </c>
      <c r="S242">
        <v>21.74</v>
      </c>
      <c r="T242">
        <v>1.0900000000000001</v>
      </c>
      <c r="U242">
        <v>6.53</v>
      </c>
      <c r="V242">
        <v>14.29</v>
      </c>
      <c r="W242">
        <v>0.32</v>
      </c>
      <c r="X242">
        <v>5.82</v>
      </c>
      <c r="Y242">
        <v>5.25</v>
      </c>
      <c r="Z242">
        <v>5.44</v>
      </c>
      <c r="AA242">
        <v>50.03</v>
      </c>
      <c r="AB242">
        <v>9.8000000000000007</v>
      </c>
      <c r="AC242">
        <v>4.3499999999999996</v>
      </c>
      <c r="AD242">
        <v>25.02</v>
      </c>
      <c r="AE242">
        <v>14.81</v>
      </c>
      <c r="AF242">
        <v>1.0900000000000001</v>
      </c>
      <c r="AG242">
        <v>4.3499999999999996</v>
      </c>
      <c r="AH242">
        <v>20</v>
      </c>
      <c r="AI242">
        <v>25</v>
      </c>
      <c r="AJ242">
        <v>82.61</v>
      </c>
      <c r="AK242">
        <v>0</v>
      </c>
      <c r="AL242">
        <v>16.309999999999999</v>
      </c>
      <c r="AM242">
        <v>0</v>
      </c>
      <c r="AN242">
        <v>0</v>
      </c>
      <c r="AO242">
        <v>9.7899999999999991</v>
      </c>
      <c r="AP242">
        <v>0</v>
      </c>
      <c r="AQ242">
        <v>0</v>
      </c>
      <c r="AR242">
        <v>3.26</v>
      </c>
      <c r="AS242">
        <v>0</v>
      </c>
      <c r="AT242" t="s">
        <v>85</v>
      </c>
      <c r="AU242">
        <v>66.67</v>
      </c>
      <c r="AV242">
        <v>5.44</v>
      </c>
      <c r="AW242">
        <v>33.72</v>
      </c>
      <c r="AX242">
        <v>13.89</v>
      </c>
      <c r="AY242">
        <v>4.3499999999999996</v>
      </c>
      <c r="AZ242">
        <v>15.23</v>
      </c>
      <c r="BA242">
        <v>22.22</v>
      </c>
      <c r="BB242">
        <v>1.0900000000000001</v>
      </c>
      <c r="BC242">
        <v>1.0900000000000001</v>
      </c>
      <c r="BD242">
        <v>50</v>
      </c>
      <c r="BE242">
        <v>25</v>
      </c>
      <c r="BF242">
        <v>92.86</v>
      </c>
      <c r="BG242">
        <v>2.1800000000000002</v>
      </c>
      <c r="BH242">
        <v>29.37</v>
      </c>
      <c r="BI242">
        <v>6.9</v>
      </c>
      <c r="BJ242">
        <v>2.1800000000000002</v>
      </c>
      <c r="BK242">
        <v>14.14</v>
      </c>
      <c r="BL242">
        <v>13.33</v>
      </c>
      <c r="BM242">
        <v>0</v>
      </c>
      <c r="BN242">
        <v>2.1800000000000002</v>
      </c>
      <c r="BO242">
        <v>0</v>
      </c>
      <c r="BP242">
        <v>0</v>
      </c>
      <c r="BQ242">
        <v>84.62</v>
      </c>
      <c r="BR242">
        <v>10</v>
      </c>
      <c r="BS242">
        <v>83.33</v>
      </c>
      <c r="BT242">
        <v>0.93300000000000005</v>
      </c>
    </row>
    <row r="243" spans="1:72" x14ac:dyDescent="0.35">
      <c r="A243">
        <v>29</v>
      </c>
      <c r="B243" t="s">
        <v>68</v>
      </c>
      <c r="C243">
        <v>8</v>
      </c>
      <c r="D243">
        <v>5.01</v>
      </c>
      <c r="E243">
        <v>6</v>
      </c>
      <c r="F243">
        <v>2</v>
      </c>
      <c r="G243">
        <v>0</v>
      </c>
      <c r="H243">
        <v>6</v>
      </c>
      <c r="I243">
        <v>12</v>
      </c>
      <c r="J243">
        <v>0.75</v>
      </c>
      <c r="K243">
        <v>16.46</v>
      </c>
      <c r="L243">
        <v>85.29</v>
      </c>
      <c r="M243">
        <v>16.18</v>
      </c>
      <c r="N243">
        <v>13.47</v>
      </c>
      <c r="O243">
        <v>61.35</v>
      </c>
      <c r="P243">
        <v>18</v>
      </c>
      <c r="Q243">
        <v>10.47</v>
      </c>
      <c r="R243">
        <v>41.9</v>
      </c>
      <c r="S243">
        <v>20</v>
      </c>
      <c r="T243">
        <v>0</v>
      </c>
      <c r="U243">
        <v>4.49</v>
      </c>
      <c r="V243">
        <v>0</v>
      </c>
      <c r="W243">
        <v>0.55000000000000004</v>
      </c>
      <c r="X243">
        <v>5.16</v>
      </c>
      <c r="Y243">
        <v>9.6</v>
      </c>
      <c r="Z243">
        <v>2.99</v>
      </c>
      <c r="AA243">
        <v>46.38</v>
      </c>
      <c r="AB243">
        <v>6.06</v>
      </c>
      <c r="AC243">
        <v>1.5</v>
      </c>
      <c r="AD243">
        <v>23.94</v>
      </c>
      <c r="AE243">
        <v>5.88</v>
      </c>
      <c r="AF243">
        <v>0</v>
      </c>
      <c r="AG243">
        <v>1.5</v>
      </c>
      <c r="AH243">
        <v>0</v>
      </c>
      <c r="AI243">
        <v>0</v>
      </c>
      <c r="AJ243">
        <v>93.75</v>
      </c>
      <c r="AK243">
        <v>2.99</v>
      </c>
      <c r="AL243">
        <v>13.47</v>
      </c>
      <c r="AM243">
        <v>18.18</v>
      </c>
      <c r="AN243">
        <v>1.5</v>
      </c>
      <c r="AO243">
        <v>7.48</v>
      </c>
      <c r="AP243">
        <v>16.670000000000002</v>
      </c>
      <c r="AQ243">
        <v>0</v>
      </c>
      <c r="AR243">
        <v>1.5</v>
      </c>
      <c r="AS243">
        <v>0</v>
      </c>
      <c r="AT243">
        <v>0</v>
      </c>
      <c r="AU243">
        <v>80</v>
      </c>
      <c r="AV243">
        <v>0</v>
      </c>
      <c r="AW243">
        <v>32.92</v>
      </c>
      <c r="AX243">
        <v>0</v>
      </c>
      <c r="AY243">
        <v>0</v>
      </c>
      <c r="AZ243">
        <v>16.46</v>
      </c>
      <c r="BA243">
        <v>0</v>
      </c>
      <c r="BB243">
        <v>0</v>
      </c>
      <c r="BC243">
        <v>0</v>
      </c>
      <c r="BD243" t="s">
        <v>85</v>
      </c>
      <c r="BE243" t="s">
        <v>85</v>
      </c>
      <c r="BF243">
        <v>100</v>
      </c>
      <c r="BG243">
        <v>4.49</v>
      </c>
      <c r="BH243">
        <v>35.909999999999997</v>
      </c>
      <c r="BI243">
        <v>11.11</v>
      </c>
      <c r="BJ243">
        <v>2.99</v>
      </c>
      <c r="BK243">
        <v>14.96</v>
      </c>
      <c r="BL243">
        <v>16.670000000000002</v>
      </c>
      <c r="BM243">
        <v>0</v>
      </c>
      <c r="BN243">
        <v>1.5</v>
      </c>
      <c r="BO243">
        <v>0</v>
      </c>
      <c r="BP243">
        <v>0</v>
      </c>
      <c r="BQ243">
        <v>90</v>
      </c>
      <c r="BR243">
        <v>0</v>
      </c>
      <c r="BS243">
        <v>89.29</v>
      </c>
      <c r="BT243">
        <v>0.89300000000000002</v>
      </c>
    </row>
    <row r="244" spans="1:72" x14ac:dyDescent="0.35">
      <c r="A244">
        <v>30</v>
      </c>
      <c r="B244" t="s">
        <v>66</v>
      </c>
      <c r="C244">
        <v>10</v>
      </c>
      <c r="D244">
        <v>5.38</v>
      </c>
      <c r="E244">
        <v>6</v>
      </c>
      <c r="F244">
        <v>4</v>
      </c>
      <c r="G244">
        <v>0</v>
      </c>
      <c r="H244">
        <v>6</v>
      </c>
      <c r="I244">
        <v>12</v>
      </c>
      <c r="J244">
        <v>0.6</v>
      </c>
      <c r="K244">
        <v>6.48</v>
      </c>
      <c r="L244">
        <v>142.55000000000001</v>
      </c>
      <c r="M244">
        <v>4.3499999999999996</v>
      </c>
      <c r="N244">
        <v>6.48</v>
      </c>
      <c r="O244">
        <v>108.86</v>
      </c>
      <c r="P244">
        <v>5.62</v>
      </c>
      <c r="Q244">
        <v>6.48</v>
      </c>
      <c r="R244">
        <v>77.75</v>
      </c>
      <c r="S244">
        <v>7.69</v>
      </c>
      <c r="T244">
        <v>0</v>
      </c>
      <c r="U244">
        <v>10.37</v>
      </c>
      <c r="V244">
        <v>0</v>
      </c>
      <c r="W244">
        <v>0.25</v>
      </c>
      <c r="X244">
        <v>10.42</v>
      </c>
      <c r="Y244">
        <v>2.3199999999999998</v>
      </c>
      <c r="Z244">
        <v>2.59</v>
      </c>
      <c r="AA244">
        <v>79.05</v>
      </c>
      <c r="AB244">
        <v>3.17</v>
      </c>
      <c r="AC244">
        <v>2.59</v>
      </c>
      <c r="AD244">
        <v>45.36</v>
      </c>
      <c r="AE244">
        <v>5.41</v>
      </c>
      <c r="AF244">
        <v>0</v>
      </c>
      <c r="AG244">
        <v>7.78</v>
      </c>
      <c r="AH244">
        <v>0</v>
      </c>
      <c r="AI244">
        <v>0</v>
      </c>
      <c r="AJ244">
        <v>82.86</v>
      </c>
      <c r="AK244">
        <v>0</v>
      </c>
      <c r="AL244">
        <v>27.21</v>
      </c>
      <c r="AM244">
        <v>0</v>
      </c>
      <c r="AN244">
        <v>0</v>
      </c>
      <c r="AO244">
        <v>22.03</v>
      </c>
      <c r="AP244">
        <v>0</v>
      </c>
      <c r="AQ244">
        <v>0</v>
      </c>
      <c r="AR244">
        <v>5.18</v>
      </c>
      <c r="AS244">
        <v>0</v>
      </c>
      <c r="AT244" t="s">
        <v>85</v>
      </c>
      <c r="AU244">
        <v>76.47</v>
      </c>
      <c r="AV244">
        <v>2.59</v>
      </c>
      <c r="AW244">
        <v>51.84</v>
      </c>
      <c r="AX244">
        <v>4.76</v>
      </c>
      <c r="AY244">
        <v>2.59</v>
      </c>
      <c r="AZ244">
        <v>23.33</v>
      </c>
      <c r="BA244">
        <v>10</v>
      </c>
      <c r="BB244">
        <v>0</v>
      </c>
      <c r="BC244">
        <v>2.59</v>
      </c>
      <c r="BD244">
        <v>0</v>
      </c>
      <c r="BE244">
        <v>0</v>
      </c>
      <c r="BF244">
        <v>88.89</v>
      </c>
      <c r="BG244">
        <v>1.3</v>
      </c>
      <c r="BH244">
        <v>62.2</v>
      </c>
      <c r="BI244">
        <v>2.04</v>
      </c>
      <c r="BJ244">
        <v>1.3</v>
      </c>
      <c r="BK244">
        <v>32.4</v>
      </c>
      <c r="BL244">
        <v>3.85</v>
      </c>
      <c r="BM244">
        <v>0</v>
      </c>
      <c r="BN244">
        <v>2.59</v>
      </c>
      <c r="BO244">
        <v>0</v>
      </c>
      <c r="BP244">
        <v>0</v>
      </c>
      <c r="BQ244">
        <v>92</v>
      </c>
      <c r="BR244">
        <v>0</v>
      </c>
      <c r="BS244">
        <v>86.67</v>
      </c>
      <c r="BT244">
        <v>0.86699999999999999</v>
      </c>
    </row>
    <row r="245" spans="1:72" x14ac:dyDescent="0.35">
      <c r="A245">
        <v>31</v>
      </c>
      <c r="B245" t="s">
        <v>67</v>
      </c>
      <c r="C245">
        <v>10</v>
      </c>
      <c r="D245">
        <v>5.24</v>
      </c>
      <c r="E245">
        <v>5</v>
      </c>
      <c r="F245">
        <v>3</v>
      </c>
      <c r="G245">
        <v>2</v>
      </c>
      <c r="H245">
        <v>4</v>
      </c>
      <c r="I245">
        <v>12</v>
      </c>
      <c r="J245">
        <v>0.6</v>
      </c>
      <c r="K245">
        <v>7.79</v>
      </c>
      <c r="L245">
        <v>69</v>
      </c>
      <c r="M245">
        <v>10.14</v>
      </c>
      <c r="N245">
        <v>6.68</v>
      </c>
      <c r="O245">
        <v>55.64</v>
      </c>
      <c r="P245">
        <v>10.71</v>
      </c>
      <c r="Q245">
        <v>5.56</v>
      </c>
      <c r="R245">
        <v>38.950000000000003</v>
      </c>
      <c r="S245">
        <v>12.5</v>
      </c>
      <c r="T245">
        <v>0</v>
      </c>
      <c r="U245">
        <v>4.45</v>
      </c>
      <c r="V245">
        <v>0</v>
      </c>
      <c r="W245">
        <v>0.3</v>
      </c>
      <c r="X245">
        <v>5.29</v>
      </c>
      <c r="Y245">
        <v>5.36</v>
      </c>
      <c r="Z245">
        <v>3.34</v>
      </c>
      <c r="AA245">
        <v>40.06</v>
      </c>
      <c r="AB245">
        <v>7.69</v>
      </c>
      <c r="AC245">
        <v>2.23</v>
      </c>
      <c r="AD245">
        <v>23.37</v>
      </c>
      <c r="AE245">
        <v>8.6999999999999993</v>
      </c>
      <c r="AF245">
        <v>0</v>
      </c>
      <c r="AG245">
        <v>3.34</v>
      </c>
      <c r="AH245">
        <v>0</v>
      </c>
      <c r="AI245">
        <v>0</v>
      </c>
      <c r="AJ245">
        <v>85.71</v>
      </c>
      <c r="AK245">
        <v>1.1100000000000001</v>
      </c>
      <c r="AL245">
        <v>21.14</v>
      </c>
      <c r="AM245">
        <v>5</v>
      </c>
      <c r="AN245">
        <v>1.1100000000000001</v>
      </c>
      <c r="AO245">
        <v>16.690000000000001</v>
      </c>
      <c r="AP245">
        <v>6.25</v>
      </c>
      <c r="AQ245">
        <v>0</v>
      </c>
      <c r="AR245">
        <v>2.23</v>
      </c>
      <c r="AS245">
        <v>0</v>
      </c>
      <c r="AT245">
        <v>0</v>
      </c>
      <c r="AU245">
        <v>86.67</v>
      </c>
      <c r="AV245">
        <v>2.23</v>
      </c>
      <c r="AW245">
        <v>18.920000000000002</v>
      </c>
      <c r="AX245">
        <v>10.53</v>
      </c>
      <c r="AY245">
        <v>1.1100000000000001</v>
      </c>
      <c r="AZ245">
        <v>6.68</v>
      </c>
      <c r="BA245">
        <v>14.29</v>
      </c>
      <c r="BB245">
        <v>0</v>
      </c>
      <c r="BC245">
        <v>1.1100000000000001</v>
      </c>
      <c r="BD245">
        <v>0</v>
      </c>
      <c r="BE245">
        <v>0</v>
      </c>
      <c r="BF245">
        <v>83.33</v>
      </c>
      <c r="BG245">
        <v>1.1100000000000001</v>
      </c>
      <c r="BH245">
        <v>28.93</v>
      </c>
      <c r="BI245">
        <v>3.7</v>
      </c>
      <c r="BJ245">
        <v>1.1100000000000001</v>
      </c>
      <c r="BK245">
        <v>15.58</v>
      </c>
      <c r="BL245">
        <v>6.67</v>
      </c>
      <c r="BM245">
        <v>0</v>
      </c>
      <c r="BN245">
        <v>1.1100000000000001</v>
      </c>
      <c r="BO245">
        <v>0</v>
      </c>
      <c r="BP245">
        <v>0</v>
      </c>
      <c r="BQ245">
        <v>92.86</v>
      </c>
      <c r="BR245">
        <v>0</v>
      </c>
      <c r="BS245">
        <v>88.57</v>
      </c>
      <c r="BT245">
        <v>0.88600000000000001</v>
      </c>
    </row>
    <row r="255" spans="1:72" x14ac:dyDescent="0.35">
      <c r="B255" t="s">
        <v>0</v>
      </c>
      <c r="C255" t="s">
        <v>1</v>
      </c>
      <c r="D255" t="s">
        <v>90</v>
      </c>
      <c r="E255" t="s">
        <v>2</v>
      </c>
      <c r="F255" t="s">
        <v>3</v>
      </c>
      <c r="G255" t="s">
        <v>4</v>
      </c>
      <c r="H255" t="s">
        <v>5</v>
      </c>
      <c r="I255" t="s">
        <v>6</v>
      </c>
      <c r="J255" t="s">
        <v>7</v>
      </c>
      <c r="K255" t="s">
        <v>91</v>
      </c>
      <c r="L255" t="s">
        <v>92</v>
      </c>
      <c r="M255" t="s">
        <v>8</v>
      </c>
      <c r="N255" t="s">
        <v>93</v>
      </c>
      <c r="O255" t="s">
        <v>94</v>
      </c>
      <c r="P255" t="s">
        <v>9</v>
      </c>
      <c r="Q255" t="s">
        <v>95</v>
      </c>
      <c r="R255" t="s">
        <v>71</v>
      </c>
      <c r="S255" t="s">
        <v>10</v>
      </c>
      <c r="T255" t="s">
        <v>96</v>
      </c>
      <c r="U255" t="s">
        <v>97</v>
      </c>
      <c r="V255" t="s">
        <v>11</v>
      </c>
      <c r="W255" t="s">
        <v>98</v>
      </c>
      <c r="X255" t="s">
        <v>99</v>
      </c>
      <c r="Y255" t="s">
        <v>14</v>
      </c>
      <c r="Z255" t="s">
        <v>100</v>
      </c>
      <c r="AA255" t="s">
        <v>101</v>
      </c>
      <c r="AB255" t="s">
        <v>15</v>
      </c>
      <c r="AC255" t="s">
        <v>102</v>
      </c>
      <c r="AD255" t="s">
        <v>103</v>
      </c>
      <c r="AE255" t="s">
        <v>16</v>
      </c>
      <c r="AF255" t="s">
        <v>104</v>
      </c>
      <c r="AG255" t="s">
        <v>105</v>
      </c>
      <c r="AH255" t="s">
        <v>17</v>
      </c>
      <c r="AI255" t="s">
        <v>18</v>
      </c>
      <c r="AJ255" t="s">
        <v>19</v>
      </c>
      <c r="AK255" t="s">
        <v>106</v>
      </c>
      <c r="AL255" t="s">
        <v>107</v>
      </c>
      <c r="AM255" t="s">
        <v>20</v>
      </c>
      <c r="AN255" t="s">
        <v>108</v>
      </c>
      <c r="AO255" t="s">
        <v>72</v>
      </c>
      <c r="AP255" t="s">
        <v>21</v>
      </c>
      <c r="AQ255" t="s">
        <v>109</v>
      </c>
      <c r="AR255" t="s">
        <v>73</v>
      </c>
      <c r="AS255" t="s">
        <v>22</v>
      </c>
      <c r="AT255" t="s">
        <v>23</v>
      </c>
      <c r="AU255" t="s">
        <v>24</v>
      </c>
      <c r="AV255" t="s">
        <v>110</v>
      </c>
      <c r="AW255" t="s">
        <v>111</v>
      </c>
      <c r="AX255" t="s">
        <v>25</v>
      </c>
      <c r="AY255" t="s">
        <v>112</v>
      </c>
      <c r="AZ255" t="s">
        <v>77</v>
      </c>
      <c r="BA255" t="s">
        <v>26</v>
      </c>
      <c r="BB255" t="s">
        <v>113</v>
      </c>
      <c r="BC255" t="s">
        <v>74</v>
      </c>
      <c r="BD255" t="s">
        <v>27</v>
      </c>
      <c r="BE255" t="s">
        <v>28</v>
      </c>
      <c r="BF255" t="s">
        <v>29</v>
      </c>
      <c r="BG255" t="s">
        <v>114</v>
      </c>
      <c r="BH255" t="s">
        <v>115</v>
      </c>
      <c r="BI255" t="s">
        <v>30</v>
      </c>
      <c r="BJ255" t="s">
        <v>116</v>
      </c>
      <c r="BK255" t="s">
        <v>75</v>
      </c>
      <c r="BL255" t="s">
        <v>31</v>
      </c>
      <c r="BM255" t="s">
        <v>117</v>
      </c>
      <c r="BN255" t="s">
        <v>76</v>
      </c>
      <c r="BO255" t="s">
        <v>32</v>
      </c>
      <c r="BP255" t="s">
        <v>33</v>
      </c>
      <c r="BQ255" t="s">
        <v>34</v>
      </c>
      <c r="BR255" t="s">
        <v>35</v>
      </c>
      <c r="BS255" t="s">
        <v>36</v>
      </c>
      <c r="BT255" t="s">
        <v>37</v>
      </c>
    </row>
    <row r="256" spans="1:72" x14ac:dyDescent="0.35">
      <c r="A256">
        <v>1</v>
      </c>
      <c r="B256" t="s">
        <v>38</v>
      </c>
      <c r="C256">
        <v>10</v>
      </c>
      <c r="D256">
        <v>51.12</v>
      </c>
      <c r="E256">
        <v>2</v>
      </c>
      <c r="F256">
        <v>6</v>
      </c>
      <c r="G256">
        <v>2</v>
      </c>
      <c r="H256">
        <v>1</v>
      </c>
      <c r="I256">
        <v>6</v>
      </c>
      <c r="J256">
        <v>0.3</v>
      </c>
      <c r="K256">
        <v>54.83</v>
      </c>
      <c r="L256">
        <v>54.37</v>
      </c>
      <c r="M256">
        <v>50.21</v>
      </c>
      <c r="N256">
        <v>41.01</v>
      </c>
      <c r="O256">
        <v>38.9</v>
      </c>
      <c r="P256">
        <v>51.32</v>
      </c>
      <c r="Q256">
        <v>26.25</v>
      </c>
      <c r="R256">
        <v>28.12</v>
      </c>
      <c r="S256">
        <v>48.28</v>
      </c>
      <c r="T256">
        <v>2.11</v>
      </c>
      <c r="U256">
        <v>3.05</v>
      </c>
      <c r="V256">
        <v>40.909999999999997</v>
      </c>
      <c r="W256">
        <v>2.34</v>
      </c>
      <c r="X256">
        <v>2.5</v>
      </c>
      <c r="Y256">
        <v>48.41</v>
      </c>
      <c r="Z256">
        <v>26.71</v>
      </c>
      <c r="AA256">
        <v>29.29</v>
      </c>
      <c r="AB256">
        <v>47.7</v>
      </c>
      <c r="AC256">
        <v>15.23</v>
      </c>
      <c r="AD256">
        <v>17.93</v>
      </c>
      <c r="AE256">
        <v>45.94</v>
      </c>
      <c r="AF256">
        <v>1.87</v>
      </c>
      <c r="AG256">
        <v>2.93</v>
      </c>
      <c r="AH256">
        <v>39.020000000000003</v>
      </c>
      <c r="AI256">
        <v>12.31</v>
      </c>
      <c r="AJ256">
        <v>83.66</v>
      </c>
      <c r="AK256">
        <v>11.6</v>
      </c>
      <c r="AL256">
        <v>11.37</v>
      </c>
      <c r="AM256">
        <v>50.51</v>
      </c>
      <c r="AN256">
        <v>7.62</v>
      </c>
      <c r="AO256">
        <v>8.9</v>
      </c>
      <c r="AP256">
        <v>46.1</v>
      </c>
      <c r="AQ256">
        <v>1.17</v>
      </c>
      <c r="AR256">
        <v>1.99</v>
      </c>
      <c r="AS256">
        <v>37.04</v>
      </c>
      <c r="AT256">
        <v>15.38</v>
      </c>
      <c r="AU256">
        <v>77.63</v>
      </c>
      <c r="AV256">
        <v>15.11</v>
      </c>
      <c r="AW256">
        <v>17.93</v>
      </c>
      <c r="AX256">
        <v>45.74</v>
      </c>
      <c r="AY256">
        <v>7.62</v>
      </c>
      <c r="AZ256">
        <v>9.02</v>
      </c>
      <c r="BA256">
        <v>45.77</v>
      </c>
      <c r="BB256">
        <v>0.7</v>
      </c>
      <c r="BC256">
        <v>0.94</v>
      </c>
      <c r="BD256">
        <v>42.86</v>
      </c>
      <c r="BE256">
        <v>9.23</v>
      </c>
      <c r="BF256">
        <v>89.61</v>
      </c>
      <c r="BG256">
        <v>25.31</v>
      </c>
      <c r="BH256">
        <v>22.97</v>
      </c>
      <c r="BI256">
        <v>52.43</v>
      </c>
      <c r="BJ256">
        <v>10.43</v>
      </c>
      <c r="BK256">
        <v>9.7200000000000006</v>
      </c>
      <c r="BL256">
        <v>51.74</v>
      </c>
      <c r="BM256">
        <v>0.12</v>
      </c>
      <c r="BN256">
        <v>0.12</v>
      </c>
      <c r="BO256">
        <v>50</v>
      </c>
      <c r="BP256">
        <v>1.1200000000000001</v>
      </c>
      <c r="BQ256">
        <v>98.8</v>
      </c>
      <c r="BR256">
        <v>8.0399999999999991</v>
      </c>
      <c r="BS256">
        <v>89.17</v>
      </c>
      <c r="BT256">
        <v>0.97199999999999998</v>
      </c>
    </row>
    <row r="257" spans="1:72" x14ac:dyDescent="0.35">
      <c r="A257">
        <v>2</v>
      </c>
      <c r="B257" t="s">
        <v>39</v>
      </c>
      <c r="C257">
        <v>10</v>
      </c>
      <c r="D257">
        <v>51.52</v>
      </c>
      <c r="E257">
        <v>4</v>
      </c>
      <c r="F257">
        <v>4</v>
      </c>
      <c r="G257">
        <v>2</v>
      </c>
      <c r="H257">
        <v>3</v>
      </c>
      <c r="I257">
        <v>10</v>
      </c>
      <c r="J257">
        <v>0.5</v>
      </c>
      <c r="K257">
        <v>47.41</v>
      </c>
      <c r="L257">
        <v>54.25</v>
      </c>
      <c r="M257">
        <v>46.64</v>
      </c>
      <c r="N257">
        <v>35.26</v>
      </c>
      <c r="O257">
        <v>42.22</v>
      </c>
      <c r="P257">
        <v>45.51</v>
      </c>
      <c r="Q257">
        <v>25.24</v>
      </c>
      <c r="R257">
        <v>29.13</v>
      </c>
      <c r="S257">
        <v>46.42</v>
      </c>
      <c r="T257">
        <v>2.48</v>
      </c>
      <c r="U257">
        <v>3.18</v>
      </c>
      <c r="V257">
        <v>43.75</v>
      </c>
      <c r="W257">
        <v>2.06</v>
      </c>
      <c r="X257">
        <v>2.4300000000000002</v>
      </c>
      <c r="Y257">
        <v>45.94</v>
      </c>
      <c r="Z257">
        <v>23.23</v>
      </c>
      <c r="AA257">
        <v>25.48</v>
      </c>
      <c r="AB257">
        <v>47.7</v>
      </c>
      <c r="AC257">
        <v>13.21</v>
      </c>
      <c r="AD257">
        <v>14.86</v>
      </c>
      <c r="AE257">
        <v>47.06</v>
      </c>
      <c r="AF257">
        <v>2.2400000000000002</v>
      </c>
      <c r="AG257">
        <v>2.59</v>
      </c>
      <c r="AH257">
        <v>46.34</v>
      </c>
      <c r="AI257">
        <v>16.96</v>
      </c>
      <c r="AJ257">
        <v>82.54</v>
      </c>
      <c r="AK257">
        <v>10.26</v>
      </c>
      <c r="AL257">
        <v>11.2</v>
      </c>
      <c r="AM257">
        <v>47.8</v>
      </c>
      <c r="AN257">
        <v>6.72</v>
      </c>
      <c r="AO257">
        <v>7.67</v>
      </c>
      <c r="AP257">
        <v>46.72</v>
      </c>
      <c r="AQ257">
        <v>1.06</v>
      </c>
      <c r="AR257">
        <v>1.3</v>
      </c>
      <c r="AS257">
        <v>45</v>
      </c>
      <c r="AT257">
        <v>15.79</v>
      </c>
      <c r="AU257">
        <v>83.08</v>
      </c>
      <c r="AV257">
        <v>12.97</v>
      </c>
      <c r="AW257">
        <v>14.27</v>
      </c>
      <c r="AX257">
        <v>47.62</v>
      </c>
      <c r="AY257">
        <v>6.49</v>
      </c>
      <c r="AZ257">
        <v>7.19</v>
      </c>
      <c r="BA257">
        <v>47.41</v>
      </c>
      <c r="BB257">
        <v>1.18</v>
      </c>
      <c r="BC257">
        <v>1.3</v>
      </c>
      <c r="BD257">
        <v>47.62</v>
      </c>
      <c r="BE257">
        <v>18.18</v>
      </c>
      <c r="BF257">
        <v>81.97</v>
      </c>
      <c r="BG257">
        <v>21.11</v>
      </c>
      <c r="BH257">
        <v>25.12</v>
      </c>
      <c r="BI257">
        <v>45.66</v>
      </c>
      <c r="BJ257">
        <v>10.73</v>
      </c>
      <c r="BK257">
        <v>12.86</v>
      </c>
      <c r="BL257">
        <v>45.5</v>
      </c>
      <c r="BM257">
        <v>0.24</v>
      </c>
      <c r="BN257">
        <v>0.35</v>
      </c>
      <c r="BO257">
        <v>40</v>
      </c>
      <c r="BP257">
        <v>2.2000000000000002</v>
      </c>
      <c r="BQ257">
        <v>97.25</v>
      </c>
      <c r="BR257">
        <v>9.81</v>
      </c>
      <c r="BS257">
        <v>89.07</v>
      </c>
      <c r="BT257">
        <v>0.98899999999999999</v>
      </c>
    </row>
    <row r="258" spans="1:72" x14ac:dyDescent="0.35">
      <c r="A258">
        <v>3</v>
      </c>
      <c r="B258" t="s">
        <v>40</v>
      </c>
      <c r="C258">
        <v>9</v>
      </c>
      <c r="D258">
        <v>52.42</v>
      </c>
      <c r="E258">
        <v>6</v>
      </c>
      <c r="F258">
        <v>2</v>
      </c>
      <c r="G258">
        <v>1</v>
      </c>
      <c r="H258">
        <v>5</v>
      </c>
      <c r="I258">
        <v>13</v>
      </c>
      <c r="J258">
        <v>0.72199999999999998</v>
      </c>
      <c r="K258">
        <v>50.68</v>
      </c>
      <c r="L258">
        <v>46.55</v>
      </c>
      <c r="M258">
        <v>52.12</v>
      </c>
      <c r="N258">
        <v>39.71</v>
      </c>
      <c r="O258">
        <v>35.85</v>
      </c>
      <c r="P258">
        <v>52.56</v>
      </c>
      <c r="Q258">
        <v>28.63</v>
      </c>
      <c r="R258">
        <v>23.6</v>
      </c>
      <c r="S258">
        <v>54.81</v>
      </c>
      <c r="T258">
        <v>2.84</v>
      </c>
      <c r="U258">
        <v>1.68</v>
      </c>
      <c r="V258">
        <v>62.86</v>
      </c>
      <c r="W258">
        <v>1.85</v>
      </c>
      <c r="X258">
        <v>1.73</v>
      </c>
      <c r="Y258">
        <v>51.67</v>
      </c>
      <c r="Z258">
        <v>25.27</v>
      </c>
      <c r="AA258">
        <v>22.18</v>
      </c>
      <c r="AB258">
        <v>53.26</v>
      </c>
      <c r="AC258">
        <v>16.12</v>
      </c>
      <c r="AD258">
        <v>12.77</v>
      </c>
      <c r="AE258">
        <v>55.8</v>
      </c>
      <c r="AF258">
        <v>2.4500000000000002</v>
      </c>
      <c r="AG258">
        <v>1.68</v>
      </c>
      <c r="AH258">
        <v>59.38</v>
      </c>
      <c r="AI258">
        <v>15.2</v>
      </c>
      <c r="AJ258">
        <v>86.87</v>
      </c>
      <c r="AK258">
        <v>9.0299999999999994</v>
      </c>
      <c r="AL258">
        <v>7.35</v>
      </c>
      <c r="AM258">
        <v>55.12</v>
      </c>
      <c r="AN258">
        <v>7.35</v>
      </c>
      <c r="AO258">
        <v>6.06</v>
      </c>
      <c r="AP258">
        <v>54.81</v>
      </c>
      <c r="AQ258">
        <v>1.29</v>
      </c>
      <c r="AR258">
        <v>1.1599999999999999</v>
      </c>
      <c r="AS258">
        <v>52.63</v>
      </c>
      <c r="AT258">
        <v>17.54</v>
      </c>
      <c r="AU258">
        <v>80.849999999999994</v>
      </c>
      <c r="AV258">
        <v>16.25</v>
      </c>
      <c r="AW258">
        <v>14.83</v>
      </c>
      <c r="AX258">
        <v>52.28</v>
      </c>
      <c r="AY258">
        <v>8.77</v>
      </c>
      <c r="AZ258">
        <v>6.71</v>
      </c>
      <c r="BA258">
        <v>56.67</v>
      </c>
      <c r="BB258">
        <v>1.1599999999999999</v>
      </c>
      <c r="BC258">
        <v>0.52</v>
      </c>
      <c r="BD258">
        <v>69.23</v>
      </c>
      <c r="BE258">
        <v>13.24</v>
      </c>
      <c r="BF258">
        <v>92.31</v>
      </c>
      <c r="BG258">
        <v>22.69</v>
      </c>
      <c r="BH258">
        <v>22.31</v>
      </c>
      <c r="BI258">
        <v>50.43</v>
      </c>
      <c r="BJ258">
        <v>11.35</v>
      </c>
      <c r="BK258">
        <v>9.67</v>
      </c>
      <c r="BL258">
        <v>53.99</v>
      </c>
      <c r="BM258">
        <v>0.39</v>
      </c>
      <c r="BN258">
        <v>0</v>
      </c>
      <c r="BO258">
        <v>100</v>
      </c>
      <c r="BP258">
        <v>3.41</v>
      </c>
      <c r="BQ258">
        <v>100</v>
      </c>
      <c r="BR258">
        <v>9.91</v>
      </c>
      <c r="BS258">
        <v>92.9</v>
      </c>
      <c r="BT258">
        <v>1.028</v>
      </c>
    </row>
    <row r="259" spans="1:72" x14ac:dyDescent="0.35">
      <c r="A259">
        <v>4</v>
      </c>
      <c r="B259" t="s">
        <v>41</v>
      </c>
      <c r="C259">
        <v>10</v>
      </c>
      <c r="D259">
        <v>50.53</v>
      </c>
      <c r="E259">
        <v>2</v>
      </c>
      <c r="F259">
        <v>6</v>
      </c>
      <c r="G259">
        <v>2</v>
      </c>
      <c r="H259">
        <v>1</v>
      </c>
      <c r="I259">
        <v>6</v>
      </c>
      <c r="J259">
        <v>0.3</v>
      </c>
      <c r="K259">
        <v>46.55</v>
      </c>
      <c r="L259">
        <v>53.76</v>
      </c>
      <c r="M259">
        <v>46.4</v>
      </c>
      <c r="N259">
        <v>36.08</v>
      </c>
      <c r="O259">
        <v>43.78</v>
      </c>
      <c r="P259">
        <v>45.18</v>
      </c>
      <c r="Q259">
        <v>24.9</v>
      </c>
      <c r="R259">
        <v>32.840000000000003</v>
      </c>
      <c r="S259">
        <v>43.13</v>
      </c>
      <c r="T259">
        <v>0.84</v>
      </c>
      <c r="U259">
        <v>3.37</v>
      </c>
      <c r="V259">
        <v>20</v>
      </c>
      <c r="W259">
        <v>1.96</v>
      </c>
      <c r="X259">
        <v>2.94</v>
      </c>
      <c r="Y259">
        <v>39.97</v>
      </c>
      <c r="Z259">
        <v>20.57</v>
      </c>
      <c r="AA259">
        <v>25.26</v>
      </c>
      <c r="AB259">
        <v>44.88</v>
      </c>
      <c r="AC259">
        <v>10.82</v>
      </c>
      <c r="AD259">
        <v>16.600000000000001</v>
      </c>
      <c r="AE259">
        <v>39.47</v>
      </c>
      <c r="AF259">
        <v>0.6</v>
      </c>
      <c r="AG259">
        <v>2.89</v>
      </c>
      <c r="AH259">
        <v>17.239999999999998</v>
      </c>
      <c r="AI259">
        <v>5.56</v>
      </c>
      <c r="AJ259">
        <v>82.61</v>
      </c>
      <c r="AK259">
        <v>10.46</v>
      </c>
      <c r="AL259">
        <v>12.87</v>
      </c>
      <c r="AM259">
        <v>44.85</v>
      </c>
      <c r="AN259">
        <v>6.98</v>
      </c>
      <c r="AO259">
        <v>9.86</v>
      </c>
      <c r="AP259">
        <v>41.43</v>
      </c>
      <c r="AQ259">
        <v>0.48</v>
      </c>
      <c r="AR259">
        <v>1.2</v>
      </c>
      <c r="AS259">
        <v>28.57</v>
      </c>
      <c r="AT259">
        <v>6.9</v>
      </c>
      <c r="AU259">
        <v>87.8</v>
      </c>
      <c r="AV259">
        <v>10.1</v>
      </c>
      <c r="AW259">
        <v>12.39</v>
      </c>
      <c r="AX259">
        <v>44.92</v>
      </c>
      <c r="AY259">
        <v>3.85</v>
      </c>
      <c r="AZ259">
        <v>6.74</v>
      </c>
      <c r="BA259">
        <v>36.36</v>
      </c>
      <c r="BB259">
        <v>0.12</v>
      </c>
      <c r="BC259">
        <v>1.68</v>
      </c>
      <c r="BD259">
        <v>6.67</v>
      </c>
      <c r="BE259">
        <v>3.13</v>
      </c>
      <c r="BF259">
        <v>75</v>
      </c>
      <c r="BG259">
        <v>23.94</v>
      </c>
      <c r="BH259">
        <v>24.3</v>
      </c>
      <c r="BI259">
        <v>49.63</v>
      </c>
      <c r="BJ259">
        <v>13.47</v>
      </c>
      <c r="BK259">
        <v>14.55</v>
      </c>
      <c r="BL259">
        <v>48.07</v>
      </c>
      <c r="BM259">
        <v>0.24</v>
      </c>
      <c r="BN259">
        <v>0.36</v>
      </c>
      <c r="BO259">
        <v>40</v>
      </c>
      <c r="BP259">
        <v>1.79</v>
      </c>
      <c r="BQ259">
        <v>97.52</v>
      </c>
      <c r="BR259">
        <v>3.38</v>
      </c>
      <c r="BS259">
        <v>89.74</v>
      </c>
      <c r="BT259">
        <v>0.93100000000000005</v>
      </c>
    </row>
    <row r="260" spans="1:72" x14ac:dyDescent="0.35">
      <c r="A260">
        <v>5</v>
      </c>
      <c r="B260" t="s">
        <v>42</v>
      </c>
      <c r="C260">
        <v>10</v>
      </c>
      <c r="D260">
        <v>49.09</v>
      </c>
      <c r="E260">
        <v>8</v>
      </c>
      <c r="F260">
        <v>1</v>
      </c>
      <c r="G260">
        <v>1</v>
      </c>
      <c r="H260">
        <v>7</v>
      </c>
      <c r="I260">
        <v>17</v>
      </c>
      <c r="J260">
        <v>0.85</v>
      </c>
      <c r="K260">
        <v>61.9</v>
      </c>
      <c r="L260">
        <v>53.96</v>
      </c>
      <c r="M260">
        <v>53.42</v>
      </c>
      <c r="N260">
        <v>48.59</v>
      </c>
      <c r="O260">
        <v>42.61</v>
      </c>
      <c r="P260">
        <v>53.28</v>
      </c>
      <c r="Q260">
        <v>31.99</v>
      </c>
      <c r="R260">
        <v>28.57</v>
      </c>
      <c r="S260">
        <v>52.82</v>
      </c>
      <c r="T260">
        <v>2.93</v>
      </c>
      <c r="U260">
        <v>2.08</v>
      </c>
      <c r="V260">
        <v>58.54</v>
      </c>
      <c r="W260">
        <v>3.29</v>
      </c>
      <c r="X260">
        <v>2.66</v>
      </c>
      <c r="Y260">
        <v>55.33</v>
      </c>
      <c r="Z260">
        <v>31.62</v>
      </c>
      <c r="AA260">
        <v>26.49</v>
      </c>
      <c r="AB260">
        <v>54.41</v>
      </c>
      <c r="AC260">
        <v>17.46</v>
      </c>
      <c r="AD260">
        <v>14.89</v>
      </c>
      <c r="AE260">
        <v>53.96</v>
      </c>
      <c r="AF260">
        <v>2.3199999999999998</v>
      </c>
      <c r="AG260">
        <v>1.71</v>
      </c>
      <c r="AH260">
        <v>57.58</v>
      </c>
      <c r="AI260">
        <v>13.29</v>
      </c>
      <c r="AJ260">
        <v>88.52</v>
      </c>
      <c r="AK260">
        <v>14.41</v>
      </c>
      <c r="AL260">
        <v>12.58</v>
      </c>
      <c r="AM260">
        <v>53.39</v>
      </c>
      <c r="AN260">
        <v>10.01</v>
      </c>
      <c r="AO260">
        <v>8.3000000000000007</v>
      </c>
      <c r="AP260">
        <v>54.67</v>
      </c>
      <c r="AQ260">
        <v>1.95</v>
      </c>
      <c r="AR260">
        <v>0.98</v>
      </c>
      <c r="AS260">
        <v>66.67</v>
      </c>
      <c r="AT260">
        <v>19.510000000000002</v>
      </c>
      <c r="AU260">
        <v>88.24</v>
      </c>
      <c r="AV260">
        <v>17.21</v>
      </c>
      <c r="AW260">
        <v>13.92</v>
      </c>
      <c r="AX260">
        <v>55.29</v>
      </c>
      <c r="AY260">
        <v>7.45</v>
      </c>
      <c r="AZ260">
        <v>6.59</v>
      </c>
      <c r="BA260">
        <v>53.04</v>
      </c>
      <c r="BB260">
        <v>0.37</v>
      </c>
      <c r="BC260">
        <v>0.73</v>
      </c>
      <c r="BD260">
        <v>33.33</v>
      </c>
      <c r="BE260">
        <v>4.92</v>
      </c>
      <c r="BF260">
        <v>88.89</v>
      </c>
      <c r="BG260">
        <v>25.88</v>
      </c>
      <c r="BH260">
        <v>23.56</v>
      </c>
      <c r="BI260">
        <v>52.35</v>
      </c>
      <c r="BJ260">
        <v>13.06</v>
      </c>
      <c r="BK260">
        <v>12.82</v>
      </c>
      <c r="BL260">
        <v>50.47</v>
      </c>
      <c r="BM260">
        <v>0.37</v>
      </c>
      <c r="BN260">
        <v>0.37</v>
      </c>
      <c r="BO260">
        <v>50</v>
      </c>
      <c r="BP260">
        <v>2.8</v>
      </c>
      <c r="BQ260">
        <v>97.14</v>
      </c>
      <c r="BR260">
        <v>9.16</v>
      </c>
      <c r="BS260">
        <v>92.74</v>
      </c>
      <c r="BT260">
        <v>1.0189999999999999</v>
      </c>
    </row>
    <row r="261" spans="1:72" x14ac:dyDescent="0.35">
      <c r="A261">
        <v>6</v>
      </c>
      <c r="B261" t="s">
        <v>43</v>
      </c>
      <c r="C261">
        <v>10</v>
      </c>
      <c r="D261">
        <v>53.49</v>
      </c>
      <c r="E261">
        <v>5</v>
      </c>
      <c r="F261">
        <v>4</v>
      </c>
      <c r="G261">
        <v>1</v>
      </c>
      <c r="H261">
        <v>4</v>
      </c>
      <c r="I261">
        <v>11</v>
      </c>
      <c r="J261">
        <v>0.55000000000000004</v>
      </c>
      <c r="K261">
        <v>45.67</v>
      </c>
      <c r="L261">
        <v>56.34</v>
      </c>
      <c r="M261">
        <v>44.77</v>
      </c>
      <c r="N261">
        <v>35.78</v>
      </c>
      <c r="O261">
        <v>42.26</v>
      </c>
      <c r="P261">
        <v>45.85</v>
      </c>
      <c r="Q261">
        <v>25.79</v>
      </c>
      <c r="R261">
        <v>29.65</v>
      </c>
      <c r="S261">
        <v>46.52</v>
      </c>
      <c r="T261">
        <v>2.39</v>
      </c>
      <c r="U261">
        <v>2.61</v>
      </c>
      <c r="V261">
        <v>47.73</v>
      </c>
      <c r="W261">
        <v>1.72</v>
      </c>
      <c r="X261">
        <v>2.27</v>
      </c>
      <c r="Y261">
        <v>43.06</v>
      </c>
      <c r="Z261">
        <v>19.079999999999998</v>
      </c>
      <c r="AA261">
        <v>23.63</v>
      </c>
      <c r="AB261">
        <v>44.68</v>
      </c>
      <c r="AC261">
        <v>11.13</v>
      </c>
      <c r="AD261">
        <v>13.63</v>
      </c>
      <c r="AE261">
        <v>44.95</v>
      </c>
      <c r="AF261">
        <v>1.1399999999999999</v>
      </c>
      <c r="AG261">
        <v>2.04</v>
      </c>
      <c r="AH261">
        <v>35.71</v>
      </c>
      <c r="AI261">
        <v>10.199999999999999</v>
      </c>
      <c r="AJ261">
        <v>85</v>
      </c>
      <c r="AK261">
        <v>6.59</v>
      </c>
      <c r="AL261">
        <v>8.75</v>
      </c>
      <c r="AM261">
        <v>42.96</v>
      </c>
      <c r="AN261">
        <v>4.66</v>
      </c>
      <c r="AO261">
        <v>6.36</v>
      </c>
      <c r="AP261">
        <v>42.27</v>
      </c>
      <c r="AQ261">
        <v>0.68</v>
      </c>
      <c r="AR261">
        <v>1.48</v>
      </c>
      <c r="AS261">
        <v>31.58</v>
      </c>
      <c r="AT261">
        <v>14.63</v>
      </c>
      <c r="AU261">
        <v>76.790000000000006</v>
      </c>
      <c r="AV261">
        <v>12.5</v>
      </c>
      <c r="AW261">
        <v>14.88</v>
      </c>
      <c r="AX261">
        <v>45.64</v>
      </c>
      <c r="AY261">
        <v>6.48</v>
      </c>
      <c r="AZ261">
        <v>7.27</v>
      </c>
      <c r="BA261">
        <v>47.11</v>
      </c>
      <c r="BB261">
        <v>0.45</v>
      </c>
      <c r="BC261">
        <v>0.56999999999999995</v>
      </c>
      <c r="BD261">
        <v>44.44</v>
      </c>
      <c r="BE261">
        <v>7.02</v>
      </c>
      <c r="BF261">
        <v>92.19</v>
      </c>
      <c r="BG261">
        <v>23.17</v>
      </c>
      <c r="BH261">
        <v>28.74</v>
      </c>
      <c r="BI261">
        <v>44.64</v>
      </c>
      <c r="BJ261">
        <v>13.75</v>
      </c>
      <c r="BK261">
        <v>14.88</v>
      </c>
      <c r="BL261">
        <v>48.02</v>
      </c>
      <c r="BM261">
        <v>1.25</v>
      </c>
      <c r="BN261">
        <v>0.45</v>
      </c>
      <c r="BO261">
        <v>73.33</v>
      </c>
      <c r="BP261">
        <v>9.09</v>
      </c>
      <c r="BQ261">
        <v>96.95</v>
      </c>
      <c r="BR261">
        <v>9.25</v>
      </c>
      <c r="BS261">
        <v>91.19</v>
      </c>
      <c r="BT261">
        <v>1.004</v>
      </c>
    </row>
    <row r="262" spans="1:72" x14ac:dyDescent="0.35">
      <c r="A262">
        <v>7</v>
      </c>
      <c r="B262" t="s">
        <v>44</v>
      </c>
      <c r="C262">
        <v>10</v>
      </c>
      <c r="D262">
        <v>49.29</v>
      </c>
      <c r="E262">
        <v>5</v>
      </c>
      <c r="F262">
        <v>4</v>
      </c>
      <c r="G262">
        <v>1</v>
      </c>
      <c r="H262">
        <v>5</v>
      </c>
      <c r="I262">
        <v>11</v>
      </c>
      <c r="J262">
        <v>0.55000000000000004</v>
      </c>
      <c r="K262">
        <v>56.63</v>
      </c>
      <c r="L262">
        <v>45.23</v>
      </c>
      <c r="M262">
        <v>55.6</v>
      </c>
      <c r="N262">
        <v>43.78</v>
      </c>
      <c r="O262">
        <v>35.53</v>
      </c>
      <c r="P262">
        <v>55.2</v>
      </c>
      <c r="Q262">
        <v>29.71</v>
      </c>
      <c r="R262">
        <v>27.17</v>
      </c>
      <c r="S262">
        <v>52.24</v>
      </c>
      <c r="T262">
        <v>2.91</v>
      </c>
      <c r="U262">
        <v>2.67</v>
      </c>
      <c r="V262">
        <v>52.17</v>
      </c>
      <c r="W262">
        <v>2.52</v>
      </c>
      <c r="X262">
        <v>1.84</v>
      </c>
      <c r="Y262">
        <v>57.74</v>
      </c>
      <c r="Z262">
        <v>28.5</v>
      </c>
      <c r="AA262">
        <v>20.98</v>
      </c>
      <c r="AB262">
        <v>57.6</v>
      </c>
      <c r="AC262">
        <v>18.55</v>
      </c>
      <c r="AD262">
        <v>14.31</v>
      </c>
      <c r="AE262">
        <v>56.46</v>
      </c>
      <c r="AF262">
        <v>2.79</v>
      </c>
      <c r="AG262">
        <v>2.1800000000000002</v>
      </c>
      <c r="AH262">
        <v>56.1</v>
      </c>
      <c r="AI262">
        <v>15.03</v>
      </c>
      <c r="AJ262">
        <v>84.75</v>
      </c>
      <c r="AK262">
        <v>11.52</v>
      </c>
      <c r="AL262">
        <v>8.49</v>
      </c>
      <c r="AM262">
        <v>57.58</v>
      </c>
      <c r="AN262">
        <v>9.2200000000000006</v>
      </c>
      <c r="AO262">
        <v>7.16</v>
      </c>
      <c r="AP262">
        <v>56.3</v>
      </c>
      <c r="AQ262">
        <v>1.58</v>
      </c>
      <c r="AR262">
        <v>1.46</v>
      </c>
      <c r="AS262">
        <v>52</v>
      </c>
      <c r="AT262">
        <v>17.11</v>
      </c>
      <c r="AU262">
        <v>79.66</v>
      </c>
      <c r="AV262">
        <v>16.98</v>
      </c>
      <c r="AW262">
        <v>12.49</v>
      </c>
      <c r="AX262">
        <v>57.61</v>
      </c>
      <c r="AY262">
        <v>9.34</v>
      </c>
      <c r="AZ262">
        <v>7.16</v>
      </c>
      <c r="BA262">
        <v>56.62</v>
      </c>
      <c r="BB262">
        <v>1.21</v>
      </c>
      <c r="BC262">
        <v>0.73</v>
      </c>
      <c r="BD262">
        <v>62.5</v>
      </c>
      <c r="BE262">
        <v>12.99</v>
      </c>
      <c r="BF262">
        <v>89.83</v>
      </c>
      <c r="BG262">
        <v>24.98</v>
      </c>
      <c r="BH262">
        <v>20.5</v>
      </c>
      <c r="BI262">
        <v>54.93</v>
      </c>
      <c r="BJ262">
        <v>10.43</v>
      </c>
      <c r="BK262">
        <v>11.52</v>
      </c>
      <c r="BL262">
        <v>47.51</v>
      </c>
      <c r="BM262">
        <v>0</v>
      </c>
      <c r="BN262">
        <v>0.49</v>
      </c>
      <c r="BO262">
        <v>0</v>
      </c>
      <c r="BP262">
        <v>0</v>
      </c>
      <c r="BQ262">
        <v>95.79</v>
      </c>
      <c r="BR262">
        <v>9.8000000000000007</v>
      </c>
      <c r="BS262">
        <v>90.18</v>
      </c>
      <c r="BT262">
        <v>1</v>
      </c>
    </row>
    <row r="263" spans="1:72" x14ac:dyDescent="0.35">
      <c r="A263">
        <v>8</v>
      </c>
      <c r="B263" t="s">
        <v>45</v>
      </c>
      <c r="C263">
        <v>10</v>
      </c>
      <c r="D263">
        <v>52.21</v>
      </c>
      <c r="E263">
        <v>5</v>
      </c>
      <c r="F263">
        <v>3</v>
      </c>
      <c r="G263">
        <v>2</v>
      </c>
      <c r="H263">
        <v>4</v>
      </c>
      <c r="I263">
        <v>12</v>
      </c>
      <c r="J263">
        <v>0.6</v>
      </c>
      <c r="K263">
        <v>54.67</v>
      </c>
      <c r="L263">
        <v>61.77</v>
      </c>
      <c r="M263">
        <v>46.95</v>
      </c>
      <c r="N263">
        <v>37.590000000000003</v>
      </c>
      <c r="O263">
        <v>45.84</v>
      </c>
      <c r="P263">
        <v>45.05</v>
      </c>
      <c r="Q263">
        <v>30.49</v>
      </c>
      <c r="R263">
        <v>37.590000000000003</v>
      </c>
      <c r="S263">
        <v>44.78</v>
      </c>
      <c r="T263">
        <v>3.32</v>
      </c>
      <c r="U263">
        <v>2.75</v>
      </c>
      <c r="V263">
        <v>54.72</v>
      </c>
      <c r="W263">
        <v>2.2200000000000002</v>
      </c>
      <c r="X263">
        <v>2.77</v>
      </c>
      <c r="Y263">
        <v>44.46</v>
      </c>
      <c r="Z263">
        <v>28.54</v>
      </c>
      <c r="AA263">
        <v>30.37</v>
      </c>
      <c r="AB263">
        <v>48.44</v>
      </c>
      <c r="AC263">
        <v>17.420000000000002</v>
      </c>
      <c r="AD263">
        <v>20.63</v>
      </c>
      <c r="AE263">
        <v>45.78</v>
      </c>
      <c r="AF263">
        <v>3.09</v>
      </c>
      <c r="AG263">
        <v>2.75</v>
      </c>
      <c r="AH263">
        <v>52.94</v>
      </c>
      <c r="AI263">
        <v>17.760000000000002</v>
      </c>
      <c r="AJ263">
        <v>86.67</v>
      </c>
      <c r="AK263">
        <v>10.89</v>
      </c>
      <c r="AL263">
        <v>12.03</v>
      </c>
      <c r="AM263">
        <v>47.5</v>
      </c>
      <c r="AN263">
        <v>8.7100000000000009</v>
      </c>
      <c r="AO263">
        <v>10.09</v>
      </c>
      <c r="AP263">
        <v>46.34</v>
      </c>
      <c r="AQ263">
        <v>2.1800000000000002</v>
      </c>
      <c r="AR263">
        <v>2.06</v>
      </c>
      <c r="AS263">
        <v>51.35</v>
      </c>
      <c r="AT263">
        <v>25</v>
      </c>
      <c r="AU263">
        <v>79.55</v>
      </c>
      <c r="AV263">
        <v>17.649999999999999</v>
      </c>
      <c r="AW263">
        <v>18.34</v>
      </c>
      <c r="AX263">
        <v>49.04</v>
      </c>
      <c r="AY263">
        <v>8.7100000000000009</v>
      </c>
      <c r="AZ263">
        <v>10.54</v>
      </c>
      <c r="BA263">
        <v>45.24</v>
      </c>
      <c r="BB263">
        <v>0.92</v>
      </c>
      <c r="BC263">
        <v>0.69</v>
      </c>
      <c r="BD263">
        <v>57.14</v>
      </c>
      <c r="BE263">
        <v>10.53</v>
      </c>
      <c r="BF263">
        <v>93.48</v>
      </c>
      <c r="BG263">
        <v>20.74</v>
      </c>
      <c r="BH263">
        <v>26.13</v>
      </c>
      <c r="BI263">
        <v>44.25</v>
      </c>
      <c r="BJ263">
        <v>11.46</v>
      </c>
      <c r="BK263">
        <v>15.13</v>
      </c>
      <c r="BL263">
        <v>43.1</v>
      </c>
      <c r="BM263">
        <v>0.23</v>
      </c>
      <c r="BN263">
        <v>0</v>
      </c>
      <c r="BO263">
        <v>100</v>
      </c>
      <c r="BP263">
        <v>2</v>
      </c>
      <c r="BQ263">
        <v>100</v>
      </c>
      <c r="BR263">
        <v>10.9</v>
      </c>
      <c r="BS263">
        <v>92.68</v>
      </c>
      <c r="BT263">
        <v>1.036</v>
      </c>
    </row>
    <row r="264" spans="1:72" x14ac:dyDescent="0.35">
      <c r="A264">
        <v>9</v>
      </c>
      <c r="B264" t="s">
        <v>46</v>
      </c>
      <c r="C264">
        <v>10</v>
      </c>
      <c r="D264">
        <v>50.05</v>
      </c>
      <c r="E264">
        <v>6</v>
      </c>
      <c r="F264">
        <v>3</v>
      </c>
      <c r="G264">
        <v>1</v>
      </c>
      <c r="H264">
        <v>6</v>
      </c>
      <c r="I264">
        <v>13</v>
      </c>
      <c r="J264">
        <v>0.65</v>
      </c>
      <c r="K264">
        <v>60.01</v>
      </c>
      <c r="L264">
        <v>46.12</v>
      </c>
      <c r="M264">
        <v>56.55</v>
      </c>
      <c r="N264">
        <v>42.16</v>
      </c>
      <c r="O264">
        <v>34.380000000000003</v>
      </c>
      <c r="P264">
        <v>55.09</v>
      </c>
      <c r="Q264">
        <v>31.38</v>
      </c>
      <c r="R264">
        <v>25.75</v>
      </c>
      <c r="S264">
        <v>54.93</v>
      </c>
      <c r="T264">
        <v>2.64</v>
      </c>
      <c r="U264">
        <v>2.52</v>
      </c>
      <c r="V264">
        <v>51.16</v>
      </c>
      <c r="W264">
        <v>2.21</v>
      </c>
      <c r="X264">
        <v>1.83</v>
      </c>
      <c r="Y264">
        <v>54.8</v>
      </c>
      <c r="Z264">
        <v>23.84</v>
      </c>
      <c r="AA264">
        <v>20</v>
      </c>
      <c r="AB264">
        <v>54.37</v>
      </c>
      <c r="AC264">
        <v>14.13</v>
      </c>
      <c r="AD264">
        <v>12.82</v>
      </c>
      <c r="AE264">
        <v>52.44</v>
      </c>
      <c r="AF264">
        <v>2.16</v>
      </c>
      <c r="AG264">
        <v>2.16</v>
      </c>
      <c r="AH264">
        <v>50</v>
      </c>
      <c r="AI264">
        <v>15.25</v>
      </c>
      <c r="AJ264">
        <v>83.18</v>
      </c>
      <c r="AK264">
        <v>9.34</v>
      </c>
      <c r="AL264">
        <v>8.27</v>
      </c>
      <c r="AM264">
        <v>53.06</v>
      </c>
      <c r="AN264">
        <v>6.71</v>
      </c>
      <c r="AO264">
        <v>6.23</v>
      </c>
      <c r="AP264">
        <v>51.85</v>
      </c>
      <c r="AQ264">
        <v>1.56</v>
      </c>
      <c r="AR264">
        <v>1.44</v>
      </c>
      <c r="AS264">
        <v>52</v>
      </c>
      <c r="AT264">
        <v>23.21</v>
      </c>
      <c r="AU264">
        <v>76.92</v>
      </c>
      <c r="AV264">
        <v>14.49</v>
      </c>
      <c r="AW264">
        <v>11.74</v>
      </c>
      <c r="AX264">
        <v>55.25</v>
      </c>
      <c r="AY264">
        <v>7.43</v>
      </c>
      <c r="AZ264">
        <v>6.59</v>
      </c>
      <c r="BA264">
        <v>52.99</v>
      </c>
      <c r="BB264">
        <v>0.6</v>
      </c>
      <c r="BC264">
        <v>0.72</v>
      </c>
      <c r="BD264">
        <v>45.45</v>
      </c>
      <c r="BE264">
        <v>8.06</v>
      </c>
      <c r="BF264">
        <v>89.09</v>
      </c>
      <c r="BG264">
        <v>31.98</v>
      </c>
      <c r="BH264">
        <v>21.56</v>
      </c>
      <c r="BI264">
        <v>59.73</v>
      </c>
      <c r="BJ264">
        <v>16.649999999999999</v>
      </c>
      <c r="BK264">
        <v>11.26</v>
      </c>
      <c r="BL264">
        <v>59.66</v>
      </c>
      <c r="BM264">
        <v>0.48</v>
      </c>
      <c r="BN264">
        <v>0.24</v>
      </c>
      <c r="BO264">
        <v>66.67</v>
      </c>
      <c r="BP264">
        <v>2.88</v>
      </c>
      <c r="BQ264">
        <v>97.87</v>
      </c>
      <c r="BR264">
        <v>8.4</v>
      </c>
      <c r="BS264">
        <v>90.23</v>
      </c>
      <c r="BT264">
        <v>0.98599999999999999</v>
      </c>
    </row>
    <row r="265" spans="1:72" x14ac:dyDescent="0.35">
      <c r="A265">
        <v>10</v>
      </c>
      <c r="B265" t="s">
        <v>47</v>
      </c>
      <c r="C265">
        <v>10</v>
      </c>
      <c r="D265">
        <v>49.19</v>
      </c>
      <c r="E265">
        <v>3</v>
      </c>
      <c r="F265">
        <v>3</v>
      </c>
      <c r="G265">
        <v>4</v>
      </c>
      <c r="H265">
        <v>3</v>
      </c>
      <c r="I265">
        <v>10</v>
      </c>
      <c r="J265">
        <v>0.5</v>
      </c>
      <c r="K265">
        <v>57.92</v>
      </c>
      <c r="L265">
        <v>46.6</v>
      </c>
      <c r="M265">
        <v>55.41</v>
      </c>
      <c r="N265">
        <v>40.76</v>
      </c>
      <c r="O265">
        <v>34.31</v>
      </c>
      <c r="P265">
        <v>54.29</v>
      </c>
      <c r="Q265">
        <v>28.47</v>
      </c>
      <c r="R265">
        <v>22.87</v>
      </c>
      <c r="S265">
        <v>55.45</v>
      </c>
      <c r="T265">
        <v>2.4300000000000002</v>
      </c>
      <c r="U265">
        <v>1.95</v>
      </c>
      <c r="V265">
        <v>55.56</v>
      </c>
      <c r="W265">
        <v>2.12</v>
      </c>
      <c r="X265">
        <v>1.84</v>
      </c>
      <c r="Y265">
        <v>53.52</v>
      </c>
      <c r="Z265">
        <v>26.65</v>
      </c>
      <c r="AA265">
        <v>21.29</v>
      </c>
      <c r="AB265">
        <v>55.58</v>
      </c>
      <c r="AC265">
        <v>14.84</v>
      </c>
      <c r="AD265">
        <v>11.8</v>
      </c>
      <c r="AE265">
        <v>55.71</v>
      </c>
      <c r="AF265">
        <v>2.0699999999999998</v>
      </c>
      <c r="AG265">
        <v>1.7</v>
      </c>
      <c r="AH265">
        <v>54.84</v>
      </c>
      <c r="AI265">
        <v>13.93</v>
      </c>
      <c r="AJ265">
        <v>85.57</v>
      </c>
      <c r="AK265">
        <v>10.71</v>
      </c>
      <c r="AL265">
        <v>7.54</v>
      </c>
      <c r="AM265">
        <v>58.67</v>
      </c>
      <c r="AN265">
        <v>7.79</v>
      </c>
      <c r="AO265">
        <v>4.99</v>
      </c>
      <c r="AP265">
        <v>60.95</v>
      </c>
      <c r="AQ265">
        <v>1.22</v>
      </c>
      <c r="AR265">
        <v>1.58</v>
      </c>
      <c r="AS265">
        <v>43.48</v>
      </c>
      <c r="AT265">
        <v>15.63</v>
      </c>
      <c r="AU265">
        <v>68.290000000000006</v>
      </c>
      <c r="AV265">
        <v>15.94</v>
      </c>
      <c r="AW265">
        <v>13.75</v>
      </c>
      <c r="AX265">
        <v>53.69</v>
      </c>
      <c r="AY265">
        <v>7.06</v>
      </c>
      <c r="AZ265">
        <v>6.81</v>
      </c>
      <c r="BA265">
        <v>50.88</v>
      </c>
      <c r="BB265">
        <v>0.85</v>
      </c>
      <c r="BC265">
        <v>0.12</v>
      </c>
      <c r="BD265">
        <v>87.5</v>
      </c>
      <c r="BE265">
        <v>12.07</v>
      </c>
      <c r="BF265">
        <v>98.21</v>
      </c>
      <c r="BG265">
        <v>26.65</v>
      </c>
      <c r="BH265">
        <v>20.68</v>
      </c>
      <c r="BI265">
        <v>56.3</v>
      </c>
      <c r="BJ265">
        <v>12.05</v>
      </c>
      <c r="BK265">
        <v>9.73</v>
      </c>
      <c r="BL265">
        <v>55.31</v>
      </c>
      <c r="BM265">
        <v>0.24</v>
      </c>
      <c r="BN265">
        <v>0.24</v>
      </c>
      <c r="BO265">
        <v>50</v>
      </c>
      <c r="BP265">
        <v>2.02</v>
      </c>
      <c r="BQ265">
        <v>97.5</v>
      </c>
      <c r="BR265">
        <v>8.5500000000000007</v>
      </c>
      <c r="BS265">
        <v>91.49</v>
      </c>
      <c r="BT265">
        <v>1</v>
      </c>
    </row>
    <row r="266" spans="1:72" x14ac:dyDescent="0.35">
      <c r="A266">
        <v>11</v>
      </c>
      <c r="B266" t="s">
        <v>48</v>
      </c>
      <c r="C266">
        <v>10</v>
      </c>
      <c r="D266">
        <v>51.03</v>
      </c>
      <c r="E266">
        <v>3</v>
      </c>
      <c r="F266">
        <v>5</v>
      </c>
      <c r="G266">
        <v>2</v>
      </c>
      <c r="H266">
        <v>3</v>
      </c>
      <c r="I266">
        <v>8</v>
      </c>
      <c r="J266">
        <v>0.4</v>
      </c>
      <c r="K266">
        <v>52.65</v>
      </c>
      <c r="L266">
        <v>51.83</v>
      </c>
      <c r="M266">
        <v>50.39</v>
      </c>
      <c r="N266">
        <v>41.84</v>
      </c>
      <c r="O266">
        <v>40.07</v>
      </c>
      <c r="P266">
        <v>51.08</v>
      </c>
      <c r="Q266">
        <v>30.32</v>
      </c>
      <c r="R266">
        <v>30.2</v>
      </c>
      <c r="S266">
        <v>50.1</v>
      </c>
      <c r="T266">
        <v>2.23</v>
      </c>
      <c r="U266">
        <v>2.12</v>
      </c>
      <c r="V266">
        <v>51.35</v>
      </c>
      <c r="W266">
        <v>2.14</v>
      </c>
      <c r="X266">
        <v>2.0499999999999998</v>
      </c>
      <c r="Y266">
        <v>51.01</v>
      </c>
      <c r="Z266">
        <v>22.56</v>
      </c>
      <c r="AA266">
        <v>21.62</v>
      </c>
      <c r="AB266">
        <v>51.06</v>
      </c>
      <c r="AC266">
        <v>13.16</v>
      </c>
      <c r="AD266">
        <v>14.45</v>
      </c>
      <c r="AE266">
        <v>47.66</v>
      </c>
      <c r="AF266">
        <v>1.65</v>
      </c>
      <c r="AG266">
        <v>1.65</v>
      </c>
      <c r="AH266">
        <v>50</v>
      </c>
      <c r="AI266">
        <v>12.5</v>
      </c>
      <c r="AJ266">
        <v>88.62</v>
      </c>
      <c r="AK266">
        <v>8.23</v>
      </c>
      <c r="AL266">
        <v>8.34</v>
      </c>
      <c r="AM266">
        <v>49.65</v>
      </c>
      <c r="AN266">
        <v>5.76</v>
      </c>
      <c r="AO266">
        <v>6.93</v>
      </c>
      <c r="AP266">
        <v>45.37</v>
      </c>
      <c r="AQ266">
        <v>1.41</v>
      </c>
      <c r="AR266">
        <v>1.18</v>
      </c>
      <c r="AS266">
        <v>54.55</v>
      </c>
      <c r="AT266">
        <v>24.49</v>
      </c>
      <c r="AU266">
        <v>83.05</v>
      </c>
      <c r="AV266">
        <v>14.34</v>
      </c>
      <c r="AW266">
        <v>13.28</v>
      </c>
      <c r="AX266">
        <v>51.91</v>
      </c>
      <c r="AY266">
        <v>7.4</v>
      </c>
      <c r="AZ266">
        <v>7.52</v>
      </c>
      <c r="BA266">
        <v>49.61</v>
      </c>
      <c r="BB266">
        <v>0.24</v>
      </c>
      <c r="BC266">
        <v>0.47</v>
      </c>
      <c r="BD266">
        <v>33.33</v>
      </c>
      <c r="BE266">
        <v>3.17</v>
      </c>
      <c r="BF266">
        <v>93.75</v>
      </c>
      <c r="BG266">
        <v>25.15</v>
      </c>
      <c r="BH266">
        <v>25.62</v>
      </c>
      <c r="BI266">
        <v>49.54</v>
      </c>
      <c r="BJ266">
        <v>14.57</v>
      </c>
      <c r="BK266">
        <v>13.98</v>
      </c>
      <c r="BL266">
        <v>51.03</v>
      </c>
      <c r="BM266">
        <v>0.47</v>
      </c>
      <c r="BN266">
        <v>0.35</v>
      </c>
      <c r="BO266">
        <v>57.14</v>
      </c>
      <c r="BP266">
        <v>3.23</v>
      </c>
      <c r="BQ266">
        <v>97.48</v>
      </c>
      <c r="BR266">
        <v>7.36</v>
      </c>
      <c r="BS266">
        <v>93</v>
      </c>
      <c r="BT266">
        <v>1.004</v>
      </c>
    </row>
    <row r="267" spans="1:72" x14ac:dyDescent="0.35">
      <c r="A267">
        <v>12</v>
      </c>
      <c r="B267" t="s">
        <v>49</v>
      </c>
      <c r="C267">
        <v>10</v>
      </c>
      <c r="D267">
        <v>50.57</v>
      </c>
      <c r="E267">
        <v>6</v>
      </c>
      <c r="F267">
        <v>4</v>
      </c>
      <c r="G267">
        <v>0</v>
      </c>
      <c r="H267">
        <v>6</v>
      </c>
      <c r="I267">
        <v>12</v>
      </c>
      <c r="J267">
        <v>0.6</v>
      </c>
      <c r="K267">
        <v>55.98</v>
      </c>
      <c r="L267">
        <v>50.93</v>
      </c>
      <c r="M267">
        <v>52.36</v>
      </c>
      <c r="N267">
        <v>40.6</v>
      </c>
      <c r="O267">
        <v>39.28</v>
      </c>
      <c r="P267">
        <v>50.83</v>
      </c>
      <c r="Q267">
        <v>29.55</v>
      </c>
      <c r="R267">
        <v>29.55</v>
      </c>
      <c r="S267">
        <v>50</v>
      </c>
      <c r="T267">
        <v>3</v>
      </c>
      <c r="U267">
        <v>2.76</v>
      </c>
      <c r="V267">
        <v>52.08</v>
      </c>
      <c r="W267">
        <v>2.25</v>
      </c>
      <c r="X267">
        <v>2.31</v>
      </c>
      <c r="Y267">
        <v>49.29</v>
      </c>
      <c r="Z267">
        <v>25.47</v>
      </c>
      <c r="AA267">
        <v>25.47</v>
      </c>
      <c r="AB267">
        <v>50</v>
      </c>
      <c r="AC267">
        <v>14.18</v>
      </c>
      <c r="AD267">
        <v>16.46</v>
      </c>
      <c r="AE267">
        <v>46.27</v>
      </c>
      <c r="AF267">
        <v>2.88</v>
      </c>
      <c r="AG267">
        <v>2.16</v>
      </c>
      <c r="AH267">
        <v>57.14</v>
      </c>
      <c r="AI267">
        <v>20.34</v>
      </c>
      <c r="AJ267">
        <v>86.86</v>
      </c>
      <c r="AK267">
        <v>9.61</v>
      </c>
      <c r="AL267">
        <v>10.45</v>
      </c>
      <c r="AM267">
        <v>47.9</v>
      </c>
      <c r="AN267">
        <v>6.37</v>
      </c>
      <c r="AO267">
        <v>7.69</v>
      </c>
      <c r="AP267">
        <v>45.3</v>
      </c>
      <c r="AQ267">
        <v>1.68</v>
      </c>
      <c r="AR267">
        <v>1.2</v>
      </c>
      <c r="AS267">
        <v>58.33</v>
      </c>
      <c r="AT267">
        <v>26.42</v>
      </c>
      <c r="AU267">
        <v>84.38</v>
      </c>
      <c r="AV267">
        <v>15.86</v>
      </c>
      <c r="AW267">
        <v>15.02</v>
      </c>
      <c r="AX267">
        <v>51.36</v>
      </c>
      <c r="AY267">
        <v>7.81</v>
      </c>
      <c r="AZ267">
        <v>8.77</v>
      </c>
      <c r="BA267">
        <v>47.1</v>
      </c>
      <c r="BB267">
        <v>1.2</v>
      </c>
      <c r="BC267">
        <v>0.96</v>
      </c>
      <c r="BD267">
        <v>55.56</v>
      </c>
      <c r="BE267">
        <v>15.38</v>
      </c>
      <c r="BF267">
        <v>89.04</v>
      </c>
      <c r="BG267">
        <v>26.31</v>
      </c>
      <c r="BH267">
        <v>22.58</v>
      </c>
      <c r="BI267">
        <v>53.81</v>
      </c>
      <c r="BJ267">
        <v>13.93</v>
      </c>
      <c r="BK267">
        <v>11.89</v>
      </c>
      <c r="BL267">
        <v>53.95</v>
      </c>
      <c r="BM267">
        <v>0.12</v>
      </c>
      <c r="BN267">
        <v>0.6</v>
      </c>
      <c r="BO267">
        <v>16.670000000000002</v>
      </c>
      <c r="BP267">
        <v>0.86</v>
      </c>
      <c r="BQ267">
        <v>94.95</v>
      </c>
      <c r="BR267">
        <v>10.16</v>
      </c>
      <c r="BS267">
        <v>90.65</v>
      </c>
      <c r="BT267">
        <v>1.008</v>
      </c>
    </row>
    <row r="268" spans="1:72" x14ac:dyDescent="0.35">
      <c r="A268">
        <v>13</v>
      </c>
      <c r="B268" t="s">
        <v>50</v>
      </c>
      <c r="C268">
        <v>10</v>
      </c>
      <c r="D268">
        <v>53.42</v>
      </c>
      <c r="E268">
        <v>5</v>
      </c>
      <c r="F268">
        <v>3</v>
      </c>
      <c r="G268">
        <v>2</v>
      </c>
      <c r="H268">
        <v>5</v>
      </c>
      <c r="I268">
        <v>12</v>
      </c>
      <c r="J268">
        <v>0.6</v>
      </c>
      <c r="K268">
        <v>55.34</v>
      </c>
      <c r="L268">
        <v>45.21</v>
      </c>
      <c r="M268">
        <v>55.04</v>
      </c>
      <c r="N268">
        <v>44.07</v>
      </c>
      <c r="O268">
        <v>35.979999999999997</v>
      </c>
      <c r="P268">
        <v>55.05</v>
      </c>
      <c r="Q268">
        <v>34.270000000000003</v>
      </c>
      <c r="R268">
        <v>28.47</v>
      </c>
      <c r="S268">
        <v>54.63</v>
      </c>
      <c r="T268">
        <v>2.16</v>
      </c>
      <c r="U268">
        <v>2.16</v>
      </c>
      <c r="V268">
        <v>50</v>
      </c>
      <c r="W268">
        <v>2.5099999999999998</v>
      </c>
      <c r="X268">
        <v>1.9</v>
      </c>
      <c r="Y268">
        <v>56.84</v>
      </c>
      <c r="Z268">
        <v>25.17</v>
      </c>
      <c r="AA268">
        <v>17.760000000000002</v>
      </c>
      <c r="AB268">
        <v>58.62</v>
      </c>
      <c r="AC268">
        <v>16.63</v>
      </c>
      <c r="AD268">
        <v>13.1</v>
      </c>
      <c r="AE268">
        <v>55.94</v>
      </c>
      <c r="AF268">
        <v>1.48</v>
      </c>
      <c r="AG268">
        <v>2.0499999999999998</v>
      </c>
      <c r="AH268">
        <v>41.94</v>
      </c>
      <c r="AI268">
        <v>8.9</v>
      </c>
      <c r="AJ268">
        <v>84.35</v>
      </c>
      <c r="AK268">
        <v>8.77</v>
      </c>
      <c r="AL268">
        <v>7.06</v>
      </c>
      <c r="AM268">
        <v>55.4</v>
      </c>
      <c r="AN268">
        <v>7.06</v>
      </c>
      <c r="AO268">
        <v>6.15</v>
      </c>
      <c r="AP268">
        <v>53.45</v>
      </c>
      <c r="AQ268">
        <v>0.8</v>
      </c>
      <c r="AR268">
        <v>1.59</v>
      </c>
      <c r="AS268">
        <v>33.33</v>
      </c>
      <c r="AT268">
        <v>11.29</v>
      </c>
      <c r="AU268">
        <v>74.069999999999993</v>
      </c>
      <c r="AV268">
        <v>16.399999999999999</v>
      </c>
      <c r="AW268">
        <v>10.7</v>
      </c>
      <c r="AX268">
        <v>60.5</v>
      </c>
      <c r="AY268">
        <v>9.57</v>
      </c>
      <c r="AZ268">
        <v>6.95</v>
      </c>
      <c r="BA268">
        <v>57.93</v>
      </c>
      <c r="BB268">
        <v>0.68</v>
      </c>
      <c r="BC268">
        <v>0.46</v>
      </c>
      <c r="BD268">
        <v>60</v>
      </c>
      <c r="BE268">
        <v>7.14</v>
      </c>
      <c r="BF268">
        <v>93.44</v>
      </c>
      <c r="BG268">
        <v>27.1</v>
      </c>
      <c r="BH268">
        <v>22.66</v>
      </c>
      <c r="BI268">
        <v>54.46</v>
      </c>
      <c r="BJ268">
        <v>15.71</v>
      </c>
      <c r="BK268">
        <v>13.1</v>
      </c>
      <c r="BL268">
        <v>54.55</v>
      </c>
      <c r="BM268">
        <v>0.46</v>
      </c>
      <c r="BN268">
        <v>0.11</v>
      </c>
      <c r="BO268">
        <v>80</v>
      </c>
      <c r="BP268">
        <v>2.9</v>
      </c>
      <c r="BQ268">
        <v>99.13</v>
      </c>
      <c r="BR268">
        <v>6.31</v>
      </c>
      <c r="BS268">
        <v>92.4</v>
      </c>
      <c r="BT268">
        <v>0.98699999999999999</v>
      </c>
    </row>
    <row r="269" spans="1:72" x14ac:dyDescent="0.35">
      <c r="A269">
        <v>14</v>
      </c>
      <c r="B269" t="s">
        <v>51</v>
      </c>
      <c r="C269">
        <v>10</v>
      </c>
      <c r="D269">
        <v>51.13</v>
      </c>
      <c r="E269">
        <v>4</v>
      </c>
      <c r="F269">
        <v>3</v>
      </c>
      <c r="G269">
        <v>3</v>
      </c>
      <c r="H269">
        <v>4</v>
      </c>
      <c r="I269">
        <v>11</v>
      </c>
      <c r="J269">
        <v>0.55000000000000004</v>
      </c>
      <c r="K269">
        <v>47.79</v>
      </c>
      <c r="L269">
        <v>54.59</v>
      </c>
      <c r="M269">
        <v>46.68</v>
      </c>
      <c r="N269">
        <v>37.369999999999997</v>
      </c>
      <c r="O269">
        <v>43.46</v>
      </c>
      <c r="P269">
        <v>46.23</v>
      </c>
      <c r="Q269">
        <v>28</v>
      </c>
      <c r="R269">
        <v>29.99</v>
      </c>
      <c r="S269">
        <v>48.28</v>
      </c>
      <c r="T269">
        <v>2.34</v>
      </c>
      <c r="U269">
        <v>2.11</v>
      </c>
      <c r="V269">
        <v>52.63</v>
      </c>
      <c r="W269">
        <v>2.27</v>
      </c>
      <c r="X269">
        <v>2.91</v>
      </c>
      <c r="Y269">
        <v>43.83</v>
      </c>
      <c r="Z269">
        <v>22.37</v>
      </c>
      <c r="AA269">
        <v>29.75</v>
      </c>
      <c r="AB269">
        <v>42.92</v>
      </c>
      <c r="AC269">
        <v>13.94</v>
      </c>
      <c r="AD269">
        <v>17.8</v>
      </c>
      <c r="AE269">
        <v>43.91</v>
      </c>
      <c r="AF269">
        <v>2.11</v>
      </c>
      <c r="AG269">
        <v>2.11</v>
      </c>
      <c r="AH269">
        <v>50</v>
      </c>
      <c r="AI269">
        <v>15.13</v>
      </c>
      <c r="AJ269">
        <v>88.16</v>
      </c>
      <c r="AK269">
        <v>9.14</v>
      </c>
      <c r="AL269">
        <v>13.47</v>
      </c>
      <c r="AM269">
        <v>40.409999999999997</v>
      </c>
      <c r="AN269">
        <v>6.91</v>
      </c>
      <c r="AO269">
        <v>10.19</v>
      </c>
      <c r="AP269">
        <v>40.409999999999997</v>
      </c>
      <c r="AQ269">
        <v>1.64</v>
      </c>
      <c r="AR269">
        <v>1.17</v>
      </c>
      <c r="AS269">
        <v>58.33</v>
      </c>
      <c r="AT269">
        <v>23.73</v>
      </c>
      <c r="AU269">
        <v>88.51</v>
      </c>
      <c r="AV269">
        <v>13.24</v>
      </c>
      <c r="AW269">
        <v>16.28</v>
      </c>
      <c r="AX269">
        <v>44.84</v>
      </c>
      <c r="AY269">
        <v>7.03</v>
      </c>
      <c r="AZ269">
        <v>7.61</v>
      </c>
      <c r="BA269">
        <v>48</v>
      </c>
      <c r="BB269">
        <v>0.47</v>
      </c>
      <c r="BC269">
        <v>0.94</v>
      </c>
      <c r="BD269">
        <v>33.33</v>
      </c>
      <c r="BE269">
        <v>6.67</v>
      </c>
      <c r="BF269">
        <v>87.69</v>
      </c>
      <c r="BG269">
        <v>21.08</v>
      </c>
      <c r="BH269">
        <v>22.02</v>
      </c>
      <c r="BI269">
        <v>48.91</v>
      </c>
      <c r="BJ269">
        <v>12.18</v>
      </c>
      <c r="BK269">
        <v>11.25</v>
      </c>
      <c r="BL269">
        <v>52</v>
      </c>
      <c r="BM269">
        <v>0</v>
      </c>
      <c r="BN269">
        <v>0</v>
      </c>
      <c r="BO269" t="s">
        <v>85</v>
      </c>
      <c r="BP269">
        <v>0</v>
      </c>
      <c r="BQ269">
        <v>100</v>
      </c>
      <c r="BR269">
        <v>8.3699999999999992</v>
      </c>
      <c r="BS269">
        <v>92.97</v>
      </c>
      <c r="BT269">
        <v>1.0129999999999999</v>
      </c>
    </row>
    <row r="270" spans="1:72" x14ac:dyDescent="0.35">
      <c r="A270">
        <v>15</v>
      </c>
      <c r="B270" t="s">
        <v>52</v>
      </c>
      <c r="C270">
        <v>8</v>
      </c>
      <c r="D270">
        <v>46.59</v>
      </c>
      <c r="E270">
        <v>5</v>
      </c>
      <c r="F270">
        <v>3</v>
      </c>
      <c r="G270">
        <v>0</v>
      </c>
      <c r="H270">
        <v>5</v>
      </c>
      <c r="I270">
        <v>10</v>
      </c>
      <c r="J270">
        <v>0.625</v>
      </c>
      <c r="K270">
        <v>55.46</v>
      </c>
      <c r="L270">
        <v>58.88</v>
      </c>
      <c r="M270">
        <v>48.5</v>
      </c>
      <c r="N270">
        <v>44.37</v>
      </c>
      <c r="O270">
        <v>40.78</v>
      </c>
      <c r="P270">
        <v>52.11</v>
      </c>
      <c r="Q270">
        <v>31.64</v>
      </c>
      <c r="R270">
        <v>29.36</v>
      </c>
      <c r="S270">
        <v>51.87</v>
      </c>
      <c r="T270">
        <v>3.91</v>
      </c>
      <c r="U270">
        <v>2.61</v>
      </c>
      <c r="V270">
        <v>60</v>
      </c>
      <c r="W270">
        <v>2.59</v>
      </c>
      <c r="X270">
        <v>1.92</v>
      </c>
      <c r="Y270">
        <v>57.43</v>
      </c>
      <c r="Z270">
        <v>25.28</v>
      </c>
      <c r="AA270">
        <v>21.2</v>
      </c>
      <c r="AB270">
        <v>54.39</v>
      </c>
      <c r="AC270">
        <v>16.309999999999999</v>
      </c>
      <c r="AD270">
        <v>12.23</v>
      </c>
      <c r="AE270">
        <v>57.14</v>
      </c>
      <c r="AF270">
        <v>3.43</v>
      </c>
      <c r="AG270">
        <v>1.79</v>
      </c>
      <c r="AH270">
        <v>65.63</v>
      </c>
      <c r="AI270">
        <v>21</v>
      </c>
      <c r="AJ270">
        <v>85.33</v>
      </c>
      <c r="AK270">
        <v>13.38</v>
      </c>
      <c r="AL270">
        <v>6.52</v>
      </c>
      <c r="AM270">
        <v>67.209999999999994</v>
      </c>
      <c r="AN270">
        <v>9.4600000000000009</v>
      </c>
      <c r="AO270">
        <v>4.8899999999999997</v>
      </c>
      <c r="AP270">
        <v>65.91</v>
      </c>
      <c r="AQ270">
        <v>2.4500000000000002</v>
      </c>
      <c r="AR270">
        <v>0.98</v>
      </c>
      <c r="AS270">
        <v>71.430000000000007</v>
      </c>
      <c r="AT270">
        <v>25.86</v>
      </c>
      <c r="AU270">
        <v>80</v>
      </c>
      <c r="AV270">
        <v>11.91</v>
      </c>
      <c r="AW270">
        <v>14.68</v>
      </c>
      <c r="AX270">
        <v>44.79</v>
      </c>
      <c r="AY270">
        <v>6.85</v>
      </c>
      <c r="AZ270">
        <v>7.34</v>
      </c>
      <c r="BA270">
        <v>48.28</v>
      </c>
      <c r="BB270">
        <v>0.98</v>
      </c>
      <c r="BC270">
        <v>0.82</v>
      </c>
      <c r="BD270">
        <v>54.55</v>
      </c>
      <c r="BE270">
        <v>14.29</v>
      </c>
      <c r="BF270">
        <v>88.89</v>
      </c>
      <c r="BG270">
        <v>26.42</v>
      </c>
      <c r="BH270">
        <v>29.85</v>
      </c>
      <c r="BI270">
        <v>46.96</v>
      </c>
      <c r="BJ270">
        <v>14.19</v>
      </c>
      <c r="BK270">
        <v>15.5</v>
      </c>
      <c r="BL270">
        <v>47.8</v>
      </c>
      <c r="BM270">
        <v>0.16</v>
      </c>
      <c r="BN270">
        <v>0.82</v>
      </c>
      <c r="BO270">
        <v>16.670000000000002</v>
      </c>
      <c r="BP270">
        <v>1.1499999999999999</v>
      </c>
      <c r="BQ270">
        <v>94.74</v>
      </c>
      <c r="BR270">
        <v>12.37</v>
      </c>
      <c r="BS270">
        <v>91.11</v>
      </c>
      <c r="BT270">
        <v>1.0349999999999999</v>
      </c>
    </row>
    <row r="271" spans="1:72" x14ac:dyDescent="0.35">
      <c r="A271">
        <v>16</v>
      </c>
      <c r="B271" t="s">
        <v>53</v>
      </c>
      <c r="C271">
        <v>10</v>
      </c>
      <c r="D271">
        <v>51.01</v>
      </c>
      <c r="E271">
        <v>4</v>
      </c>
      <c r="F271">
        <v>5</v>
      </c>
      <c r="G271">
        <v>1</v>
      </c>
      <c r="H271">
        <v>4</v>
      </c>
      <c r="I271">
        <v>9</v>
      </c>
      <c r="J271">
        <v>0.45</v>
      </c>
      <c r="K271">
        <v>62.92</v>
      </c>
      <c r="L271">
        <v>49.27</v>
      </c>
      <c r="M271">
        <v>56.08</v>
      </c>
      <c r="N271">
        <v>47.28</v>
      </c>
      <c r="O271">
        <v>37.4</v>
      </c>
      <c r="P271">
        <v>55.83</v>
      </c>
      <c r="Q271">
        <v>34.81</v>
      </c>
      <c r="R271">
        <v>28.11</v>
      </c>
      <c r="S271">
        <v>55.33</v>
      </c>
      <c r="T271">
        <v>2.94</v>
      </c>
      <c r="U271">
        <v>2.35</v>
      </c>
      <c r="V271">
        <v>55.56</v>
      </c>
      <c r="W271">
        <v>2.56</v>
      </c>
      <c r="X271">
        <v>2.13</v>
      </c>
      <c r="Y271">
        <v>54.58</v>
      </c>
      <c r="Z271">
        <v>31.05</v>
      </c>
      <c r="AA271">
        <v>23.28</v>
      </c>
      <c r="AB271">
        <v>57.14</v>
      </c>
      <c r="AC271">
        <v>17.88</v>
      </c>
      <c r="AD271">
        <v>13.17</v>
      </c>
      <c r="AE271">
        <v>57.58</v>
      </c>
      <c r="AF271">
        <v>2.59</v>
      </c>
      <c r="AG271">
        <v>1.88</v>
      </c>
      <c r="AH271">
        <v>57.89</v>
      </c>
      <c r="AI271">
        <v>14.47</v>
      </c>
      <c r="AJ271">
        <v>85.71</v>
      </c>
      <c r="AK271">
        <v>13.17</v>
      </c>
      <c r="AL271">
        <v>9.64</v>
      </c>
      <c r="AM271">
        <v>57.73</v>
      </c>
      <c r="AN271">
        <v>9.76</v>
      </c>
      <c r="AO271">
        <v>6.35</v>
      </c>
      <c r="AP271">
        <v>60.58</v>
      </c>
      <c r="AQ271">
        <v>2</v>
      </c>
      <c r="AR271">
        <v>1.06</v>
      </c>
      <c r="AS271">
        <v>65.38</v>
      </c>
      <c r="AT271">
        <v>20.48</v>
      </c>
      <c r="AU271">
        <v>83.33</v>
      </c>
      <c r="AV271">
        <v>17.88</v>
      </c>
      <c r="AW271">
        <v>13.64</v>
      </c>
      <c r="AX271">
        <v>56.72</v>
      </c>
      <c r="AY271">
        <v>8.11</v>
      </c>
      <c r="AZ271">
        <v>6.82</v>
      </c>
      <c r="BA271">
        <v>54.33</v>
      </c>
      <c r="BB271">
        <v>0.59</v>
      </c>
      <c r="BC271">
        <v>0.82</v>
      </c>
      <c r="BD271">
        <v>41.67</v>
      </c>
      <c r="BE271">
        <v>7.25</v>
      </c>
      <c r="BF271">
        <v>87.93</v>
      </c>
      <c r="BG271">
        <v>28.11</v>
      </c>
      <c r="BH271">
        <v>21.52</v>
      </c>
      <c r="BI271">
        <v>56.64</v>
      </c>
      <c r="BJ271">
        <v>15.64</v>
      </c>
      <c r="BK271">
        <v>12.94</v>
      </c>
      <c r="BL271">
        <v>54.73</v>
      </c>
      <c r="BM271">
        <v>0.24</v>
      </c>
      <c r="BN271">
        <v>0.47</v>
      </c>
      <c r="BO271">
        <v>33.33</v>
      </c>
      <c r="BP271">
        <v>1.5</v>
      </c>
      <c r="BQ271">
        <v>96.36</v>
      </c>
      <c r="BR271">
        <v>8.4499999999999993</v>
      </c>
      <c r="BS271">
        <v>91.63</v>
      </c>
      <c r="BT271">
        <v>1.0009999999999999</v>
      </c>
    </row>
    <row r="272" spans="1:72" x14ac:dyDescent="0.35">
      <c r="A272">
        <v>17</v>
      </c>
      <c r="B272" t="s">
        <v>54</v>
      </c>
      <c r="C272">
        <v>10</v>
      </c>
      <c r="D272">
        <v>51.44</v>
      </c>
      <c r="E272">
        <v>1</v>
      </c>
      <c r="F272">
        <v>9</v>
      </c>
      <c r="G272">
        <v>0</v>
      </c>
      <c r="H272">
        <v>1</v>
      </c>
      <c r="I272">
        <v>2</v>
      </c>
      <c r="J272">
        <v>0.1</v>
      </c>
      <c r="K272">
        <v>56.19</v>
      </c>
      <c r="L272">
        <v>43.65</v>
      </c>
      <c r="M272">
        <v>56.28</v>
      </c>
      <c r="N272">
        <v>42.46</v>
      </c>
      <c r="O272">
        <v>36.79</v>
      </c>
      <c r="P272">
        <v>53.58</v>
      </c>
      <c r="Q272">
        <v>29.81</v>
      </c>
      <c r="R272">
        <v>26.26</v>
      </c>
      <c r="S272">
        <v>53.16</v>
      </c>
      <c r="T272">
        <v>1.77</v>
      </c>
      <c r="U272">
        <v>3.67</v>
      </c>
      <c r="V272">
        <v>32.61</v>
      </c>
      <c r="W272">
        <v>2.11</v>
      </c>
      <c r="X272">
        <v>2.57</v>
      </c>
      <c r="Y272">
        <v>45.13</v>
      </c>
      <c r="Z272">
        <v>25.43</v>
      </c>
      <c r="AA272">
        <v>21.41</v>
      </c>
      <c r="AB272">
        <v>54.29</v>
      </c>
      <c r="AC272">
        <v>14.31</v>
      </c>
      <c r="AD272">
        <v>14.08</v>
      </c>
      <c r="AE272">
        <v>50.42</v>
      </c>
      <c r="AF272">
        <v>1.3</v>
      </c>
      <c r="AG272">
        <v>2.84</v>
      </c>
      <c r="AH272">
        <v>31.43</v>
      </c>
      <c r="AI272">
        <v>9.09</v>
      </c>
      <c r="AJ272">
        <v>79.83</v>
      </c>
      <c r="AK272">
        <v>6.86</v>
      </c>
      <c r="AL272">
        <v>9.34</v>
      </c>
      <c r="AM272">
        <v>42.34</v>
      </c>
      <c r="AN272">
        <v>4.97</v>
      </c>
      <c r="AO272">
        <v>8.16</v>
      </c>
      <c r="AP272">
        <v>37.840000000000003</v>
      </c>
      <c r="AQ272">
        <v>0.59</v>
      </c>
      <c r="AR272">
        <v>2.13</v>
      </c>
      <c r="AS272">
        <v>21.74</v>
      </c>
      <c r="AT272">
        <v>11.9</v>
      </c>
      <c r="AU272">
        <v>73.91</v>
      </c>
      <c r="AV272">
        <v>18.57</v>
      </c>
      <c r="AW272">
        <v>12.07</v>
      </c>
      <c r="AX272">
        <v>60.62</v>
      </c>
      <c r="AY272">
        <v>9.34</v>
      </c>
      <c r="AZ272">
        <v>5.91</v>
      </c>
      <c r="BA272">
        <v>61.24</v>
      </c>
      <c r="BB272">
        <v>0.71</v>
      </c>
      <c r="BC272">
        <v>0.71</v>
      </c>
      <c r="BD272">
        <v>50</v>
      </c>
      <c r="BE272">
        <v>7.59</v>
      </c>
      <c r="BF272">
        <v>88</v>
      </c>
      <c r="BG272">
        <v>28.74</v>
      </c>
      <c r="BH272">
        <v>20.23</v>
      </c>
      <c r="BI272">
        <v>58.7</v>
      </c>
      <c r="BJ272">
        <v>15.38</v>
      </c>
      <c r="BK272">
        <v>11.47</v>
      </c>
      <c r="BL272">
        <v>57.27</v>
      </c>
      <c r="BM272">
        <v>0.47</v>
      </c>
      <c r="BN272">
        <v>0.59</v>
      </c>
      <c r="BO272">
        <v>44.44</v>
      </c>
      <c r="BP272">
        <v>3.08</v>
      </c>
      <c r="BQ272">
        <v>94.85</v>
      </c>
      <c r="BR272">
        <v>5.95</v>
      </c>
      <c r="BS272">
        <v>86.04</v>
      </c>
      <c r="BT272">
        <v>0.92</v>
      </c>
    </row>
    <row r="273" spans="1:72" x14ac:dyDescent="0.35">
      <c r="A273">
        <v>18</v>
      </c>
      <c r="B273" t="s">
        <v>55</v>
      </c>
      <c r="C273">
        <v>10</v>
      </c>
      <c r="D273">
        <v>49.34</v>
      </c>
      <c r="E273">
        <v>4</v>
      </c>
      <c r="F273">
        <v>6</v>
      </c>
      <c r="G273">
        <v>0</v>
      </c>
      <c r="H273">
        <v>3</v>
      </c>
      <c r="I273">
        <v>8</v>
      </c>
      <c r="J273">
        <v>0.4</v>
      </c>
      <c r="K273">
        <v>62.76</v>
      </c>
      <c r="L273">
        <v>53.49</v>
      </c>
      <c r="M273">
        <v>53.99</v>
      </c>
      <c r="N273">
        <v>48.92</v>
      </c>
      <c r="O273">
        <v>41.14</v>
      </c>
      <c r="P273">
        <v>54.32</v>
      </c>
      <c r="Q273">
        <v>32.74</v>
      </c>
      <c r="R273">
        <v>31.01</v>
      </c>
      <c r="S273">
        <v>51.36</v>
      </c>
      <c r="T273">
        <v>1.85</v>
      </c>
      <c r="U273">
        <v>3.09</v>
      </c>
      <c r="V273">
        <v>37.5</v>
      </c>
      <c r="W273">
        <v>2.2599999999999998</v>
      </c>
      <c r="X273">
        <v>2.23</v>
      </c>
      <c r="Y273">
        <v>50.27</v>
      </c>
      <c r="Z273">
        <v>27.3</v>
      </c>
      <c r="AA273">
        <v>23.47</v>
      </c>
      <c r="AB273">
        <v>53.77</v>
      </c>
      <c r="AC273">
        <v>16.059999999999999</v>
      </c>
      <c r="AD273">
        <v>15.44</v>
      </c>
      <c r="AE273">
        <v>50.98</v>
      </c>
      <c r="AF273">
        <v>1.24</v>
      </c>
      <c r="AG273">
        <v>2.4700000000000002</v>
      </c>
      <c r="AH273">
        <v>33.33</v>
      </c>
      <c r="AI273">
        <v>7.69</v>
      </c>
      <c r="AJ273">
        <v>84</v>
      </c>
      <c r="AK273">
        <v>9.8800000000000008</v>
      </c>
      <c r="AL273">
        <v>8.77</v>
      </c>
      <c r="AM273">
        <v>52.98</v>
      </c>
      <c r="AN273">
        <v>7.41</v>
      </c>
      <c r="AO273">
        <v>7.91</v>
      </c>
      <c r="AP273">
        <v>48.39</v>
      </c>
      <c r="AQ273">
        <v>0.74</v>
      </c>
      <c r="AR273">
        <v>1.85</v>
      </c>
      <c r="AS273">
        <v>28.57</v>
      </c>
      <c r="AT273">
        <v>10</v>
      </c>
      <c r="AU273">
        <v>76.56</v>
      </c>
      <c r="AV273">
        <v>17.420000000000002</v>
      </c>
      <c r="AW273">
        <v>14.7</v>
      </c>
      <c r="AX273">
        <v>54.23</v>
      </c>
      <c r="AY273">
        <v>8.65</v>
      </c>
      <c r="AZ273">
        <v>7.54</v>
      </c>
      <c r="BA273">
        <v>53.44</v>
      </c>
      <c r="BB273">
        <v>0.49</v>
      </c>
      <c r="BC273">
        <v>0.62</v>
      </c>
      <c r="BD273">
        <v>44.44</v>
      </c>
      <c r="BE273">
        <v>5.71</v>
      </c>
      <c r="BF273">
        <v>91.8</v>
      </c>
      <c r="BG273">
        <v>31.75</v>
      </c>
      <c r="BH273">
        <v>26.68</v>
      </c>
      <c r="BI273">
        <v>54.33</v>
      </c>
      <c r="BJ273">
        <v>15.81</v>
      </c>
      <c r="BK273">
        <v>13.96</v>
      </c>
      <c r="BL273">
        <v>53.11</v>
      </c>
      <c r="BM273">
        <v>0.62</v>
      </c>
      <c r="BN273">
        <v>0.62</v>
      </c>
      <c r="BO273">
        <v>50</v>
      </c>
      <c r="BP273">
        <v>3.91</v>
      </c>
      <c r="BQ273">
        <v>95.58</v>
      </c>
      <c r="BR273">
        <v>5.66</v>
      </c>
      <c r="BS273">
        <v>90.04</v>
      </c>
      <c r="BT273">
        <v>0.95699999999999996</v>
      </c>
    </row>
    <row r="274" spans="1:72" x14ac:dyDescent="0.35">
      <c r="A274">
        <v>19</v>
      </c>
      <c r="B274" t="s">
        <v>56</v>
      </c>
      <c r="C274">
        <v>10</v>
      </c>
      <c r="D274">
        <v>54.25</v>
      </c>
      <c r="E274">
        <v>8</v>
      </c>
      <c r="F274">
        <v>0</v>
      </c>
      <c r="G274">
        <v>2</v>
      </c>
      <c r="H274">
        <v>8</v>
      </c>
      <c r="I274">
        <v>18</v>
      </c>
      <c r="J274">
        <v>0.9</v>
      </c>
      <c r="K274">
        <v>52.81</v>
      </c>
      <c r="L274">
        <v>53.14</v>
      </c>
      <c r="M274">
        <v>49.84</v>
      </c>
      <c r="N274">
        <v>41.01</v>
      </c>
      <c r="O274">
        <v>40.9</v>
      </c>
      <c r="P274">
        <v>50.07</v>
      </c>
      <c r="Q274">
        <v>30.43</v>
      </c>
      <c r="R274">
        <v>28.11</v>
      </c>
      <c r="S274">
        <v>51.98</v>
      </c>
      <c r="T274">
        <v>3.53</v>
      </c>
      <c r="U274">
        <v>2.21</v>
      </c>
      <c r="V274">
        <v>61.54</v>
      </c>
      <c r="W274">
        <v>2.79</v>
      </c>
      <c r="X274">
        <v>2.2400000000000002</v>
      </c>
      <c r="Y274">
        <v>55.42</v>
      </c>
      <c r="Z274">
        <v>30.54</v>
      </c>
      <c r="AA274">
        <v>27.78</v>
      </c>
      <c r="AB274">
        <v>52.36</v>
      </c>
      <c r="AC274">
        <v>20.18</v>
      </c>
      <c r="AD274">
        <v>15.77</v>
      </c>
      <c r="AE274">
        <v>56.13</v>
      </c>
      <c r="AF274">
        <v>3.09</v>
      </c>
      <c r="AG274">
        <v>1.76</v>
      </c>
      <c r="AH274">
        <v>63.64</v>
      </c>
      <c r="AI274">
        <v>15.3</v>
      </c>
      <c r="AJ274">
        <v>88.81</v>
      </c>
      <c r="AK274">
        <v>14.77</v>
      </c>
      <c r="AL274">
        <v>10.8</v>
      </c>
      <c r="AM274">
        <v>57.76</v>
      </c>
      <c r="AN274">
        <v>11.8</v>
      </c>
      <c r="AO274">
        <v>7.39</v>
      </c>
      <c r="AP274">
        <v>61.49</v>
      </c>
      <c r="AQ274">
        <v>2.76</v>
      </c>
      <c r="AR274">
        <v>1.21</v>
      </c>
      <c r="AS274">
        <v>69.44</v>
      </c>
      <c r="AT274">
        <v>23.36</v>
      </c>
      <c r="AU274">
        <v>83.58</v>
      </c>
      <c r="AV274">
        <v>15.77</v>
      </c>
      <c r="AW274">
        <v>16.98</v>
      </c>
      <c r="AX274">
        <v>48.15</v>
      </c>
      <c r="AY274">
        <v>8.3800000000000008</v>
      </c>
      <c r="AZ274">
        <v>8.3800000000000008</v>
      </c>
      <c r="BA274">
        <v>50</v>
      </c>
      <c r="BB274">
        <v>0.33</v>
      </c>
      <c r="BC274">
        <v>0.55000000000000004</v>
      </c>
      <c r="BD274">
        <v>37.5</v>
      </c>
      <c r="BE274">
        <v>3.95</v>
      </c>
      <c r="BF274">
        <v>93.42</v>
      </c>
      <c r="BG274">
        <v>17.97</v>
      </c>
      <c r="BH274">
        <v>21.72</v>
      </c>
      <c r="BI274">
        <v>45.28</v>
      </c>
      <c r="BJ274">
        <v>8.49</v>
      </c>
      <c r="BK274">
        <v>10.8</v>
      </c>
      <c r="BL274">
        <v>44</v>
      </c>
      <c r="BM274">
        <v>0.33</v>
      </c>
      <c r="BN274">
        <v>0.44</v>
      </c>
      <c r="BO274">
        <v>42.86</v>
      </c>
      <c r="BP274">
        <v>3.9</v>
      </c>
      <c r="BQ274">
        <v>95.92</v>
      </c>
      <c r="BR274">
        <v>11.59</v>
      </c>
      <c r="BS274">
        <v>92.16</v>
      </c>
      <c r="BT274">
        <v>1.038</v>
      </c>
    </row>
    <row r="275" spans="1:72" x14ac:dyDescent="0.35">
      <c r="A275">
        <v>20</v>
      </c>
      <c r="B275" t="s">
        <v>57</v>
      </c>
      <c r="C275">
        <v>10</v>
      </c>
      <c r="D275">
        <v>49.26</v>
      </c>
      <c r="E275">
        <v>4</v>
      </c>
      <c r="F275">
        <v>4</v>
      </c>
      <c r="G275">
        <v>2</v>
      </c>
      <c r="H275">
        <v>4</v>
      </c>
      <c r="I275">
        <v>10</v>
      </c>
      <c r="J275">
        <v>0.5</v>
      </c>
      <c r="K275">
        <v>51.58</v>
      </c>
      <c r="L275">
        <v>63.96</v>
      </c>
      <c r="M275">
        <v>44.64</v>
      </c>
      <c r="N275">
        <v>39.32</v>
      </c>
      <c r="O275">
        <v>46.72</v>
      </c>
      <c r="P275">
        <v>45.7</v>
      </c>
      <c r="Q275">
        <v>28.52</v>
      </c>
      <c r="R275">
        <v>33.130000000000003</v>
      </c>
      <c r="S275">
        <v>46.26</v>
      </c>
      <c r="T275">
        <v>2.5499999999999998</v>
      </c>
      <c r="U275">
        <v>2.91</v>
      </c>
      <c r="V275">
        <v>46.67</v>
      </c>
      <c r="W275">
        <v>2.5</v>
      </c>
      <c r="X275">
        <v>2.4500000000000002</v>
      </c>
      <c r="Y275">
        <v>50.42</v>
      </c>
      <c r="Z275">
        <v>25.49</v>
      </c>
      <c r="AA275">
        <v>29.25</v>
      </c>
      <c r="AB275">
        <v>46.56</v>
      </c>
      <c r="AC275">
        <v>14.93</v>
      </c>
      <c r="AD275">
        <v>16.989999999999998</v>
      </c>
      <c r="AE275">
        <v>46.77</v>
      </c>
      <c r="AF275">
        <v>2.1800000000000002</v>
      </c>
      <c r="AG275">
        <v>2.4300000000000002</v>
      </c>
      <c r="AH275">
        <v>47.37</v>
      </c>
      <c r="AI275">
        <v>14.63</v>
      </c>
      <c r="AJ275">
        <v>85.71</v>
      </c>
      <c r="AK275">
        <v>11.41</v>
      </c>
      <c r="AL275">
        <v>12.5</v>
      </c>
      <c r="AM275">
        <v>47.72</v>
      </c>
      <c r="AN275">
        <v>8.86</v>
      </c>
      <c r="AO275">
        <v>9.1</v>
      </c>
      <c r="AP275">
        <v>49.32</v>
      </c>
      <c r="AQ275">
        <v>1.82</v>
      </c>
      <c r="AR275">
        <v>1.94</v>
      </c>
      <c r="AS275">
        <v>48.39</v>
      </c>
      <c r="AT275">
        <v>20.55</v>
      </c>
      <c r="AU275">
        <v>78.67</v>
      </c>
      <c r="AV275">
        <v>14.08</v>
      </c>
      <c r="AW275">
        <v>16.75</v>
      </c>
      <c r="AX275">
        <v>45.67</v>
      </c>
      <c r="AY275">
        <v>6.07</v>
      </c>
      <c r="AZ275">
        <v>7.89</v>
      </c>
      <c r="BA275">
        <v>43.48</v>
      </c>
      <c r="BB275">
        <v>0.36</v>
      </c>
      <c r="BC275">
        <v>0.49</v>
      </c>
      <c r="BD275">
        <v>42.86</v>
      </c>
      <c r="BE275">
        <v>6</v>
      </c>
      <c r="BF275">
        <v>93.85</v>
      </c>
      <c r="BG275">
        <v>21.6</v>
      </c>
      <c r="BH275">
        <v>30.46</v>
      </c>
      <c r="BI275">
        <v>41.49</v>
      </c>
      <c r="BJ275">
        <v>11.77</v>
      </c>
      <c r="BK275">
        <v>14.2</v>
      </c>
      <c r="BL275">
        <v>45.33</v>
      </c>
      <c r="BM275">
        <v>0.36</v>
      </c>
      <c r="BN275">
        <v>0.36</v>
      </c>
      <c r="BO275">
        <v>50</v>
      </c>
      <c r="BP275">
        <v>3.09</v>
      </c>
      <c r="BQ275">
        <v>97.44</v>
      </c>
      <c r="BR275">
        <v>8.94</v>
      </c>
      <c r="BS275">
        <v>91.21</v>
      </c>
      <c r="BT275">
        <v>1.0009999999999999</v>
      </c>
    </row>
    <row r="276" spans="1:72" x14ac:dyDescent="0.35">
      <c r="A276">
        <v>21</v>
      </c>
      <c r="B276" t="s">
        <v>58</v>
      </c>
      <c r="C276">
        <v>10</v>
      </c>
      <c r="D276">
        <v>51.35</v>
      </c>
      <c r="E276">
        <v>4</v>
      </c>
      <c r="F276">
        <v>5</v>
      </c>
      <c r="G276">
        <v>1</v>
      </c>
      <c r="H276">
        <v>3</v>
      </c>
      <c r="I276">
        <v>9</v>
      </c>
      <c r="J276">
        <v>0.45</v>
      </c>
      <c r="K276">
        <v>58.84</v>
      </c>
      <c r="L276">
        <v>58.36</v>
      </c>
      <c r="M276">
        <v>50.2</v>
      </c>
      <c r="N276">
        <v>45.79</v>
      </c>
      <c r="O276">
        <v>43.06</v>
      </c>
      <c r="P276">
        <v>51.54</v>
      </c>
      <c r="Q276">
        <v>33.21</v>
      </c>
      <c r="R276">
        <v>31.67</v>
      </c>
      <c r="S276">
        <v>51.19</v>
      </c>
      <c r="T276">
        <v>2.4900000000000002</v>
      </c>
      <c r="U276">
        <v>2.97</v>
      </c>
      <c r="V276">
        <v>45.65</v>
      </c>
      <c r="W276">
        <v>2.19</v>
      </c>
      <c r="X276">
        <v>2.15</v>
      </c>
      <c r="Y276">
        <v>50.5</v>
      </c>
      <c r="Z276">
        <v>25.27</v>
      </c>
      <c r="AA276">
        <v>22.78</v>
      </c>
      <c r="AB276">
        <v>52.59</v>
      </c>
      <c r="AC276">
        <v>15.06</v>
      </c>
      <c r="AD276">
        <v>13.88</v>
      </c>
      <c r="AE276">
        <v>52.05</v>
      </c>
      <c r="AF276">
        <v>2.14</v>
      </c>
      <c r="AG276">
        <v>2.02</v>
      </c>
      <c r="AH276">
        <v>51.43</v>
      </c>
      <c r="AI276">
        <v>14.17</v>
      </c>
      <c r="AJ276">
        <v>85.47</v>
      </c>
      <c r="AK276">
        <v>9.9600000000000009</v>
      </c>
      <c r="AL276">
        <v>7.83</v>
      </c>
      <c r="AM276">
        <v>56</v>
      </c>
      <c r="AN276">
        <v>7.35</v>
      </c>
      <c r="AO276">
        <v>6.52</v>
      </c>
      <c r="AP276">
        <v>52.99</v>
      </c>
      <c r="AQ276">
        <v>1.54</v>
      </c>
      <c r="AR276">
        <v>1.19</v>
      </c>
      <c r="AS276">
        <v>56.52</v>
      </c>
      <c r="AT276">
        <v>20.97</v>
      </c>
      <c r="AU276">
        <v>81.819999999999993</v>
      </c>
      <c r="AV276">
        <v>15.3</v>
      </c>
      <c r="AW276">
        <v>14.95</v>
      </c>
      <c r="AX276">
        <v>50.59</v>
      </c>
      <c r="AY276">
        <v>7.71</v>
      </c>
      <c r="AZ276">
        <v>7.35</v>
      </c>
      <c r="BA276">
        <v>51.18</v>
      </c>
      <c r="BB276">
        <v>0.59</v>
      </c>
      <c r="BC276">
        <v>0.83</v>
      </c>
      <c r="BD276">
        <v>41.67</v>
      </c>
      <c r="BE276">
        <v>7.69</v>
      </c>
      <c r="BF276">
        <v>88.71</v>
      </c>
      <c r="BG276">
        <v>27.99</v>
      </c>
      <c r="BH276">
        <v>30.25</v>
      </c>
      <c r="BI276">
        <v>48.07</v>
      </c>
      <c r="BJ276">
        <v>16.010000000000002</v>
      </c>
      <c r="BK276">
        <v>16.73</v>
      </c>
      <c r="BL276">
        <v>48.91</v>
      </c>
      <c r="BM276">
        <v>0.12</v>
      </c>
      <c r="BN276">
        <v>0.59</v>
      </c>
      <c r="BO276">
        <v>16.670000000000002</v>
      </c>
      <c r="BP276">
        <v>0.74</v>
      </c>
      <c r="BQ276">
        <v>96.45</v>
      </c>
      <c r="BR276">
        <v>7.5</v>
      </c>
      <c r="BS276">
        <v>90.64</v>
      </c>
      <c r="BT276">
        <v>0.98099999999999998</v>
      </c>
    </row>
    <row r="277" spans="1:72" x14ac:dyDescent="0.35">
      <c r="A277">
        <v>22</v>
      </c>
      <c r="B277" t="s">
        <v>59</v>
      </c>
      <c r="C277">
        <v>10</v>
      </c>
      <c r="D277">
        <v>49.08</v>
      </c>
      <c r="E277">
        <v>5</v>
      </c>
      <c r="F277">
        <v>3</v>
      </c>
      <c r="G277">
        <v>2</v>
      </c>
      <c r="H277">
        <v>5</v>
      </c>
      <c r="I277">
        <v>12</v>
      </c>
      <c r="J277">
        <v>0.6</v>
      </c>
      <c r="K277">
        <v>50.81</v>
      </c>
      <c r="L277">
        <v>54.11</v>
      </c>
      <c r="M277">
        <v>48.43</v>
      </c>
      <c r="N277">
        <v>37.01</v>
      </c>
      <c r="O277">
        <v>40.92</v>
      </c>
      <c r="P277">
        <v>47.49</v>
      </c>
      <c r="Q277">
        <v>25.4</v>
      </c>
      <c r="R277">
        <v>29.56</v>
      </c>
      <c r="S277">
        <v>46.22</v>
      </c>
      <c r="T277">
        <v>2.69</v>
      </c>
      <c r="U277">
        <v>2.08</v>
      </c>
      <c r="V277">
        <v>56.41</v>
      </c>
      <c r="W277">
        <v>2.0299999999999998</v>
      </c>
      <c r="X277">
        <v>2.14</v>
      </c>
      <c r="Y277">
        <v>48.62</v>
      </c>
      <c r="Z277">
        <v>23.08</v>
      </c>
      <c r="AA277">
        <v>22.96</v>
      </c>
      <c r="AB277">
        <v>50.13</v>
      </c>
      <c r="AC277">
        <v>12.58</v>
      </c>
      <c r="AD277">
        <v>13.8</v>
      </c>
      <c r="AE277">
        <v>47.69</v>
      </c>
      <c r="AF277">
        <v>2.44</v>
      </c>
      <c r="AG277">
        <v>1.71</v>
      </c>
      <c r="AH277">
        <v>58.82</v>
      </c>
      <c r="AI277">
        <v>19.420000000000002</v>
      </c>
      <c r="AJ277">
        <v>87.61</v>
      </c>
      <c r="AK277">
        <v>7.94</v>
      </c>
      <c r="AL277">
        <v>8.92</v>
      </c>
      <c r="AM277">
        <v>47.1</v>
      </c>
      <c r="AN277">
        <v>5.86</v>
      </c>
      <c r="AO277">
        <v>6.84</v>
      </c>
      <c r="AP277">
        <v>46.15</v>
      </c>
      <c r="AQ277">
        <v>1.47</v>
      </c>
      <c r="AR277">
        <v>0.85</v>
      </c>
      <c r="AS277">
        <v>63.16</v>
      </c>
      <c r="AT277">
        <v>25</v>
      </c>
      <c r="AU277">
        <v>87.5</v>
      </c>
      <c r="AV277">
        <v>15.15</v>
      </c>
      <c r="AW277">
        <v>14.05</v>
      </c>
      <c r="AX277">
        <v>51.88</v>
      </c>
      <c r="AY277">
        <v>6.72</v>
      </c>
      <c r="AZ277">
        <v>6.96</v>
      </c>
      <c r="BA277">
        <v>49.11</v>
      </c>
      <c r="BB277">
        <v>0.98</v>
      </c>
      <c r="BC277">
        <v>0.85</v>
      </c>
      <c r="BD277">
        <v>53.33</v>
      </c>
      <c r="BE277">
        <v>14.55</v>
      </c>
      <c r="BF277">
        <v>87.72</v>
      </c>
      <c r="BG277">
        <v>23.21</v>
      </c>
      <c r="BH277">
        <v>26.75</v>
      </c>
      <c r="BI277">
        <v>46.45</v>
      </c>
      <c r="BJ277">
        <v>11.11</v>
      </c>
      <c r="BK277">
        <v>14.29</v>
      </c>
      <c r="BL277">
        <v>43.75</v>
      </c>
      <c r="BM277">
        <v>0.12</v>
      </c>
      <c r="BN277">
        <v>0.37</v>
      </c>
      <c r="BO277">
        <v>25</v>
      </c>
      <c r="BP277">
        <v>1.1000000000000001</v>
      </c>
      <c r="BQ277">
        <v>97.44</v>
      </c>
      <c r="BR277">
        <v>10.58</v>
      </c>
      <c r="BS277">
        <v>92.98</v>
      </c>
      <c r="BT277">
        <v>1.036</v>
      </c>
    </row>
    <row r="278" spans="1:72" x14ac:dyDescent="0.35">
      <c r="A278">
        <v>23</v>
      </c>
      <c r="B278" t="s">
        <v>60</v>
      </c>
      <c r="C278">
        <v>10</v>
      </c>
      <c r="D278">
        <v>52.38</v>
      </c>
      <c r="E278">
        <v>8</v>
      </c>
      <c r="F278">
        <v>2</v>
      </c>
      <c r="G278">
        <v>0</v>
      </c>
      <c r="H278">
        <v>7</v>
      </c>
      <c r="I278">
        <v>16</v>
      </c>
      <c r="J278">
        <v>0.8</v>
      </c>
      <c r="K278">
        <v>45.9</v>
      </c>
      <c r="L278">
        <v>50.09</v>
      </c>
      <c r="M278">
        <v>47.82</v>
      </c>
      <c r="N278">
        <v>34.049999999999997</v>
      </c>
      <c r="O278">
        <v>37.54</v>
      </c>
      <c r="P278">
        <v>47.56</v>
      </c>
      <c r="Q278">
        <v>26.03</v>
      </c>
      <c r="R278">
        <v>29.75</v>
      </c>
      <c r="S278">
        <v>46.67</v>
      </c>
      <c r="T278">
        <v>3.6</v>
      </c>
      <c r="U278">
        <v>2.21</v>
      </c>
      <c r="V278">
        <v>62</v>
      </c>
      <c r="W278">
        <v>2.3199999999999998</v>
      </c>
      <c r="X278">
        <v>2.2400000000000002</v>
      </c>
      <c r="Y278">
        <v>50.84</v>
      </c>
      <c r="Z278">
        <v>21.85</v>
      </c>
      <c r="AA278">
        <v>22.78</v>
      </c>
      <c r="AB278">
        <v>48.96</v>
      </c>
      <c r="AC278">
        <v>14.18</v>
      </c>
      <c r="AD278">
        <v>15.11</v>
      </c>
      <c r="AE278">
        <v>48.41</v>
      </c>
      <c r="AF278">
        <v>2.79</v>
      </c>
      <c r="AG278">
        <v>1.98</v>
      </c>
      <c r="AH278">
        <v>58.54</v>
      </c>
      <c r="AI278">
        <v>19.670000000000002</v>
      </c>
      <c r="AJ278">
        <v>86.92</v>
      </c>
      <c r="AK278">
        <v>8.9499999999999993</v>
      </c>
      <c r="AL278">
        <v>10.11</v>
      </c>
      <c r="AM278">
        <v>46.95</v>
      </c>
      <c r="AN278">
        <v>7.79</v>
      </c>
      <c r="AO278">
        <v>8.6</v>
      </c>
      <c r="AP278">
        <v>47.52</v>
      </c>
      <c r="AQ278">
        <v>2.21</v>
      </c>
      <c r="AR278">
        <v>1.51</v>
      </c>
      <c r="AS278">
        <v>59.38</v>
      </c>
      <c r="AT278">
        <v>28.36</v>
      </c>
      <c r="AU278">
        <v>82.43</v>
      </c>
      <c r="AV278">
        <v>12.9</v>
      </c>
      <c r="AW278">
        <v>12.67</v>
      </c>
      <c r="AX278">
        <v>50.45</v>
      </c>
      <c r="AY278">
        <v>6.39</v>
      </c>
      <c r="AZ278">
        <v>6.51</v>
      </c>
      <c r="BA278">
        <v>49.55</v>
      </c>
      <c r="BB278">
        <v>0.57999999999999996</v>
      </c>
      <c r="BC278">
        <v>0.46</v>
      </c>
      <c r="BD278">
        <v>55.56</v>
      </c>
      <c r="BE278">
        <v>9.09</v>
      </c>
      <c r="BF278">
        <v>92.86</v>
      </c>
      <c r="BG278">
        <v>20.8</v>
      </c>
      <c r="BH278">
        <v>24.17</v>
      </c>
      <c r="BI278">
        <v>46.25</v>
      </c>
      <c r="BJ278">
        <v>10.57</v>
      </c>
      <c r="BK278">
        <v>13.48</v>
      </c>
      <c r="BL278">
        <v>43.96</v>
      </c>
      <c r="BM278">
        <v>0.57999999999999996</v>
      </c>
      <c r="BN278">
        <v>0.23</v>
      </c>
      <c r="BO278">
        <v>71.430000000000007</v>
      </c>
      <c r="BP278">
        <v>5.49</v>
      </c>
      <c r="BQ278">
        <v>98.28</v>
      </c>
      <c r="BR278">
        <v>13.84</v>
      </c>
      <c r="BS278">
        <v>92.58</v>
      </c>
      <c r="BT278">
        <v>1.0640000000000001</v>
      </c>
    </row>
    <row r="279" spans="1:72" x14ac:dyDescent="0.35">
      <c r="A279">
        <v>24</v>
      </c>
      <c r="B279" t="s">
        <v>61</v>
      </c>
      <c r="C279">
        <v>8</v>
      </c>
      <c r="D279">
        <v>49.16</v>
      </c>
      <c r="E279">
        <v>2</v>
      </c>
      <c r="F279">
        <v>5</v>
      </c>
      <c r="G279">
        <v>1</v>
      </c>
      <c r="H279">
        <v>2</v>
      </c>
      <c r="I279">
        <v>5</v>
      </c>
      <c r="J279">
        <v>0.313</v>
      </c>
      <c r="K279">
        <v>52.21</v>
      </c>
      <c r="L279">
        <v>58.91</v>
      </c>
      <c r="M279">
        <v>46.99</v>
      </c>
      <c r="N279">
        <v>40.64</v>
      </c>
      <c r="O279">
        <v>42.62</v>
      </c>
      <c r="P279">
        <v>48.81</v>
      </c>
      <c r="Q279">
        <v>29.68</v>
      </c>
      <c r="R279">
        <v>29.99</v>
      </c>
      <c r="S279">
        <v>49.74</v>
      </c>
      <c r="T279">
        <v>2.59</v>
      </c>
      <c r="U279">
        <v>3.96</v>
      </c>
      <c r="V279">
        <v>39.53</v>
      </c>
      <c r="W279">
        <v>2.38</v>
      </c>
      <c r="X279">
        <v>2.41</v>
      </c>
      <c r="Y279">
        <v>49.75</v>
      </c>
      <c r="Z279">
        <v>28.01</v>
      </c>
      <c r="AA279">
        <v>29.23</v>
      </c>
      <c r="AB279">
        <v>48.94</v>
      </c>
      <c r="AC279">
        <v>17.809999999999999</v>
      </c>
      <c r="AD279">
        <v>16.899999999999999</v>
      </c>
      <c r="AE279">
        <v>51.32</v>
      </c>
      <c r="AF279">
        <v>2.44</v>
      </c>
      <c r="AG279">
        <v>2.89</v>
      </c>
      <c r="AH279">
        <v>45.71</v>
      </c>
      <c r="AI279">
        <v>13.68</v>
      </c>
      <c r="AJ279">
        <v>82.88</v>
      </c>
      <c r="AK279">
        <v>12.33</v>
      </c>
      <c r="AL279">
        <v>10.81</v>
      </c>
      <c r="AM279">
        <v>53.29</v>
      </c>
      <c r="AN279">
        <v>9.1300000000000008</v>
      </c>
      <c r="AO279">
        <v>6.7</v>
      </c>
      <c r="AP279">
        <v>57.69</v>
      </c>
      <c r="AQ279">
        <v>0.91</v>
      </c>
      <c r="AR279">
        <v>1.52</v>
      </c>
      <c r="AS279">
        <v>37.5</v>
      </c>
      <c r="AT279">
        <v>10</v>
      </c>
      <c r="AU279">
        <v>77.27</v>
      </c>
      <c r="AV279">
        <v>15.68</v>
      </c>
      <c r="AW279">
        <v>18.420000000000002</v>
      </c>
      <c r="AX279">
        <v>45.98</v>
      </c>
      <c r="AY279">
        <v>8.68</v>
      </c>
      <c r="AZ279">
        <v>10.199999999999999</v>
      </c>
      <c r="BA279">
        <v>45.97</v>
      </c>
      <c r="BB279">
        <v>1.52</v>
      </c>
      <c r="BC279">
        <v>1.37</v>
      </c>
      <c r="BD279">
        <v>52.63</v>
      </c>
      <c r="BE279">
        <v>17.54</v>
      </c>
      <c r="BF279">
        <v>86.57</v>
      </c>
      <c r="BG279">
        <v>21.46</v>
      </c>
      <c r="BH279">
        <v>26.18</v>
      </c>
      <c r="BI279">
        <v>45.05</v>
      </c>
      <c r="BJ279">
        <v>10.96</v>
      </c>
      <c r="BK279">
        <v>12.03</v>
      </c>
      <c r="BL279">
        <v>47.68</v>
      </c>
      <c r="BM279">
        <v>0.15</v>
      </c>
      <c r="BN279">
        <v>1.07</v>
      </c>
      <c r="BO279">
        <v>12.5</v>
      </c>
      <c r="BP279">
        <v>1.39</v>
      </c>
      <c r="BQ279">
        <v>91.14</v>
      </c>
      <c r="BR279">
        <v>8.7200000000000006</v>
      </c>
      <c r="BS279">
        <v>86.8</v>
      </c>
      <c r="BT279">
        <v>0.95499999999999996</v>
      </c>
    </row>
    <row r="280" spans="1:72" x14ac:dyDescent="0.35">
      <c r="A280">
        <v>25</v>
      </c>
      <c r="B280" t="s">
        <v>62</v>
      </c>
      <c r="C280">
        <v>10</v>
      </c>
      <c r="D280">
        <v>51.52</v>
      </c>
      <c r="E280">
        <v>3</v>
      </c>
      <c r="F280">
        <v>6</v>
      </c>
      <c r="G280">
        <v>1</v>
      </c>
      <c r="H280">
        <v>3</v>
      </c>
      <c r="I280">
        <v>7</v>
      </c>
      <c r="J280">
        <v>0.35</v>
      </c>
      <c r="K280">
        <v>53.31</v>
      </c>
      <c r="L280">
        <v>51.54</v>
      </c>
      <c r="M280">
        <v>50.84</v>
      </c>
      <c r="N280">
        <v>40.340000000000003</v>
      </c>
      <c r="O280">
        <v>38.92</v>
      </c>
      <c r="P280">
        <v>50.89</v>
      </c>
      <c r="Q280">
        <v>32.67</v>
      </c>
      <c r="R280">
        <v>27.48</v>
      </c>
      <c r="S280">
        <v>54.31</v>
      </c>
      <c r="T280">
        <v>2.59</v>
      </c>
      <c r="U280">
        <v>2.95</v>
      </c>
      <c r="V280">
        <v>46.81</v>
      </c>
      <c r="W280">
        <v>2.2000000000000002</v>
      </c>
      <c r="X280">
        <v>2.59</v>
      </c>
      <c r="Y280">
        <v>45.88</v>
      </c>
      <c r="Z280">
        <v>24.18</v>
      </c>
      <c r="AA280">
        <v>23.35</v>
      </c>
      <c r="AB280">
        <v>50.87</v>
      </c>
      <c r="AC280">
        <v>15.92</v>
      </c>
      <c r="AD280">
        <v>15.21</v>
      </c>
      <c r="AE280">
        <v>51.14</v>
      </c>
      <c r="AF280">
        <v>2.0099999999999998</v>
      </c>
      <c r="AG280">
        <v>2.71</v>
      </c>
      <c r="AH280">
        <v>42.5</v>
      </c>
      <c r="AI280">
        <v>12.59</v>
      </c>
      <c r="AJ280">
        <v>82.17</v>
      </c>
      <c r="AK280">
        <v>7.19</v>
      </c>
      <c r="AL280">
        <v>10.029999999999999</v>
      </c>
      <c r="AM280">
        <v>41.78</v>
      </c>
      <c r="AN280">
        <v>5.43</v>
      </c>
      <c r="AO280">
        <v>7.67</v>
      </c>
      <c r="AP280">
        <v>41.44</v>
      </c>
      <c r="AQ280">
        <v>1.06</v>
      </c>
      <c r="AR280">
        <v>1.77</v>
      </c>
      <c r="AS280">
        <v>37.5</v>
      </c>
      <c r="AT280">
        <v>19.57</v>
      </c>
      <c r="AU280">
        <v>76.92</v>
      </c>
      <c r="AV280">
        <v>16.98</v>
      </c>
      <c r="AW280">
        <v>13.33</v>
      </c>
      <c r="AX280">
        <v>56.03</v>
      </c>
      <c r="AY280">
        <v>10.5</v>
      </c>
      <c r="AZ280">
        <v>7.55</v>
      </c>
      <c r="BA280">
        <v>58.17</v>
      </c>
      <c r="BB280">
        <v>0.94</v>
      </c>
      <c r="BC280">
        <v>0.94</v>
      </c>
      <c r="BD280">
        <v>50</v>
      </c>
      <c r="BE280">
        <v>8.99</v>
      </c>
      <c r="BF280">
        <v>87.5</v>
      </c>
      <c r="BG280">
        <v>23.82</v>
      </c>
      <c r="BH280">
        <v>23.35</v>
      </c>
      <c r="BI280">
        <v>50.5</v>
      </c>
      <c r="BJ280">
        <v>14.27</v>
      </c>
      <c r="BK280">
        <v>11.2</v>
      </c>
      <c r="BL280">
        <v>56.02</v>
      </c>
      <c r="BM280">
        <v>0.59</v>
      </c>
      <c r="BN280">
        <v>0</v>
      </c>
      <c r="BO280">
        <v>100</v>
      </c>
      <c r="BP280">
        <v>4.13</v>
      </c>
      <c r="BQ280">
        <v>100</v>
      </c>
      <c r="BR280">
        <v>7.94</v>
      </c>
      <c r="BS280">
        <v>89.27</v>
      </c>
      <c r="BT280">
        <v>0.97199999999999998</v>
      </c>
    </row>
    <row r="281" spans="1:72" x14ac:dyDescent="0.35">
      <c r="A281">
        <v>26</v>
      </c>
      <c r="B281" t="s">
        <v>63</v>
      </c>
      <c r="C281">
        <v>10</v>
      </c>
      <c r="D281">
        <v>48.32</v>
      </c>
      <c r="E281">
        <v>9</v>
      </c>
      <c r="F281">
        <v>1</v>
      </c>
      <c r="G281">
        <v>0</v>
      </c>
      <c r="H281">
        <v>9</v>
      </c>
      <c r="I281">
        <v>18</v>
      </c>
      <c r="J281">
        <v>0.9</v>
      </c>
      <c r="K281">
        <v>46.84</v>
      </c>
      <c r="L281">
        <v>44.31</v>
      </c>
      <c r="M281">
        <v>51.39</v>
      </c>
      <c r="N281">
        <v>38.51</v>
      </c>
      <c r="O281">
        <v>33.33</v>
      </c>
      <c r="P281">
        <v>53.6</v>
      </c>
      <c r="Q281">
        <v>28.53</v>
      </c>
      <c r="R281">
        <v>25.63</v>
      </c>
      <c r="S281">
        <v>52.68</v>
      </c>
      <c r="T281">
        <v>4.17</v>
      </c>
      <c r="U281">
        <v>1.51</v>
      </c>
      <c r="V281">
        <v>73.33</v>
      </c>
      <c r="W281">
        <v>2.4</v>
      </c>
      <c r="X281">
        <v>1.86</v>
      </c>
      <c r="Y281">
        <v>56.35</v>
      </c>
      <c r="Z281">
        <v>27.4</v>
      </c>
      <c r="AA281">
        <v>27.02</v>
      </c>
      <c r="AB281">
        <v>50.35</v>
      </c>
      <c r="AC281">
        <v>18.68</v>
      </c>
      <c r="AD281">
        <v>17.420000000000002</v>
      </c>
      <c r="AE281">
        <v>51.75</v>
      </c>
      <c r="AF281">
        <v>3.03</v>
      </c>
      <c r="AG281">
        <v>1.39</v>
      </c>
      <c r="AH281">
        <v>68.569999999999993</v>
      </c>
      <c r="AI281">
        <v>16.22</v>
      </c>
      <c r="AJ281">
        <v>92.03</v>
      </c>
      <c r="AK281">
        <v>8.9600000000000009</v>
      </c>
      <c r="AL281">
        <v>8.58</v>
      </c>
      <c r="AM281">
        <v>51.08</v>
      </c>
      <c r="AN281">
        <v>7.95</v>
      </c>
      <c r="AO281">
        <v>7.32</v>
      </c>
      <c r="AP281">
        <v>52.07</v>
      </c>
      <c r="AQ281">
        <v>1.89</v>
      </c>
      <c r="AR281">
        <v>0.63</v>
      </c>
      <c r="AS281">
        <v>75</v>
      </c>
      <c r="AT281">
        <v>23.81</v>
      </c>
      <c r="AU281">
        <v>91.38</v>
      </c>
      <c r="AV281">
        <v>18.43</v>
      </c>
      <c r="AW281">
        <v>18.43</v>
      </c>
      <c r="AX281">
        <v>50</v>
      </c>
      <c r="AY281">
        <v>10.73</v>
      </c>
      <c r="AZ281">
        <v>10.1</v>
      </c>
      <c r="BA281">
        <v>51.52</v>
      </c>
      <c r="BB281">
        <v>1.1399999999999999</v>
      </c>
      <c r="BC281">
        <v>0.76</v>
      </c>
      <c r="BD281">
        <v>60</v>
      </c>
      <c r="BE281">
        <v>10.59</v>
      </c>
      <c r="BF281">
        <v>92.5</v>
      </c>
      <c r="BG281">
        <v>16.41</v>
      </c>
      <c r="BH281">
        <v>13.51</v>
      </c>
      <c r="BI281">
        <v>54.85</v>
      </c>
      <c r="BJ281">
        <v>8.84</v>
      </c>
      <c r="BK281">
        <v>7.32</v>
      </c>
      <c r="BL281">
        <v>54.69</v>
      </c>
      <c r="BM281">
        <v>0.88</v>
      </c>
      <c r="BN281">
        <v>0.13</v>
      </c>
      <c r="BO281">
        <v>87.5</v>
      </c>
      <c r="BP281">
        <v>10</v>
      </c>
      <c r="BQ281">
        <v>98.28</v>
      </c>
      <c r="BR281">
        <v>14.6</v>
      </c>
      <c r="BS281">
        <v>94.09</v>
      </c>
      <c r="BT281">
        <v>1.087</v>
      </c>
    </row>
    <row r="282" spans="1:72" x14ac:dyDescent="0.35">
      <c r="A282">
        <v>27</v>
      </c>
      <c r="B282" t="s">
        <v>64</v>
      </c>
      <c r="C282">
        <v>10</v>
      </c>
      <c r="D282">
        <v>50.54</v>
      </c>
      <c r="E282">
        <v>7</v>
      </c>
      <c r="F282">
        <v>2</v>
      </c>
      <c r="G282">
        <v>1</v>
      </c>
      <c r="H282">
        <v>7</v>
      </c>
      <c r="I282">
        <v>15</v>
      </c>
      <c r="J282">
        <v>0.75</v>
      </c>
      <c r="K282">
        <v>53.15</v>
      </c>
      <c r="L282">
        <v>54.83</v>
      </c>
      <c r="M282">
        <v>49.22</v>
      </c>
      <c r="N282">
        <v>43.41</v>
      </c>
      <c r="O282">
        <v>41.24</v>
      </c>
      <c r="P282">
        <v>51.28</v>
      </c>
      <c r="Q282">
        <v>30.3</v>
      </c>
      <c r="R282">
        <v>29.34</v>
      </c>
      <c r="S282">
        <v>50.81</v>
      </c>
      <c r="T282">
        <v>3.49</v>
      </c>
      <c r="U282">
        <v>1.92</v>
      </c>
      <c r="V282">
        <v>64.44</v>
      </c>
      <c r="W282">
        <v>2.86</v>
      </c>
      <c r="X282">
        <v>2.13</v>
      </c>
      <c r="Y282">
        <v>57.37</v>
      </c>
      <c r="Z282">
        <v>31.14</v>
      </c>
      <c r="AA282">
        <v>27.54</v>
      </c>
      <c r="AB282">
        <v>53.07</v>
      </c>
      <c r="AC282">
        <v>19.84</v>
      </c>
      <c r="AD282">
        <v>16.23</v>
      </c>
      <c r="AE282">
        <v>55</v>
      </c>
      <c r="AF282">
        <v>3.13</v>
      </c>
      <c r="AG282">
        <v>1.56</v>
      </c>
      <c r="AH282">
        <v>66.67</v>
      </c>
      <c r="AI282">
        <v>15.76</v>
      </c>
      <c r="AJ282">
        <v>90.37</v>
      </c>
      <c r="AK282">
        <v>12.87</v>
      </c>
      <c r="AL282">
        <v>8.42</v>
      </c>
      <c r="AM282">
        <v>60.45</v>
      </c>
      <c r="AN282">
        <v>9.98</v>
      </c>
      <c r="AO282">
        <v>6.49</v>
      </c>
      <c r="AP282">
        <v>60.58</v>
      </c>
      <c r="AQ282">
        <v>1.8</v>
      </c>
      <c r="AR282">
        <v>1.08</v>
      </c>
      <c r="AS282">
        <v>62.5</v>
      </c>
      <c r="AT282">
        <v>18.07</v>
      </c>
      <c r="AU282">
        <v>83.33</v>
      </c>
      <c r="AV282">
        <v>18.28</v>
      </c>
      <c r="AW282">
        <v>19.12</v>
      </c>
      <c r="AX282">
        <v>48.87</v>
      </c>
      <c r="AY282">
        <v>9.86</v>
      </c>
      <c r="AZ282">
        <v>9.74</v>
      </c>
      <c r="BA282">
        <v>50.31</v>
      </c>
      <c r="BB282">
        <v>1.32</v>
      </c>
      <c r="BC282">
        <v>0.48</v>
      </c>
      <c r="BD282">
        <v>73.33</v>
      </c>
      <c r="BE282">
        <v>13.41</v>
      </c>
      <c r="BF282">
        <v>95.06</v>
      </c>
      <c r="BG282">
        <v>20.440000000000001</v>
      </c>
      <c r="BH282">
        <v>24.29</v>
      </c>
      <c r="BI282">
        <v>45.7</v>
      </c>
      <c r="BJ282">
        <v>10.1</v>
      </c>
      <c r="BK282">
        <v>11.9</v>
      </c>
      <c r="BL282">
        <v>45.9</v>
      </c>
      <c r="BM282">
        <v>0.24</v>
      </c>
      <c r="BN282">
        <v>0.36</v>
      </c>
      <c r="BO282">
        <v>40</v>
      </c>
      <c r="BP282">
        <v>2.38</v>
      </c>
      <c r="BQ282">
        <v>96.97</v>
      </c>
      <c r="BR282">
        <v>11.51</v>
      </c>
      <c r="BS282">
        <v>93.44</v>
      </c>
      <c r="BT282">
        <v>1.05</v>
      </c>
    </row>
    <row r="283" spans="1:72" x14ac:dyDescent="0.35">
      <c r="A283">
        <v>28</v>
      </c>
      <c r="B283" t="s">
        <v>65</v>
      </c>
      <c r="C283">
        <v>10</v>
      </c>
      <c r="D283">
        <v>49.6</v>
      </c>
      <c r="E283">
        <v>4</v>
      </c>
      <c r="F283">
        <v>4</v>
      </c>
      <c r="G283">
        <v>2</v>
      </c>
      <c r="H283">
        <v>4</v>
      </c>
      <c r="I283">
        <v>10</v>
      </c>
      <c r="J283">
        <v>0.5</v>
      </c>
      <c r="K283">
        <v>60.13</v>
      </c>
      <c r="L283">
        <v>54.74</v>
      </c>
      <c r="M283">
        <v>52.35</v>
      </c>
      <c r="N283">
        <v>45.31</v>
      </c>
      <c r="O283">
        <v>39.92</v>
      </c>
      <c r="P283">
        <v>53.16</v>
      </c>
      <c r="Q283">
        <v>32.57</v>
      </c>
      <c r="R283">
        <v>30.49</v>
      </c>
      <c r="S283">
        <v>51.65</v>
      </c>
      <c r="T283">
        <v>1.96</v>
      </c>
      <c r="U283">
        <v>2.4500000000000002</v>
      </c>
      <c r="V283">
        <v>44.44</v>
      </c>
      <c r="W283">
        <v>2.84</v>
      </c>
      <c r="X283">
        <v>2.6</v>
      </c>
      <c r="Y283">
        <v>52.19</v>
      </c>
      <c r="Z283">
        <v>28.53</v>
      </c>
      <c r="AA283">
        <v>28.04</v>
      </c>
      <c r="AB283">
        <v>50.43</v>
      </c>
      <c r="AC283">
        <v>16.41</v>
      </c>
      <c r="AD283">
        <v>17.14</v>
      </c>
      <c r="AE283">
        <v>48.91</v>
      </c>
      <c r="AF283">
        <v>1.71</v>
      </c>
      <c r="AG283">
        <v>2.33</v>
      </c>
      <c r="AH283">
        <v>42.42</v>
      </c>
      <c r="AI283">
        <v>10.45</v>
      </c>
      <c r="AJ283">
        <v>86.43</v>
      </c>
      <c r="AK283">
        <v>12</v>
      </c>
      <c r="AL283">
        <v>11.27</v>
      </c>
      <c r="AM283">
        <v>51.58</v>
      </c>
      <c r="AN283">
        <v>8.82</v>
      </c>
      <c r="AO283">
        <v>9.18</v>
      </c>
      <c r="AP283">
        <v>48.98</v>
      </c>
      <c r="AQ283">
        <v>1.22</v>
      </c>
      <c r="AR283">
        <v>1.59</v>
      </c>
      <c r="AS283">
        <v>43.48</v>
      </c>
      <c r="AT283">
        <v>13.89</v>
      </c>
      <c r="AU283">
        <v>82.67</v>
      </c>
      <c r="AV283">
        <v>16.53</v>
      </c>
      <c r="AW283">
        <v>16.78</v>
      </c>
      <c r="AX283">
        <v>49.63</v>
      </c>
      <c r="AY283">
        <v>7.59</v>
      </c>
      <c r="AZ283">
        <v>7.96</v>
      </c>
      <c r="BA283">
        <v>48.82</v>
      </c>
      <c r="BB283">
        <v>0.49</v>
      </c>
      <c r="BC283">
        <v>0.73</v>
      </c>
      <c r="BD283">
        <v>40</v>
      </c>
      <c r="BE283">
        <v>6.45</v>
      </c>
      <c r="BF283">
        <v>90.77</v>
      </c>
      <c r="BG283">
        <v>27.31</v>
      </c>
      <c r="BH283">
        <v>22.16</v>
      </c>
      <c r="BI283">
        <v>55.2</v>
      </c>
      <c r="BJ283">
        <v>14.45</v>
      </c>
      <c r="BK283">
        <v>11.63</v>
      </c>
      <c r="BL283">
        <v>55.4</v>
      </c>
      <c r="BM283">
        <v>0.12</v>
      </c>
      <c r="BN283">
        <v>0.12</v>
      </c>
      <c r="BO283">
        <v>50</v>
      </c>
      <c r="BP283">
        <v>0.85</v>
      </c>
      <c r="BQ283">
        <v>98.95</v>
      </c>
      <c r="BR283">
        <v>6.02</v>
      </c>
      <c r="BS283">
        <v>91.97</v>
      </c>
      <c r="BT283">
        <v>0.98</v>
      </c>
    </row>
    <row r="284" spans="1:72" x14ac:dyDescent="0.35">
      <c r="A284">
        <v>29</v>
      </c>
      <c r="B284" t="s">
        <v>68</v>
      </c>
      <c r="C284">
        <v>10</v>
      </c>
      <c r="D284">
        <v>51.06</v>
      </c>
      <c r="E284">
        <v>7</v>
      </c>
      <c r="F284">
        <v>2</v>
      </c>
      <c r="G284">
        <v>1</v>
      </c>
      <c r="H284">
        <v>7</v>
      </c>
      <c r="I284">
        <v>15</v>
      </c>
      <c r="J284">
        <v>0.75</v>
      </c>
      <c r="K284">
        <v>58.47</v>
      </c>
      <c r="L284">
        <v>54.01</v>
      </c>
      <c r="M284">
        <v>51.98</v>
      </c>
      <c r="N284">
        <v>40.74</v>
      </c>
      <c r="O284">
        <v>38.51</v>
      </c>
      <c r="P284">
        <v>51.41</v>
      </c>
      <c r="Q284">
        <v>28.88</v>
      </c>
      <c r="R284">
        <v>29.12</v>
      </c>
      <c r="S284">
        <v>49.8</v>
      </c>
      <c r="T284">
        <v>3.41</v>
      </c>
      <c r="U284">
        <v>2.4700000000000002</v>
      </c>
      <c r="V284">
        <v>58</v>
      </c>
      <c r="W284">
        <v>2.58</v>
      </c>
      <c r="X284">
        <v>2.4</v>
      </c>
      <c r="Y284">
        <v>51.75</v>
      </c>
      <c r="Z284">
        <v>29.12</v>
      </c>
      <c r="AA284">
        <v>26.77</v>
      </c>
      <c r="AB284">
        <v>52.1</v>
      </c>
      <c r="AC284">
        <v>16.91</v>
      </c>
      <c r="AD284">
        <v>15.62</v>
      </c>
      <c r="AE284">
        <v>51.99</v>
      </c>
      <c r="AF284">
        <v>2.94</v>
      </c>
      <c r="AG284">
        <v>2.23</v>
      </c>
      <c r="AH284">
        <v>56.82</v>
      </c>
      <c r="AI284">
        <v>17.36</v>
      </c>
      <c r="AJ284">
        <v>85.71</v>
      </c>
      <c r="AK284">
        <v>10.8</v>
      </c>
      <c r="AL284">
        <v>9.6300000000000008</v>
      </c>
      <c r="AM284">
        <v>52.87</v>
      </c>
      <c r="AN284">
        <v>7.16</v>
      </c>
      <c r="AO284">
        <v>7.51</v>
      </c>
      <c r="AP284">
        <v>48.8</v>
      </c>
      <c r="AQ284">
        <v>1.41</v>
      </c>
      <c r="AR284">
        <v>1.29</v>
      </c>
      <c r="AS284">
        <v>52.17</v>
      </c>
      <c r="AT284">
        <v>19.670000000000002</v>
      </c>
      <c r="AU284">
        <v>82.81</v>
      </c>
      <c r="AV284">
        <v>18.32</v>
      </c>
      <c r="AW284">
        <v>17.14</v>
      </c>
      <c r="AX284">
        <v>51.66</v>
      </c>
      <c r="AY284">
        <v>9.75</v>
      </c>
      <c r="AZ284">
        <v>8.1</v>
      </c>
      <c r="BA284">
        <v>54.61</v>
      </c>
      <c r="BB284">
        <v>1.53</v>
      </c>
      <c r="BC284">
        <v>0.94</v>
      </c>
      <c r="BD284">
        <v>61.9</v>
      </c>
      <c r="BE284">
        <v>15.66</v>
      </c>
      <c r="BF284">
        <v>88.41</v>
      </c>
      <c r="BG284">
        <v>24.31</v>
      </c>
      <c r="BH284">
        <v>22.78</v>
      </c>
      <c r="BI284">
        <v>51.62</v>
      </c>
      <c r="BJ284">
        <v>10.45</v>
      </c>
      <c r="BK284">
        <v>11.51</v>
      </c>
      <c r="BL284">
        <v>47.59</v>
      </c>
      <c r="BM284">
        <v>0.47</v>
      </c>
      <c r="BN284">
        <v>0.23</v>
      </c>
      <c r="BO284">
        <v>66.67</v>
      </c>
      <c r="BP284">
        <v>4.49</v>
      </c>
      <c r="BQ284">
        <v>97.96</v>
      </c>
      <c r="BR284">
        <v>11.79</v>
      </c>
      <c r="BS284">
        <v>91.53</v>
      </c>
      <c r="BT284">
        <v>1.0329999999999999</v>
      </c>
    </row>
    <row r="285" spans="1:72" x14ac:dyDescent="0.35">
      <c r="A285">
        <v>30</v>
      </c>
      <c r="B285" t="s">
        <v>66</v>
      </c>
      <c r="C285">
        <v>10</v>
      </c>
      <c r="D285">
        <v>52.34</v>
      </c>
      <c r="E285">
        <v>6</v>
      </c>
      <c r="F285">
        <v>3</v>
      </c>
      <c r="G285">
        <v>1</v>
      </c>
      <c r="H285">
        <v>6</v>
      </c>
      <c r="I285">
        <v>13</v>
      </c>
      <c r="J285">
        <v>0.65</v>
      </c>
      <c r="K285">
        <v>53.99</v>
      </c>
      <c r="L285">
        <v>58.18</v>
      </c>
      <c r="M285">
        <v>48.13</v>
      </c>
      <c r="N285">
        <v>41.07</v>
      </c>
      <c r="O285">
        <v>45.26</v>
      </c>
      <c r="P285">
        <v>47.57</v>
      </c>
      <c r="Q285">
        <v>28.62</v>
      </c>
      <c r="R285">
        <v>31.65</v>
      </c>
      <c r="S285">
        <v>47.49</v>
      </c>
      <c r="T285">
        <v>2.68</v>
      </c>
      <c r="U285">
        <v>2.33</v>
      </c>
      <c r="V285">
        <v>53.49</v>
      </c>
      <c r="W285">
        <v>2.48</v>
      </c>
      <c r="X285">
        <v>2.83</v>
      </c>
      <c r="Y285">
        <v>46.72</v>
      </c>
      <c r="Z285">
        <v>27.58</v>
      </c>
      <c r="AA285">
        <v>28.97</v>
      </c>
      <c r="AB285">
        <v>48.77</v>
      </c>
      <c r="AC285">
        <v>15.48</v>
      </c>
      <c r="AD285">
        <v>17.100000000000001</v>
      </c>
      <c r="AE285">
        <v>47.5</v>
      </c>
      <c r="AF285">
        <v>2.44</v>
      </c>
      <c r="AG285">
        <v>1.86</v>
      </c>
      <c r="AH285">
        <v>56.76</v>
      </c>
      <c r="AI285">
        <v>15.79</v>
      </c>
      <c r="AJ285">
        <v>89.12</v>
      </c>
      <c r="AK285">
        <v>9.89</v>
      </c>
      <c r="AL285">
        <v>13.5</v>
      </c>
      <c r="AM285">
        <v>42.29</v>
      </c>
      <c r="AN285">
        <v>6.87</v>
      </c>
      <c r="AO285">
        <v>8.73</v>
      </c>
      <c r="AP285">
        <v>44.03</v>
      </c>
      <c r="AQ285">
        <v>1.75</v>
      </c>
      <c r="AR285">
        <v>1.51</v>
      </c>
      <c r="AS285">
        <v>53.57</v>
      </c>
      <c r="AT285">
        <v>25.42</v>
      </c>
      <c r="AU285">
        <v>82.67</v>
      </c>
      <c r="AV285">
        <v>17.690000000000001</v>
      </c>
      <c r="AW285">
        <v>15.48</v>
      </c>
      <c r="AX285">
        <v>53.33</v>
      </c>
      <c r="AY285">
        <v>8.61</v>
      </c>
      <c r="AZ285">
        <v>8.3800000000000008</v>
      </c>
      <c r="BA285">
        <v>50.68</v>
      </c>
      <c r="BB285">
        <v>0.7</v>
      </c>
      <c r="BC285">
        <v>0.35</v>
      </c>
      <c r="BD285">
        <v>66.67</v>
      </c>
      <c r="BE285">
        <v>8.11</v>
      </c>
      <c r="BF285">
        <v>95.83</v>
      </c>
      <c r="BG285">
        <v>23.39</v>
      </c>
      <c r="BH285">
        <v>25.72</v>
      </c>
      <c r="BI285">
        <v>47.63</v>
      </c>
      <c r="BJ285">
        <v>11.87</v>
      </c>
      <c r="BK285">
        <v>12.8</v>
      </c>
      <c r="BL285">
        <v>48.11</v>
      </c>
      <c r="BM285">
        <v>0.12</v>
      </c>
      <c r="BN285">
        <v>0.23</v>
      </c>
      <c r="BO285">
        <v>33.33</v>
      </c>
      <c r="BP285">
        <v>0.98</v>
      </c>
      <c r="BQ285">
        <v>98.18</v>
      </c>
      <c r="BR285">
        <v>9.35</v>
      </c>
      <c r="BS285">
        <v>92.65</v>
      </c>
      <c r="BT285">
        <v>1.02</v>
      </c>
    </row>
    <row r="286" spans="1:72" x14ac:dyDescent="0.35">
      <c r="A286">
        <v>31</v>
      </c>
      <c r="B286" t="s">
        <v>67</v>
      </c>
      <c r="C286">
        <v>10</v>
      </c>
      <c r="D286">
        <v>51.28</v>
      </c>
      <c r="E286">
        <v>6</v>
      </c>
      <c r="F286">
        <v>3</v>
      </c>
      <c r="G286">
        <v>1</v>
      </c>
      <c r="H286">
        <v>6</v>
      </c>
      <c r="I286">
        <v>13</v>
      </c>
      <c r="J286">
        <v>0.65</v>
      </c>
      <c r="K286">
        <v>56.31</v>
      </c>
      <c r="L286">
        <v>58.06</v>
      </c>
      <c r="M286">
        <v>49.24</v>
      </c>
      <c r="N286">
        <v>42.9</v>
      </c>
      <c r="O286">
        <v>43.72</v>
      </c>
      <c r="P286">
        <v>49.53</v>
      </c>
      <c r="Q286">
        <v>28.8</v>
      </c>
      <c r="R286">
        <v>30.66</v>
      </c>
      <c r="S286">
        <v>48.43</v>
      </c>
      <c r="T286">
        <v>2.68</v>
      </c>
      <c r="U286">
        <v>2.91</v>
      </c>
      <c r="V286">
        <v>47.92</v>
      </c>
      <c r="W286">
        <v>2.4500000000000002</v>
      </c>
      <c r="X286">
        <v>2.5499999999999998</v>
      </c>
      <c r="Y286">
        <v>48.93</v>
      </c>
      <c r="Z286">
        <v>25.18</v>
      </c>
      <c r="AA286">
        <v>24.37</v>
      </c>
      <c r="AB286">
        <v>50.82</v>
      </c>
      <c r="AC286">
        <v>13.87</v>
      </c>
      <c r="AD286">
        <v>15.04</v>
      </c>
      <c r="AE286">
        <v>47.98</v>
      </c>
      <c r="AF286">
        <v>1.75</v>
      </c>
      <c r="AG286">
        <v>2.1</v>
      </c>
      <c r="AH286">
        <v>45.45</v>
      </c>
      <c r="AI286">
        <v>12.61</v>
      </c>
      <c r="AJ286">
        <v>86.05</v>
      </c>
      <c r="AK286">
        <v>9.91</v>
      </c>
      <c r="AL286">
        <v>9.09</v>
      </c>
      <c r="AM286">
        <v>52.15</v>
      </c>
      <c r="AN286">
        <v>6.76</v>
      </c>
      <c r="AO286">
        <v>6.76</v>
      </c>
      <c r="AP286">
        <v>50</v>
      </c>
      <c r="AQ286">
        <v>1.17</v>
      </c>
      <c r="AR286">
        <v>1.17</v>
      </c>
      <c r="AS286">
        <v>50</v>
      </c>
      <c r="AT286">
        <v>17.239999999999998</v>
      </c>
      <c r="AU286">
        <v>82.76</v>
      </c>
      <c r="AV286">
        <v>15.27</v>
      </c>
      <c r="AW286">
        <v>15.27</v>
      </c>
      <c r="AX286">
        <v>50</v>
      </c>
      <c r="AY286">
        <v>7.11</v>
      </c>
      <c r="AZ286">
        <v>8.2799999999999994</v>
      </c>
      <c r="BA286">
        <v>46.21</v>
      </c>
      <c r="BB286">
        <v>0.57999999999999996</v>
      </c>
      <c r="BC286">
        <v>0.93</v>
      </c>
      <c r="BD286">
        <v>38.46</v>
      </c>
      <c r="BE286">
        <v>8.1999999999999993</v>
      </c>
      <c r="BF286">
        <v>88.73</v>
      </c>
      <c r="BG286">
        <v>26.58</v>
      </c>
      <c r="BH286">
        <v>27.75</v>
      </c>
      <c r="BI286">
        <v>48.93</v>
      </c>
      <c r="BJ286">
        <v>13.17</v>
      </c>
      <c r="BK286">
        <v>13.06</v>
      </c>
      <c r="BL286">
        <v>50.22</v>
      </c>
      <c r="BM286">
        <v>0.82</v>
      </c>
      <c r="BN286">
        <v>0.57999999999999996</v>
      </c>
      <c r="BO286">
        <v>58.33</v>
      </c>
      <c r="BP286">
        <v>6.19</v>
      </c>
      <c r="BQ286">
        <v>95.54</v>
      </c>
      <c r="BR286">
        <v>9.31</v>
      </c>
      <c r="BS286">
        <v>90.49</v>
      </c>
      <c r="BT286">
        <v>0.998</v>
      </c>
    </row>
    <row r="296" spans="4:4" x14ac:dyDescent="0.35">
      <c r="D296" s="56">
        <v>2.1333333333333333</v>
      </c>
    </row>
    <row r="297" spans="4:4" x14ac:dyDescent="0.35">
      <c r="D297" s="56">
        <v>2.161111111111111</v>
      </c>
    </row>
    <row r="298" spans="4:4" x14ac:dyDescent="0.35">
      <c r="D298" s="56">
        <v>2.1958333333333333</v>
      </c>
    </row>
    <row r="299" spans="4:4" x14ac:dyDescent="0.35">
      <c r="D299" s="56">
        <v>2.120138888888889</v>
      </c>
    </row>
    <row r="300" spans="4:4" x14ac:dyDescent="0.35">
      <c r="D300" s="56">
        <v>2.0479166666666666</v>
      </c>
    </row>
    <row r="301" spans="4:4" x14ac:dyDescent="0.35">
      <c r="D301" s="56">
        <v>2.2423611111111112</v>
      </c>
    </row>
    <row r="302" spans="4:4" x14ac:dyDescent="0.35">
      <c r="D302" s="56">
        <v>2.0618055555555554</v>
      </c>
    </row>
    <row r="303" spans="4:4" x14ac:dyDescent="0.35">
      <c r="D303" s="56">
        <v>2.1812499999999999</v>
      </c>
    </row>
    <row r="304" spans="4:4" x14ac:dyDescent="0.35">
      <c r="D304" s="56">
        <v>2.0868055555555558</v>
      </c>
    </row>
    <row r="305" spans="4:4" x14ac:dyDescent="0.35">
      <c r="D305" s="56">
        <v>2.0548611111111112</v>
      </c>
    </row>
    <row r="306" spans="4:4" x14ac:dyDescent="0.35">
      <c r="D306" s="56">
        <v>2.1270833333333332</v>
      </c>
    </row>
    <row r="307" spans="4:4" x14ac:dyDescent="0.35">
      <c r="D307" s="56">
        <v>2.1229166666666668</v>
      </c>
    </row>
    <row r="308" spans="4:4" x14ac:dyDescent="0.35">
      <c r="D308" s="56">
        <v>2.2375000000000003</v>
      </c>
    </row>
    <row r="309" spans="4:4" x14ac:dyDescent="0.35">
      <c r="D309" s="56">
        <v>2.1340277777777779</v>
      </c>
    </row>
    <row r="310" spans="4:4" x14ac:dyDescent="0.35">
      <c r="D310" s="56">
        <v>1.9576388888888889</v>
      </c>
    </row>
    <row r="311" spans="4:4" x14ac:dyDescent="0.35">
      <c r="D311" s="56">
        <v>2.1256944444444446</v>
      </c>
    </row>
    <row r="312" spans="4:4" x14ac:dyDescent="0.35">
      <c r="D312" s="56">
        <v>2.1555555555555554</v>
      </c>
    </row>
    <row r="313" spans="4:4" x14ac:dyDescent="0.35">
      <c r="D313" s="56">
        <v>2.0652777777777778</v>
      </c>
    </row>
    <row r="314" spans="4:4" x14ac:dyDescent="0.35">
      <c r="D314" s="56">
        <v>2.2673611111111112</v>
      </c>
    </row>
    <row r="315" spans="4:4" x14ac:dyDescent="0.35">
      <c r="D315" s="56">
        <v>2.0597222222222222</v>
      </c>
    </row>
    <row r="316" spans="4:4" x14ac:dyDescent="0.35">
      <c r="D316" s="56">
        <v>2.1493055555555558</v>
      </c>
    </row>
    <row r="317" spans="4:4" x14ac:dyDescent="0.35">
      <c r="D317" s="56">
        <v>2.0472222222222221</v>
      </c>
    </row>
    <row r="318" spans="4:4" x14ac:dyDescent="0.35">
      <c r="D318" s="56">
        <v>2.1930555555555555</v>
      </c>
    </row>
    <row r="319" spans="4:4" x14ac:dyDescent="0.35">
      <c r="D319" s="56">
        <v>2.0527777777777776</v>
      </c>
    </row>
    <row r="320" spans="4:4" x14ac:dyDescent="0.35">
      <c r="D320" s="56">
        <v>2.161111111111111</v>
      </c>
    </row>
    <row r="321" spans="4:4" x14ac:dyDescent="0.35">
      <c r="D321" s="56">
        <v>2.0222222222222221</v>
      </c>
    </row>
    <row r="322" spans="4:4" x14ac:dyDescent="0.35">
      <c r="D322" s="56">
        <v>2.1208333333333331</v>
      </c>
    </row>
    <row r="323" spans="4:4" x14ac:dyDescent="0.35">
      <c r="D323" t="s">
        <v>388</v>
      </c>
    </row>
    <row r="324" spans="4:4" x14ac:dyDescent="0.35">
      <c r="D324" s="56">
        <v>2.1291666666666669</v>
      </c>
    </row>
    <row r="325" spans="4:4" x14ac:dyDescent="0.35">
      <c r="D325" s="56">
        <v>2.1902777777777778</v>
      </c>
    </row>
    <row r="326" spans="4:4" x14ac:dyDescent="0.35">
      <c r="D326" s="56">
        <v>2.1444444444444444</v>
      </c>
    </row>
  </sheetData>
  <mergeCells count="6">
    <mergeCell ref="A142:M143"/>
    <mergeCell ref="A177:M178"/>
    <mergeCell ref="A2:M3"/>
    <mergeCell ref="A37:M38"/>
    <mergeCell ref="A72:M73"/>
    <mergeCell ref="A107:M108"/>
  </mergeCell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B85B-F6BC-43C9-97F4-F694DB28F5CB}">
  <sheetPr codeName="Sheet5"/>
  <dimension ref="A1:AZ1370"/>
  <sheetViews>
    <sheetView topLeftCell="A15" zoomScale="55" workbookViewId="0">
      <selection activeCell="K45" sqref="K45"/>
    </sheetView>
  </sheetViews>
  <sheetFormatPr defaultColWidth="8.7265625" defaultRowHeight="14.5" x14ac:dyDescent="0.35"/>
  <cols>
    <col min="1" max="1" width="19.7265625" bestFit="1" customWidth="1"/>
    <col min="2" max="2" width="17.90625" bestFit="1" customWidth="1"/>
    <col min="3" max="3" width="13.90625" bestFit="1" customWidth="1"/>
    <col min="4" max="4" width="16" bestFit="1" customWidth="1"/>
    <col min="5" max="5" width="16.54296875" bestFit="1" customWidth="1"/>
    <col min="7" max="7" width="12.81640625" bestFit="1" customWidth="1"/>
    <col min="8" max="8" width="16.6328125" bestFit="1" customWidth="1"/>
    <col min="9" max="9" width="17.36328125" bestFit="1" customWidth="1"/>
    <col min="10" max="10" width="9.81640625" customWidth="1"/>
    <col min="11" max="11" width="9.54296875" bestFit="1" customWidth="1"/>
    <col min="12" max="12" width="8.81640625" bestFit="1" customWidth="1"/>
    <col min="13" max="13" width="14.08984375" bestFit="1" customWidth="1"/>
    <col min="14" max="14" width="12.36328125" bestFit="1" customWidth="1"/>
    <col min="15" max="15" width="20" bestFit="1" customWidth="1"/>
    <col min="16" max="16" width="9.54296875" bestFit="1" customWidth="1"/>
    <col min="17" max="17" width="12.81640625" bestFit="1" customWidth="1"/>
    <col min="18" max="18" width="14.08984375" bestFit="1" customWidth="1"/>
    <col min="19" max="19" width="9.81640625" bestFit="1" customWidth="1"/>
    <col min="20" max="20" width="13.54296875" bestFit="1" customWidth="1"/>
    <col min="21" max="21" width="10.453125" bestFit="1" customWidth="1"/>
    <col min="22" max="22" width="5.81640625" bestFit="1" customWidth="1"/>
    <col min="23" max="23" width="8.81640625" bestFit="1" customWidth="1"/>
    <col min="24" max="24" width="11.81640625" bestFit="1" customWidth="1"/>
    <col min="25" max="30" width="8.81640625" bestFit="1" customWidth="1"/>
  </cols>
  <sheetData>
    <row r="1" spans="1:9" x14ac:dyDescent="0.35">
      <c r="A1" s="73" t="s">
        <v>128</v>
      </c>
      <c r="B1" s="73"/>
      <c r="C1" s="73"/>
      <c r="D1" s="73"/>
      <c r="E1" s="73"/>
      <c r="F1" s="79" t="s">
        <v>131</v>
      </c>
      <c r="G1" s="79"/>
      <c r="H1" s="79"/>
      <c r="I1" s="79"/>
    </row>
    <row r="2" spans="1:9" x14ac:dyDescent="0.35">
      <c r="A2" s="7" t="s">
        <v>0</v>
      </c>
      <c r="B2" s="7" t="s">
        <v>12</v>
      </c>
      <c r="C2" s="7" t="s">
        <v>13</v>
      </c>
      <c r="D2" s="7" t="s">
        <v>129</v>
      </c>
      <c r="E2" s="7" t="s">
        <v>130</v>
      </c>
      <c r="F2" s="14" t="s">
        <v>12</v>
      </c>
      <c r="G2" s="14" t="s">
        <v>13</v>
      </c>
      <c r="H2" s="14" t="s">
        <v>129</v>
      </c>
      <c r="I2" s="14" t="s">
        <v>130</v>
      </c>
    </row>
    <row r="3" spans="1:9" x14ac:dyDescent="0.35">
      <c r="A3" t="str" cm="1">
        <f t="array" ref="A3:A33">Table_0__3[Team]</f>
        <v>Anaheim Ducks</v>
      </c>
      <c r="B3">
        <f>VLOOKUP(A3,'Expected Goals For '!$A$7:$L$37,12,FALSE)</f>
        <v>1.7940260316247714</v>
      </c>
      <c r="C3">
        <f>VLOOKUP(Backtest!A3,'Expected Goals Against'!$N$7:$AA$37,14,FALSE)</f>
        <v>4.3041794656679979</v>
      </c>
      <c r="D3">
        <f>B3/$B$34</f>
        <v>0.78396436415397919</v>
      </c>
      <c r="E3">
        <f>C3/$C$34</f>
        <v>1.5685775091338168</v>
      </c>
      <c r="F3">
        <f>VLOOKUP(Backtest!A3,'Expected Goals For '!$M$48:$Y$78,13,FALSE)</f>
        <v>2.6707448989122087</v>
      </c>
      <c r="G3">
        <f>VLOOKUP(A3,'Expected Goals Against'!$N$48:$AA$78,14,FALSE)</f>
        <v>3.3341041545371906</v>
      </c>
      <c r="H3">
        <f>F3/$F$34</f>
        <v>0.97628988692260876</v>
      </c>
      <c r="I3">
        <f>G3/$G$34</f>
        <v>1.1616578656274457</v>
      </c>
    </row>
    <row r="4" spans="1:9" ht="14.5" customHeight="1" x14ac:dyDescent="0.35">
      <c r="A4" t="str">
        <v>Arizona Coyotes</v>
      </c>
      <c r="B4">
        <f>VLOOKUP(A4,'Expected Goals For '!$A$7:$L$37,12,FALSE)</f>
        <v>2.0456599022179311</v>
      </c>
      <c r="C4">
        <f>VLOOKUP(Backtest!A4,'Expected Goals Against'!$N$7:$AA$37,14,FALSE)</f>
        <v>3.5963576744582588</v>
      </c>
      <c r="D4">
        <f t="shared" ref="D4:D33" si="0">B4/$B$34</f>
        <v>0.89392485741421945</v>
      </c>
      <c r="E4">
        <f t="shared" ref="E4:E33" si="1">C4/$C$34</f>
        <v>1.3106251279604872</v>
      </c>
      <c r="F4">
        <f>VLOOKUP(Backtest!A4,'Expected Goals For '!$M$48:$Y$78,13,FALSE)</f>
        <v>2.0862155940208713</v>
      </c>
      <c r="G4">
        <f>VLOOKUP(A4,'Expected Goals Against'!$N$48:$AA$78,14,FALSE)</f>
        <v>2.5149390498556068</v>
      </c>
      <c r="H4">
        <f t="shared" ref="H4:H33" si="2">F4/$F$34</f>
        <v>0.76261539887706453</v>
      </c>
      <c r="I4">
        <f t="shared" ref="I4:I33" si="3">G4/$G$34</f>
        <v>0.87624698972366555</v>
      </c>
    </row>
    <row r="5" spans="1:9" x14ac:dyDescent="0.35">
      <c r="A5" t="str">
        <v>Boston Bruins</v>
      </c>
      <c r="B5">
        <f>VLOOKUP(A5,'Expected Goals For '!$A$7:$L$37,12,FALSE)</f>
        <v>2.1432316014108306</v>
      </c>
      <c r="C5">
        <f>VLOOKUP(Backtest!A5,'Expected Goals Against'!$N$7:$AA$37,14,FALSE)</f>
        <v>1.6173383778329986</v>
      </c>
      <c r="D5">
        <f t="shared" si="0"/>
        <v>0.93656232965195985</v>
      </c>
      <c r="E5">
        <f t="shared" si="1"/>
        <v>0.58940864904992729</v>
      </c>
      <c r="F5">
        <f>VLOOKUP(Backtest!A5,'Expected Goals For '!$M$48:$Y$78,13,FALSE)</f>
        <v>2.0776890307378002</v>
      </c>
      <c r="G5">
        <f>VLOOKUP(A5,'Expected Goals Against'!$N$48:$AA$78,14,FALSE)</f>
        <v>2.4446811405403941</v>
      </c>
      <c r="H5">
        <f t="shared" si="2"/>
        <v>0.7594985165769772</v>
      </c>
      <c r="I5">
        <f t="shared" si="3"/>
        <v>0.85176795451791454</v>
      </c>
    </row>
    <row r="6" spans="1:9" x14ac:dyDescent="0.35">
      <c r="A6" t="str">
        <v>Buffalo Sabres</v>
      </c>
      <c r="B6">
        <f>VLOOKUP(A6,'Expected Goals For '!$A$7:$L$37,12,FALSE)</f>
        <v>0.22325523552971049</v>
      </c>
      <c r="C6">
        <f>VLOOKUP(Backtest!A6,'Expected Goals Against'!$N$7:$AA$37,14,FALSE)</f>
        <v>3.8722673508138792</v>
      </c>
      <c r="D6">
        <f t="shared" si="0"/>
        <v>9.7559425382241868E-2</v>
      </c>
      <c r="E6">
        <f t="shared" si="1"/>
        <v>1.4111752366016124</v>
      </c>
      <c r="F6">
        <f>VLOOKUP(Backtest!A6,'Expected Goals For '!$M$48:$Y$78,13,FALSE)</f>
        <v>2.4252026384467067</v>
      </c>
      <c r="G6">
        <f>VLOOKUP(A6,'Expected Goals Against'!$N$48:$AA$78,14,FALSE)</f>
        <v>3.8231100432920386</v>
      </c>
      <c r="H6">
        <f t="shared" si="2"/>
        <v>0.88653199735321386</v>
      </c>
      <c r="I6">
        <f t="shared" si="3"/>
        <v>1.3320357274699355</v>
      </c>
    </row>
    <row r="7" spans="1:9" x14ac:dyDescent="0.35">
      <c r="A7" t="str">
        <v>Carolina Hurricanes</v>
      </c>
      <c r="B7">
        <f>VLOOKUP(A7,'Expected Goals For '!$A$7:$L$37,12,FALSE)</f>
        <v>2.1809480899039904</v>
      </c>
      <c r="C7">
        <f>VLOOKUP(Backtest!A7,'Expected Goals Against'!$N$7:$AA$37,14,FALSE)</f>
        <v>2.3471529328943115</v>
      </c>
      <c r="D7">
        <f t="shared" si="0"/>
        <v>0.95304390929374583</v>
      </c>
      <c r="E7">
        <f t="shared" si="1"/>
        <v>0.85537588067650483</v>
      </c>
      <c r="F7">
        <f>VLOOKUP(Backtest!A7,'Expected Goals For '!$M$48:$Y$78,13,FALSE)</f>
        <v>2.3100987281045291</v>
      </c>
      <c r="G7">
        <f>VLOOKUP(A7,'Expected Goals Against'!$N$48:$AA$78,14,FALSE)</f>
        <v>2.4151808586451748</v>
      </c>
      <c r="H7">
        <f t="shared" si="2"/>
        <v>0.84445580218456084</v>
      </c>
      <c r="I7">
        <f t="shared" si="3"/>
        <v>0.84148956100846961</v>
      </c>
    </row>
    <row r="8" spans="1:9" x14ac:dyDescent="0.35">
      <c r="A8" t="str">
        <v>Columbus Blue Jackets</v>
      </c>
      <c r="B8">
        <f>VLOOKUP(A8,'Expected Goals For '!$A$7:$L$37,12,FALSE)</f>
        <v>1.8560269792809214</v>
      </c>
      <c r="C8">
        <f>VLOOKUP(Backtest!A8,'Expected Goals Against'!$N$7:$AA$37,14,FALSE)</f>
        <v>2.8264006091396707</v>
      </c>
      <c r="D8">
        <f t="shared" si="0"/>
        <v>0.81105791388479165</v>
      </c>
      <c r="E8">
        <f t="shared" si="1"/>
        <v>1.0300287110845527</v>
      </c>
      <c r="F8">
        <f>VLOOKUP(Backtest!A8,'Expected Goals For '!$M$48:$Y$78,13,FALSE)</f>
        <v>2.0913621142528775</v>
      </c>
      <c r="G8">
        <f>VLOOKUP(A8,'Expected Goals Against'!$N$48:$AA$78,14,FALSE)</f>
        <v>3.1484695431844369</v>
      </c>
      <c r="H8">
        <f t="shared" si="2"/>
        <v>0.76449670759262056</v>
      </c>
      <c r="I8">
        <f t="shared" si="3"/>
        <v>1.0969796503061988</v>
      </c>
    </row>
    <row r="9" spans="1:9" x14ac:dyDescent="0.35">
      <c r="A9" t="str">
        <v>Calgary Flames</v>
      </c>
      <c r="B9">
        <f>VLOOKUP(A9,'Expected Goals For '!$A$7:$L$37,12,FALSE)</f>
        <v>2.853448128881515</v>
      </c>
      <c r="C9">
        <f>VLOOKUP(Backtest!A9,'Expected Goals Against'!$N$7:$AA$37,14,FALSE)</f>
        <v>3.1797561642946777</v>
      </c>
      <c r="D9">
        <f t="shared" si="0"/>
        <v>1.24691705057312</v>
      </c>
      <c r="E9">
        <f t="shared" si="1"/>
        <v>1.1588025182560939</v>
      </c>
      <c r="F9">
        <f>VLOOKUP(Backtest!A9,'Expected Goals For '!$M$48:$Y$78,13,FALSE)</f>
        <v>1.9080342502208001</v>
      </c>
      <c r="G9">
        <f>VLOOKUP(A9,'Expected Goals Against'!$N$48:$AA$78,14,FALSE)</f>
        <v>2.8198072188351442</v>
      </c>
      <c r="H9">
        <f t="shared" si="2"/>
        <v>0.69748126942084343</v>
      </c>
      <c r="I9">
        <f t="shared" si="3"/>
        <v>0.98246817840266076</v>
      </c>
    </row>
    <row r="10" spans="1:9" x14ac:dyDescent="0.35">
      <c r="A10" t="str">
        <v>Chicago Blackhawks</v>
      </c>
      <c r="B10">
        <f>VLOOKUP(A10,'Expected Goals For '!$A$7:$L$37,12,FALSE)</f>
        <v>2.8302417178978843</v>
      </c>
      <c r="C10">
        <f>VLOOKUP(Backtest!A10,'Expected Goals Against'!$N$7:$AA$37,14,FALSE)</f>
        <v>3.4490515545566263</v>
      </c>
      <c r="D10">
        <f t="shared" si="0"/>
        <v>1.2367761725087134</v>
      </c>
      <c r="E10">
        <f t="shared" si="1"/>
        <v>1.2569421743386615</v>
      </c>
      <c r="F10">
        <f>VLOOKUP(Backtest!A10,'Expected Goals For '!$M$48:$Y$78,13,FALSE)</f>
        <v>2.4717788947943005</v>
      </c>
      <c r="G10">
        <f>VLOOKUP(A10,'Expected Goals Against'!$N$48:$AA$78,14,FALSE)</f>
        <v>3.4622467304818167</v>
      </c>
      <c r="H10">
        <f t="shared" si="2"/>
        <v>0.90355793197594458</v>
      </c>
      <c r="I10">
        <f t="shared" si="3"/>
        <v>1.2063048905457479</v>
      </c>
    </row>
    <row r="11" spans="1:9" x14ac:dyDescent="0.35">
      <c r="A11" t="str">
        <v>Colorado Avalanche</v>
      </c>
      <c r="B11">
        <f>VLOOKUP(A11,'Expected Goals For '!$A$7:$L$37,12,FALSE)</f>
        <v>3.0518224423874369</v>
      </c>
      <c r="C11">
        <f>VLOOKUP(Backtest!A11,'Expected Goals Against'!$N$7:$AA$37,14,FALSE)</f>
        <v>2.1680906528843376</v>
      </c>
      <c r="D11">
        <f t="shared" si="0"/>
        <v>1.3336038599118372</v>
      </c>
      <c r="E11">
        <f t="shared" si="1"/>
        <v>0.79011998988518617</v>
      </c>
      <c r="F11">
        <f>VLOOKUP(Backtest!A11,'Expected Goals For '!$M$48:$Y$78,13,FALSE)</f>
        <v>3.5206665259470453</v>
      </c>
      <c r="G11">
        <f>VLOOKUP(A11,'Expected Goals Against'!$N$48:$AA$78,14,FALSE)</f>
        <v>2.4383082695593958</v>
      </c>
      <c r="H11">
        <f t="shared" si="2"/>
        <v>1.2869784478139483</v>
      </c>
      <c r="I11">
        <f t="shared" si="3"/>
        <v>0.84954753927034909</v>
      </c>
    </row>
    <row r="12" spans="1:9" x14ac:dyDescent="0.35">
      <c r="A12" t="str">
        <v>Dallas Stars</v>
      </c>
      <c r="B12">
        <f>VLOOKUP(A12,'Expected Goals For '!$A$7:$L$37,12,FALSE)</f>
        <v>2.1184684780114913</v>
      </c>
      <c r="C12">
        <f>VLOOKUP(Backtest!A12,'Expected Goals Against'!$N$7:$AA$37,14,FALSE)</f>
        <v>2.3095124585843898</v>
      </c>
      <c r="D12">
        <f t="shared" si="0"/>
        <v>0.92574118996501353</v>
      </c>
      <c r="E12">
        <f t="shared" si="1"/>
        <v>0.84165851551861193</v>
      </c>
      <c r="F12">
        <f>VLOOKUP(Backtest!A12,'Expected Goals For '!$M$48:$Y$78,13,FALSE)</f>
        <v>2.4283736761758106</v>
      </c>
      <c r="G12">
        <f>VLOOKUP(A12,'Expected Goals Against'!$N$48:$AA$78,14,FALSE)</f>
        <v>2.5513293131536599</v>
      </c>
      <c r="H12">
        <f t="shared" si="2"/>
        <v>0.88769116911358492</v>
      </c>
      <c r="I12">
        <f t="shared" si="3"/>
        <v>0.88892596843370675</v>
      </c>
    </row>
    <row r="13" spans="1:9" x14ac:dyDescent="0.35">
      <c r="A13" t="str">
        <v>Detroit Red Wings</v>
      </c>
      <c r="B13">
        <f>VLOOKUP(A13,'Expected Goals For '!$A$7:$L$37,12,FALSE)</f>
        <v>2.3574062062890615</v>
      </c>
      <c r="C13">
        <f>VLOOKUP(Backtest!A13,'Expected Goals Against'!$N$7:$AA$37,14,FALSE)</f>
        <v>2.7360925692003968</v>
      </c>
      <c r="D13">
        <f t="shared" si="0"/>
        <v>1.0301536460383935</v>
      </c>
      <c r="E13">
        <f t="shared" si="1"/>
        <v>0.99711763907359074</v>
      </c>
      <c r="F13">
        <f>VLOOKUP(Backtest!A13,'Expected Goals For '!$M$48:$Y$78,13,FALSE)</f>
        <v>2.2341796472359059</v>
      </c>
      <c r="G13">
        <f>VLOOKUP(A13,'Expected Goals Against'!$N$48:$AA$78,14,FALSE)</f>
        <v>3.1708168002045238</v>
      </c>
      <c r="H13">
        <f t="shared" si="2"/>
        <v>0.81670360806572717</v>
      </c>
      <c r="I13">
        <f t="shared" si="3"/>
        <v>1.1047658098529107</v>
      </c>
    </row>
    <row r="14" spans="1:9" x14ac:dyDescent="0.35">
      <c r="A14" t="str">
        <v>Edmonton Oilers</v>
      </c>
      <c r="B14">
        <f>VLOOKUP(A14,'Expected Goals For '!$A$7:$L$37,12,FALSE)</f>
        <v>2.5971299108819679</v>
      </c>
      <c r="C14">
        <f>VLOOKUP(Backtest!A14,'Expected Goals Against'!$N$7:$AA$37,14,FALSE)</f>
        <v>2.4122837905055565</v>
      </c>
      <c r="D14">
        <f t="shared" si="0"/>
        <v>1.1349095628037762</v>
      </c>
      <c r="E14">
        <f t="shared" si="1"/>
        <v>0.87911160062370752</v>
      </c>
      <c r="F14">
        <f>VLOOKUP(Backtest!A14,'Expected Goals For '!$M$48:$Y$78,13,FALSE)</f>
        <v>3.1143255849339524</v>
      </c>
      <c r="G14">
        <f>VLOOKUP(A14,'Expected Goals Against'!$N$48:$AA$78,14,FALSE)</f>
        <v>2.2070131713649115</v>
      </c>
      <c r="H14">
        <f t="shared" si="2"/>
        <v>1.1384406554118072</v>
      </c>
      <c r="I14">
        <f t="shared" si="3"/>
        <v>0.76896044371334438</v>
      </c>
    </row>
    <row r="15" spans="1:9" x14ac:dyDescent="0.35">
      <c r="A15" t="str">
        <v>Florida Panthers</v>
      </c>
      <c r="B15">
        <f>VLOOKUP(A15,'Expected Goals For '!$A$7:$L$37,12,FALSE)</f>
        <v>2.1774948175525273</v>
      </c>
      <c r="C15">
        <f>VLOOKUP(Backtest!A15,'Expected Goals Against'!$N$7:$AA$37,14,FALSE)</f>
        <v>2.5270181847740032</v>
      </c>
      <c r="D15">
        <f t="shared" si="0"/>
        <v>0.95153487742043819</v>
      </c>
      <c r="E15">
        <f t="shared" si="1"/>
        <v>0.92092439951118288</v>
      </c>
      <c r="F15">
        <f>VLOOKUP(Backtest!A15,'Expected Goals For '!$M$48:$Y$78,13,FALSE)</f>
        <v>3.7696153090321278</v>
      </c>
      <c r="G15">
        <f>VLOOKUP(A15,'Expected Goals Against'!$N$48:$AA$78,14,FALSE)</f>
        <v>2.9648752992933276</v>
      </c>
      <c r="H15">
        <f t="shared" si="2"/>
        <v>1.3779815905651145</v>
      </c>
      <c r="I15">
        <f t="shared" si="3"/>
        <v>1.0330123332654881</v>
      </c>
    </row>
    <row r="16" spans="1:9" x14ac:dyDescent="0.35">
      <c r="A16" t="str">
        <v>Los Angeles Kings</v>
      </c>
      <c r="B16">
        <f>VLOOKUP(A16,'Expected Goals For '!$A$7:$L$37,12,FALSE)</f>
        <v>2.1166638340488233</v>
      </c>
      <c r="C16">
        <f>VLOOKUP(Backtest!A16,'Expected Goals Against'!$N$7:$AA$37,14,FALSE)</f>
        <v>2.2506091424364878</v>
      </c>
      <c r="D16">
        <f t="shared" si="0"/>
        <v>0.92495258571302508</v>
      </c>
      <c r="E16">
        <f t="shared" si="1"/>
        <v>0.8201923063003449</v>
      </c>
      <c r="F16">
        <f>VLOOKUP(Backtest!A16,'Expected Goals For '!$M$48:$Y$78,13,FALSE)</f>
        <v>2.3128499028332552</v>
      </c>
      <c r="G16">
        <f>VLOOKUP(A16,'Expected Goals Against'!$N$48:$AA$78,14,FALSE)</f>
        <v>2.7732852815421225</v>
      </c>
      <c r="H16">
        <f t="shared" si="2"/>
        <v>0.84546149316834085</v>
      </c>
      <c r="I16">
        <f t="shared" si="3"/>
        <v>0.96625915436628751</v>
      </c>
    </row>
    <row r="17" spans="1:52" x14ac:dyDescent="0.35">
      <c r="A17" t="str">
        <v>Minnesota Wild</v>
      </c>
      <c r="B17">
        <f>VLOOKUP(A17,'Expected Goals For '!$A$7:$L$37,12,FALSE)</f>
        <v>2.9202423685537018</v>
      </c>
      <c r="C17">
        <f>VLOOKUP(Backtest!A17,'Expected Goals Against'!$N$7:$AA$37,14,FALSE)</f>
        <v>1.3719515469650347</v>
      </c>
      <c r="D17">
        <f t="shared" si="0"/>
        <v>1.2761052020885861</v>
      </c>
      <c r="E17">
        <f t="shared" si="1"/>
        <v>0.49998201918764879</v>
      </c>
      <c r="F17">
        <f>VLOOKUP(Backtest!A17,'Expected Goals For '!$M$48:$Y$78,13,FALSE)</f>
        <v>3.2431950313197477</v>
      </c>
      <c r="G17">
        <f>VLOOKUP(A17,'Expected Goals Against'!$N$48:$AA$78,14,FALSE)</f>
        <v>3.3857502754861968</v>
      </c>
      <c r="H17">
        <f t="shared" si="2"/>
        <v>1.1855488375863801</v>
      </c>
      <c r="I17">
        <f t="shared" si="3"/>
        <v>1.179652241282422</v>
      </c>
    </row>
    <row r="18" spans="1:52" x14ac:dyDescent="0.35">
      <c r="A18" t="str">
        <v>Montreal Canadiens</v>
      </c>
      <c r="B18">
        <f>VLOOKUP(A18,'Expected Goals For '!$A$7:$L$37,12,FALSE)</f>
        <v>2.4390727929326244</v>
      </c>
      <c r="C18">
        <f>VLOOKUP(Backtest!A18,'Expected Goals Against'!$N$7:$AA$37,14,FALSE)</f>
        <v>3.1374022304010469</v>
      </c>
      <c r="D18">
        <f t="shared" si="0"/>
        <v>1.0658408058354356</v>
      </c>
      <c r="E18">
        <f t="shared" si="1"/>
        <v>1.1433674211234564</v>
      </c>
      <c r="F18">
        <f>VLOOKUP(Backtest!A18,'Expected Goals For '!$M$48:$Y$78,13,FALSE)</f>
        <v>2.5244620769706536</v>
      </c>
      <c r="G18">
        <f>VLOOKUP(A18,'Expected Goals Against'!$N$48:$AA$78,14,FALSE)</f>
        <v>2.7172927177773958</v>
      </c>
      <c r="H18">
        <f t="shared" si="2"/>
        <v>0.92281625125257194</v>
      </c>
      <c r="I18">
        <f t="shared" si="3"/>
        <v>0.94675040505939312</v>
      </c>
    </row>
    <row r="19" spans="1:52" x14ac:dyDescent="0.35">
      <c r="A19" t="str">
        <v>New Jersey Devils</v>
      </c>
      <c r="B19">
        <f>VLOOKUP(A19,'Expected Goals For '!$A$7:$L$37,12,FALSE)</f>
        <v>1.6711611905928698</v>
      </c>
      <c r="C19">
        <f>VLOOKUP(Backtest!A19,'Expected Goals Against'!$N$7:$AA$37,14,FALSE)</f>
        <v>3.4562924022857535</v>
      </c>
      <c r="D19">
        <f t="shared" si="0"/>
        <v>0.73027414156048653</v>
      </c>
      <c r="E19">
        <f t="shared" si="1"/>
        <v>1.2595809655381378</v>
      </c>
      <c r="F19">
        <f>VLOOKUP(Backtest!A19,'Expected Goals For '!$M$48:$Y$78,13,FALSE)</f>
        <v>3.3053902418655641</v>
      </c>
      <c r="G19">
        <f>VLOOKUP(A19,'Expected Goals Against'!$N$48:$AA$78,14,FALSE)</f>
        <v>2.8381515259267354</v>
      </c>
      <c r="H19">
        <f t="shared" si="2"/>
        <v>1.2082842755893262</v>
      </c>
      <c r="I19">
        <f t="shared" si="3"/>
        <v>0.98885964298646301</v>
      </c>
    </row>
    <row r="20" spans="1:52" x14ac:dyDescent="0.35">
      <c r="A20" t="str">
        <v>Nashville Predators</v>
      </c>
      <c r="B20">
        <f>VLOOKUP(A20,'Expected Goals For '!$A$7:$L$37,12,FALSE)</f>
        <v>1.5713819435706682</v>
      </c>
      <c r="C20">
        <f>VLOOKUP(Backtest!A20,'Expected Goals Against'!$N$7:$AA$37,14,FALSE)</f>
        <v>3.3094608167417601</v>
      </c>
      <c r="D20">
        <f t="shared" si="0"/>
        <v>0.68667200169817932</v>
      </c>
      <c r="E20">
        <f t="shared" si="1"/>
        <v>1.2060709470661219</v>
      </c>
      <c r="F20">
        <f>VLOOKUP(Backtest!A20,'Expected Goals For '!$M$48:$Y$78,13,FALSE)</f>
        <v>1.9801906165877423</v>
      </c>
      <c r="G20">
        <f>VLOOKUP(A20,'Expected Goals Against'!$N$48:$AA$78,14,FALSE)</f>
        <v>2.8276425540056378</v>
      </c>
      <c r="H20">
        <f t="shared" si="2"/>
        <v>0.72385800453688565</v>
      </c>
      <c r="I20">
        <f t="shared" si="3"/>
        <v>0.98519814072799639</v>
      </c>
    </row>
    <row r="21" spans="1:52" x14ac:dyDescent="0.35">
      <c r="A21" t="str">
        <v>New York Islanders</v>
      </c>
      <c r="B21">
        <f>VLOOKUP(A21,'Expected Goals For '!$A$7:$L$37,12,FALSE)</f>
        <v>3.7644209153410224</v>
      </c>
      <c r="C21">
        <f>VLOOKUP(Backtest!A21,'Expected Goals Against'!$N$7:$AA$37,14,FALSE)</f>
        <v>2.1346039838901358</v>
      </c>
      <c r="D21">
        <f t="shared" si="0"/>
        <v>1.6449994578007974</v>
      </c>
      <c r="E21">
        <f t="shared" si="1"/>
        <v>0.77791640119677596</v>
      </c>
      <c r="F21">
        <f>VLOOKUP(Backtest!A21,'Expected Goals For '!$M$48:$Y$78,13,FALSE)</f>
        <v>2.1516601903343107</v>
      </c>
      <c r="G21">
        <f>VLOOKUP(A21,'Expected Goals Against'!$N$48:$AA$78,14,FALSE)</f>
        <v>1.6909943317361218</v>
      </c>
      <c r="H21">
        <f t="shared" si="2"/>
        <v>0.78653864873914126</v>
      </c>
      <c r="I21">
        <f t="shared" si="3"/>
        <v>0.58917081625044965</v>
      </c>
    </row>
    <row r="22" spans="1:52" x14ac:dyDescent="0.35">
      <c r="A22" t="str">
        <v>New York Rangers</v>
      </c>
      <c r="B22">
        <f>VLOOKUP(A22,'Expected Goals For '!$A$7:$L$37,12,FALSE)</f>
        <v>2.7749314469910931</v>
      </c>
      <c r="C22">
        <f>VLOOKUP(Backtest!A22,'Expected Goals Against'!$N$7:$AA$37,14,FALSE)</f>
        <v>2.4896174817614001</v>
      </c>
      <c r="D22">
        <f t="shared" si="0"/>
        <v>1.2126063552383606</v>
      </c>
      <c r="E22">
        <f t="shared" si="1"/>
        <v>0.90729441450723325</v>
      </c>
      <c r="F22">
        <f>VLOOKUP(Backtest!A22,'Expected Goals For '!$M$48:$Y$78,13,FALSE)</f>
        <v>2.9012524134188329</v>
      </c>
      <c r="G22">
        <f>VLOOKUP(A22,'Expected Goals Against'!$N$48:$AA$78,14,FALSE)</f>
        <v>2.3640558618697551</v>
      </c>
      <c r="H22">
        <f t="shared" si="2"/>
        <v>1.0605518302344328</v>
      </c>
      <c r="I22">
        <f t="shared" si="3"/>
        <v>0.82367675376502347</v>
      </c>
      <c r="AP22" t="str">
        <f>B42</f>
        <v>Arizona Coyotes</v>
      </c>
    </row>
    <row r="23" spans="1:52" x14ac:dyDescent="0.35">
      <c r="A23" t="str">
        <v>Ottawa Senators</v>
      </c>
      <c r="B23">
        <f>VLOOKUP(A23,'Expected Goals For '!$A$7:$L$37,12,FALSE)</f>
        <v>2.7402716941740319</v>
      </c>
      <c r="C23">
        <f>VLOOKUP(Backtest!A23,'Expected Goals Against'!$N$7:$AA$37,14,FALSE)</f>
        <v>2.3020482306942158</v>
      </c>
      <c r="D23">
        <f t="shared" si="0"/>
        <v>1.1974605264711198</v>
      </c>
      <c r="E23">
        <f t="shared" si="1"/>
        <v>0.83893831760749638</v>
      </c>
      <c r="F23">
        <f>VLOOKUP(Backtest!A23,'Expected Goals For '!$M$48:$Y$78,13,FALSE)</f>
        <v>2.2842568747974301</v>
      </c>
      <c r="G23">
        <f>VLOOKUP(A23,'Expected Goals Against'!$N$48:$AA$78,14,FALSE)</f>
        <v>4.2961982597084685</v>
      </c>
      <c r="H23">
        <f t="shared" si="2"/>
        <v>0.83500932152168128</v>
      </c>
      <c r="I23">
        <f t="shared" si="3"/>
        <v>1.496867605018791</v>
      </c>
      <c r="AP23" t="s">
        <v>134</v>
      </c>
    </row>
    <row r="24" spans="1:52" x14ac:dyDescent="0.35">
      <c r="A24" t="str">
        <v>Philadelphia Flyers</v>
      </c>
      <c r="B24">
        <f>VLOOKUP(A24,'Expected Goals For '!$A$7:$L$37,12,FALSE)</f>
        <v>1.9068108422174372</v>
      </c>
      <c r="C24">
        <f>VLOOKUP(Backtest!A24,'Expected Goals Against'!$N$7:$AA$37,14,FALSE)</f>
        <v>3.3767300944645595</v>
      </c>
      <c r="D24">
        <f t="shared" si="0"/>
        <v>0.83324975397768697</v>
      </c>
      <c r="E24">
        <f t="shared" si="1"/>
        <v>1.2305859741307017</v>
      </c>
      <c r="F24">
        <f>VLOOKUP(Backtest!A24,'Expected Goals For '!$M$48:$Y$78,13,FALSE)</f>
        <v>2.8425998530705936</v>
      </c>
      <c r="G24">
        <f>VLOOKUP(A24,'Expected Goals Against'!$N$48:$AA$78,14,FALSE)</f>
        <v>4.1996222267396615</v>
      </c>
      <c r="H24">
        <f t="shared" si="2"/>
        <v>1.0391114068029674</v>
      </c>
      <c r="I24">
        <f t="shared" si="3"/>
        <v>1.4632188936620569</v>
      </c>
      <c r="AP24">
        <v>0</v>
      </c>
      <c r="AQ24">
        <v>1</v>
      </c>
      <c r="AR24">
        <v>2</v>
      </c>
      <c r="AS24">
        <v>3</v>
      </c>
      <c r="AT24">
        <v>4</v>
      </c>
      <c r="AU24">
        <v>5</v>
      </c>
      <c r="AV24">
        <v>6</v>
      </c>
      <c r="AW24">
        <v>7</v>
      </c>
      <c r="AX24">
        <v>8</v>
      </c>
      <c r="AY24">
        <v>9</v>
      </c>
      <c r="AZ24">
        <v>10</v>
      </c>
    </row>
    <row r="25" spans="1:52" ht="76" x14ac:dyDescent="0.35">
      <c r="A25" t="str">
        <v>Pittsburgh Penguins</v>
      </c>
      <c r="B25">
        <f>VLOOKUP(A25,'Expected Goals For '!$A$7:$L$37,12,FALSE)</f>
        <v>2.8827841801349967</v>
      </c>
      <c r="C25">
        <f>VLOOKUP(Backtest!A25,'Expected Goals Against'!$N$7:$AA$37,14,FALSE)</f>
        <v>2.0462670006335264</v>
      </c>
      <c r="D25">
        <f t="shared" si="0"/>
        <v>1.25973649597821</v>
      </c>
      <c r="E25">
        <f t="shared" si="1"/>
        <v>0.74572364383935397</v>
      </c>
      <c r="F25">
        <f>VLOOKUP(Backtest!A25,'Expected Goals For '!$M$48:$Y$78,13,FALSE)</f>
        <v>2.7310285326492432</v>
      </c>
      <c r="G25">
        <f>VLOOKUP(A25,'Expected Goals Against'!$N$48:$AA$78,14,FALSE)</f>
        <v>2.6337311103124152</v>
      </c>
      <c r="H25">
        <f t="shared" si="2"/>
        <v>0.99832654867506021</v>
      </c>
      <c r="I25">
        <f t="shared" si="3"/>
        <v>0.91763613805484534</v>
      </c>
      <c r="AM25" s="26" t="str">
        <f>B43</f>
        <v>San Jose Sharks</v>
      </c>
      <c r="AN25" s="26" t="s">
        <v>133</v>
      </c>
      <c r="AO25">
        <v>0</v>
      </c>
      <c r="AP25" s="16">
        <f t="shared" ref="AP25:AZ35" si="4">(_xlfn.POISSON.DIST($AO25,$C$43,FALSE))*(_xlfn.POISSON.DIST(AP$24,$C$42,FALSE))</f>
        <v>1.3011853199556658E-2</v>
      </c>
      <c r="AQ25" s="16">
        <f t="shared" si="4"/>
        <v>3.1124807398080646E-2</v>
      </c>
      <c r="AR25" s="16">
        <f t="shared" si="4"/>
        <v>3.722581329155418E-2</v>
      </c>
      <c r="AS25" s="16">
        <f t="shared" si="4"/>
        <v>2.9681815269173489E-2</v>
      </c>
      <c r="AT25" s="16">
        <f t="shared" si="4"/>
        <v>1.7749984750633201E-2</v>
      </c>
      <c r="AU25" s="16">
        <f t="shared" si="4"/>
        <v>8.4917167172029011E-3</v>
      </c>
      <c r="AV25" s="16">
        <f t="shared" si="4"/>
        <v>3.3854138382969057E-3</v>
      </c>
      <c r="AW25" s="16">
        <f t="shared" si="4"/>
        <v>1.1568611663290247E-3</v>
      </c>
      <c r="AX25" s="16">
        <f t="shared" si="4"/>
        <v>3.4590654032986494E-4</v>
      </c>
      <c r="AY25" s="16">
        <f t="shared" si="4"/>
        <v>9.1935614229632576E-5</v>
      </c>
      <c r="AZ25" s="16">
        <f t="shared" si="4"/>
        <v>2.1991320083591546E-5</v>
      </c>
    </row>
    <row r="26" spans="1:52" x14ac:dyDescent="0.35">
      <c r="A26" t="str">
        <v>San Jose Sharks</v>
      </c>
      <c r="B26">
        <f>VLOOKUP(A26,'Expected Goals For '!$A$7:$L$37,12,FALSE)</f>
        <v>2.2252397350302959</v>
      </c>
      <c r="C26">
        <f>VLOOKUP(Backtest!A26,'Expected Goals Against'!$N$7:$AA$37,14,FALSE)</f>
        <v>3.146246301512595</v>
      </c>
      <c r="D26">
        <f t="shared" si="0"/>
        <v>0.97239874071574617</v>
      </c>
      <c r="E26">
        <f t="shared" si="1"/>
        <v>1.1465904770265405</v>
      </c>
      <c r="F26">
        <f>VLOOKUP(Backtest!A26,'Expected Goals For '!$M$48:$Y$78,13,FALSE)</f>
        <v>2.9892137064341768</v>
      </c>
      <c r="G26">
        <f>VLOOKUP(A26,'Expected Goals Against'!$N$48:$AA$78,14,FALSE)</f>
        <v>2.9574388334309178</v>
      </c>
      <c r="H26">
        <f t="shared" si="2"/>
        <v>1.0927060508964264</v>
      </c>
      <c r="I26">
        <f t="shared" si="3"/>
        <v>1.0304213437039347</v>
      </c>
      <c r="AM26" s="26"/>
      <c r="AN26" s="26"/>
      <c r="AO26">
        <v>1</v>
      </c>
      <c r="AP26" s="16">
        <f t="shared" si="4"/>
        <v>2.5371287125213436E-2</v>
      </c>
      <c r="AQ26" s="16">
        <f t="shared" si="4"/>
        <v>6.0689005101946379E-2</v>
      </c>
      <c r="AR26" s="16">
        <f t="shared" si="4"/>
        <v>7.2585110130337749E-2</v>
      </c>
      <c r="AS26" s="16">
        <f t="shared" si="4"/>
        <v>5.7875373018918125E-2</v>
      </c>
      <c r="AT26" s="16">
        <f t="shared" si="4"/>
        <v>3.4609978507275124E-2</v>
      </c>
      <c r="AU26" s="16">
        <f t="shared" si="4"/>
        <v>1.6557655524846407E-2</v>
      </c>
      <c r="AV26" s="16">
        <f t="shared" si="4"/>
        <v>6.6010817376903862E-3</v>
      </c>
      <c r="AW26" s="16">
        <f t="shared" si="4"/>
        <v>2.255716873284663E-3</v>
      </c>
      <c r="AX26" s="16">
        <f t="shared" si="4"/>
        <v>6.7446919501806585E-4</v>
      </c>
      <c r="AY26" s="16">
        <f t="shared" si="4"/>
        <v>1.7926154175581542E-4</v>
      </c>
      <c r="AZ26" s="16">
        <f t="shared" si="4"/>
        <v>4.2879987004640074E-5</v>
      </c>
    </row>
    <row r="27" spans="1:52" x14ac:dyDescent="0.35">
      <c r="A27" t="str">
        <v>St Louis Blues</v>
      </c>
      <c r="B27">
        <f>VLOOKUP(A27,'Expected Goals For '!$A$7:$L$37,12,FALSE)</f>
        <v>1.925950563856839</v>
      </c>
      <c r="C27">
        <f>VLOOKUP(Backtest!A27,'Expected Goals Against'!$N$7:$AA$37,14,FALSE)</f>
        <v>3.6728276322615163</v>
      </c>
      <c r="D27">
        <f t="shared" si="0"/>
        <v>0.84161354549498646</v>
      </c>
      <c r="E27">
        <f t="shared" si="1"/>
        <v>1.3384931703809688</v>
      </c>
      <c r="F27">
        <f>VLOOKUP(Backtest!A27,'Expected Goals For '!$M$48:$Y$78,13,FALSE)</f>
        <v>2.9351185717260817</v>
      </c>
      <c r="G27">
        <f>VLOOKUP(A27,'Expected Goals Against'!$N$48:$AA$78,14,FALSE)</f>
        <v>3.3570871043721056</v>
      </c>
      <c r="H27">
        <f t="shared" si="2"/>
        <v>1.0729315928533762</v>
      </c>
      <c r="I27">
        <f t="shared" si="3"/>
        <v>1.169665511223855</v>
      </c>
      <c r="AM27" s="26"/>
      <c r="AN27" s="26"/>
      <c r="AO27">
        <v>2</v>
      </c>
      <c r="AP27" s="16">
        <f t="shared" si="4"/>
        <v>2.4735224126719836E-2</v>
      </c>
      <c r="AQ27" s="16">
        <f t="shared" si="4"/>
        <v>5.9167520189879169E-2</v>
      </c>
      <c r="AR27" s="16">
        <f t="shared" si="4"/>
        <v>7.0765387600391319E-2</v>
      </c>
      <c r="AS27" s="16">
        <f t="shared" si="4"/>
        <v>5.6424426398840453E-2</v>
      </c>
      <c r="AT27" s="16">
        <f t="shared" si="4"/>
        <v>3.3742299756942457E-2</v>
      </c>
      <c r="AU27" s="16">
        <f t="shared" si="4"/>
        <v>1.6142551948540584E-2</v>
      </c>
      <c r="AV27" s="16">
        <f t="shared" si="4"/>
        <v>6.4355913617920313E-3</v>
      </c>
      <c r="AW27" s="16">
        <f t="shared" si="4"/>
        <v>2.1991656218210273E-3</v>
      </c>
      <c r="AX27" s="16">
        <f t="shared" si="4"/>
        <v>6.5756012389142128E-4</v>
      </c>
      <c r="AY27" s="16">
        <f t="shared" si="4"/>
        <v>1.7476742077562765E-4</v>
      </c>
      <c r="AZ27" s="16">
        <f t="shared" si="4"/>
        <v>4.180497756680855E-5</v>
      </c>
    </row>
    <row r="28" spans="1:52" x14ac:dyDescent="0.35">
      <c r="A28" t="str">
        <v>Tampa Bay Lightning</v>
      </c>
      <c r="B28">
        <f>VLOOKUP(A28,'Expected Goals For '!$A$7:$L$37,12,FALSE)</f>
        <v>3.014134063323842</v>
      </c>
      <c r="C28">
        <f>VLOOKUP(Backtest!A28,'Expected Goals Against'!$N$7:$AA$37,14,FALSE)</f>
        <v>1.7924744405800268</v>
      </c>
      <c r="D28">
        <f t="shared" si="0"/>
        <v>1.3171345636988796</v>
      </c>
      <c r="E28">
        <f t="shared" si="1"/>
        <v>0.65323370357065058</v>
      </c>
      <c r="F28">
        <f>VLOOKUP(Backtest!A28,'Expected Goals For '!$M$48:$Y$78,13,FALSE)</f>
        <v>2.9390074166586633</v>
      </c>
      <c r="G28">
        <f>VLOOKUP(A28,'Expected Goals Against'!$N$48:$AA$78,14,FALSE)</f>
        <v>2.5958193588574017</v>
      </c>
      <c r="H28">
        <f t="shared" si="2"/>
        <v>1.0743531587921658</v>
      </c>
      <c r="I28">
        <f t="shared" si="3"/>
        <v>0.90442704732578183</v>
      </c>
      <c r="AM28" s="26"/>
      <c r="AN28" s="26"/>
      <c r="AO28">
        <v>3</v>
      </c>
      <c r="AP28" s="16">
        <f t="shared" si="4"/>
        <v>1.6076738232462754E-2</v>
      </c>
      <c r="AQ28" s="16">
        <f t="shared" si="4"/>
        <v>3.8456119462815019E-2</v>
      </c>
      <c r="AR28" s="16">
        <f t="shared" si="4"/>
        <v>4.5994190573810066E-2</v>
      </c>
      <c r="AS28" s="16">
        <f t="shared" si="4"/>
        <v>3.6673236857842587E-2</v>
      </c>
      <c r="AT28" s="16">
        <f t="shared" si="4"/>
        <v>2.1930915918714679E-2</v>
      </c>
      <c r="AU28" s="16">
        <f t="shared" si="4"/>
        <v>1.0491903398614312E-2</v>
      </c>
      <c r="AV28" s="16">
        <f t="shared" si="4"/>
        <v>4.1828332407493479E-3</v>
      </c>
      <c r="AW28" s="16">
        <f t="shared" si="4"/>
        <v>1.4293547473319926E-3</v>
      </c>
      <c r="AX28" s="16">
        <f t="shared" si="4"/>
        <v>4.2738331093141569E-4</v>
      </c>
      <c r="AY28" s="16">
        <f t="shared" si="4"/>
        <v>1.1359064550934532E-4</v>
      </c>
      <c r="AZ28" s="16">
        <f t="shared" si="4"/>
        <v>2.7171279213498074E-5</v>
      </c>
    </row>
    <row r="29" spans="1:52" x14ac:dyDescent="0.35">
      <c r="A29" t="str">
        <v>Toronto Maple Leafs</v>
      </c>
      <c r="B29">
        <f>VLOOKUP(A29,'Expected Goals For '!$A$7:$L$37,12,FALSE)</f>
        <v>2.4742042326007412</v>
      </c>
      <c r="C29">
        <f>VLOOKUP(Backtest!A29,'Expected Goals Against'!$N$7:$AA$37,14,FALSE)</f>
        <v>2.9444707128751824</v>
      </c>
      <c r="D29">
        <f t="shared" si="0"/>
        <v>1.0811927551804994</v>
      </c>
      <c r="E29">
        <f t="shared" si="1"/>
        <v>1.0730571467475805</v>
      </c>
      <c r="F29">
        <f>VLOOKUP(Backtest!A29,'Expected Goals For '!$M$48:$Y$78,13,FALSE)</f>
        <v>3.4545046419482834</v>
      </c>
      <c r="G29">
        <f>VLOOKUP(A29,'Expected Goals Against'!$N$48:$AA$78,14,FALSE)</f>
        <v>2.2536532774287492</v>
      </c>
      <c r="H29">
        <f t="shared" si="2"/>
        <v>1.2627929936831377</v>
      </c>
      <c r="I29">
        <f t="shared" si="3"/>
        <v>0.78521063973347327</v>
      </c>
      <c r="AM29" s="26"/>
      <c r="AN29" s="26"/>
      <c r="AO29">
        <v>4</v>
      </c>
      <c r="AP29" s="16">
        <f t="shared" si="4"/>
        <v>7.8368456721177576E-3</v>
      </c>
      <c r="AQ29" s="16">
        <f t="shared" si="4"/>
        <v>1.8746008613243343E-2</v>
      </c>
      <c r="AR29" s="16">
        <f t="shared" si="4"/>
        <v>2.2420553729803838E-2</v>
      </c>
      <c r="AS29" s="16">
        <f t="shared" si="4"/>
        <v>1.7876915913925821E-2</v>
      </c>
      <c r="AT29" s="16">
        <f t="shared" si="4"/>
        <v>1.069055184067828E-2</v>
      </c>
      <c r="AU29" s="16">
        <f t="shared" si="4"/>
        <v>5.1144346914649341E-3</v>
      </c>
      <c r="AV29" s="16">
        <f t="shared" si="4"/>
        <v>2.0389844075314836E-3</v>
      </c>
      <c r="AW29" s="16">
        <f t="shared" si="4"/>
        <v>6.9676027584568976E-4</v>
      </c>
      <c r="AX29" s="16">
        <f t="shared" si="4"/>
        <v>2.0833436497990092E-4</v>
      </c>
      <c r="AY29" s="16">
        <f t="shared" si="4"/>
        <v>5.5371453200342924E-5</v>
      </c>
      <c r="AZ29" s="16">
        <f t="shared" si="4"/>
        <v>1.3245045035331541E-5</v>
      </c>
    </row>
    <row r="30" spans="1:52" x14ac:dyDescent="0.35">
      <c r="A30" t="str">
        <v>Vancouver Canucks</v>
      </c>
      <c r="B30">
        <f>VLOOKUP(A30,'Expected Goals For '!$A$7:$L$37,12,FALSE)</f>
        <v>1.1967060679379296</v>
      </c>
      <c r="C30">
        <f>VLOOKUP(Backtest!A30,'Expected Goals Against'!$N$7:$AA$37,14,FALSE)</f>
        <v>2.9284354814876852</v>
      </c>
      <c r="D30">
        <f t="shared" si="0"/>
        <v>0.52294386764304834</v>
      </c>
      <c r="E30">
        <f t="shared" si="1"/>
        <v>1.0672134073057631</v>
      </c>
      <c r="F30">
        <f>VLOOKUP(Backtest!A30,'Expected Goals For '!$M$48:$Y$78,13,FALSE)</f>
        <v>2.7977399350581664</v>
      </c>
      <c r="G30">
        <f>VLOOKUP(A30,'Expected Goals Against'!$N$48:$AA$78,14,FALSE)</f>
        <v>3.1914838979562106</v>
      </c>
      <c r="H30">
        <f t="shared" si="2"/>
        <v>1.0227128790732887</v>
      </c>
      <c r="I30">
        <f t="shared" si="3"/>
        <v>1.1119665737013547</v>
      </c>
      <c r="AM30" s="26"/>
      <c r="AN30" s="26"/>
      <c r="AO30">
        <v>5</v>
      </c>
      <c r="AP30" s="16">
        <f t="shared" si="4"/>
        <v>3.0561497836458901E-3</v>
      </c>
      <c r="AQ30" s="16">
        <f t="shared" si="4"/>
        <v>7.310417043354377E-3</v>
      </c>
      <c r="AR30" s="16">
        <f t="shared" si="4"/>
        <v>8.7433864717211783E-3</v>
      </c>
      <c r="AS30" s="16">
        <f t="shared" si="4"/>
        <v>6.9714952914003521E-3</v>
      </c>
      <c r="AT30" s="16">
        <f t="shared" si="4"/>
        <v>4.169015068292794E-3</v>
      </c>
      <c r="AU30" s="16">
        <f t="shared" si="4"/>
        <v>1.9944859360191735E-3</v>
      </c>
      <c r="AV30" s="16">
        <f t="shared" si="4"/>
        <v>7.9514667209859178E-4</v>
      </c>
      <c r="AW30" s="16">
        <f t="shared" si="4"/>
        <v>2.7171694523154047E-4</v>
      </c>
      <c r="AX30" s="16">
        <f t="shared" si="4"/>
        <v>8.1244553114604326E-5</v>
      </c>
      <c r="AY30" s="16">
        <f t="shared" si="4"/>
        <v>2.159331213072838E-5</v>
      </c>
      <c r="AZ30" s="16">
        <f t="shared" si="4"/>
        <v>5.1651956938651735E-6</v>
      </c>
    </row>
    <row r="31" spans="1:52" x14ac:dyDescent="0.35">
      <c r="A31" t="str">
        <v>Vegas Golden Knights</v>
      </c>
      <c r="B31">
        <f>VLOOKUP(A31,'Expected Goals For '!$A$7:$L$37,12,FALSE)</f>
        <v>2.5284265707846081</v>
      </c>
      <c r="C31">
        <f>VLOOKUP(Backtest!A31,'Expected Goals Against'!$N$7:$AA$37,14,FALSE)</f>
        <v>2.2408763181304403</v>
      </c>
      <c r="D31">
        <f t="shared" si="0"/>
        <v>1.1048871610185012</v>
      </c>
      <c r="E31">
        <f t="shared" si="1"/>
        <v>0.81664536095836027</v>
      </c>
      <c r="F31">
        <f>VLOOKUP(Backtest!A31,'Expected Goals For '!$M$48:$Y$78,13,FALSE)</f>
        <v>3.3778508133712117</v>
      </c>
      <c r="G31">
        <f>VLOOKUP(A31,'Expected Goals Against'!$N$48:$AA$78,14,FALSE)</f>
        <v>2.3048943345875852</v>
      </c>
      <c r="H31">
        <f t="shared" si="2"/>
        <v>1.2347722127900709</v>
      </c>
      <c r="I31">
        <f t="shared" si="3"/>
        <v>0.80306388436310605</v>
      </c>
      <c r="AM31" s="26"/>
      <c r="AN31" s="26"/>
      <c r="AO31">
        <v>6</v>
      </c>
      <c r="AP31" s="16">
        <f t="shared" si="4"/>
        <v>9.9317717557686515E-4</v>
      </c>
      <c r="AQ31" s="16">
        <f t="shared" si="4"/>
        <v>2.3757144987658569E-3</v>
      </c>
      <c r="AR31" s="16">
        <f t="shared" si="4"/>
        <v>2.8413960360940144E-3</v>
      </c>
      <c r="AS31" s="16">
        <f t="shared" si="4"/>
        <v>2.2655728590633361E-3</v>
      </c>
      <c r="AT31" s="16">
        <f t="shared" si="4"/>
        <v>1.3548323556068836E-3</v>
      </c>
      <c r="AU31" s="16">
        <f t="shared" si="4"/>
        <v>6.4816126462891423E-4</v>
      </c>
      <c r="AV31" s="16">
        <f t="shared" si="4"/>
        <v>2.5840406454886197E-4</v>
      </c>
      <c r="AW31" s="16">
        <f t="shared" si="4"/>
        <v>8.8301649894756466E-5</v>
      </c>
      <c r="AX31" s="16">
        <f t="shared" si="4"/>
        <v>2.6402578900143573E-5</v>
      </c>
      <c r="AY31" s="16">
        <f t="shared" si="4"/>
        <v>7.0173212282030525E-6</v>
      </c>
      <c r="AZ31" s="16">
        <f t="shared" si="4"/>
        <v>1.6785677514846559E-6</v>
      </c>
    </row>
    <row r="32" spans="1:52" x14ac:dyDescent="0.35">
      <c r="A32" t="str">
        <v>Winnipeg Jets</v>
      </c>
      <c r="B32">
        <f>VLOOKUP(A32,'Expected Goals For '!$A$7:$L$37,12,FALSE)</f>
        <v>2.5443544172071819</v>
      </c>
      <c r="C32">
        <f>VLOOKUP(Backtest!A32,'Expected Goals Against'!$N$7:$AA$37,14,FALSE)</f>
        <v>2.3176420058510145</v>
      </c>
      <c r="D32">
        <f t="shared" si="0"/>
        <v>1.1118474078448566</v>
      </c>
      <c r="E32">
        <f t="shared" si="1"/>
        <v>0.84462117660270053</v>
      </c>
      <c r="F32">
        <f>VLOOKUP(Backtest!A32,'Expected Goals For '!$M$48:$Y$78,13,FALSE)</f>
        <v>3.2640232658101556</v>
      </c>
      <c r="G32">
        <f>VLOOKUP(A32,'Expected Goals Against'!$N$48:$AA$78,14,FALSE)</f>
        <v>2.7616471777954805</v>
      </c>
      <c r="H32">
        <f t="shared" si="2"/>
        <v>1.1931625916007451</v>
      </c>
      <c r="I32">
        <f t="shared" si="3"/>
        <v>0.96220424362215939</v>
      </c>
      <c r="AM32" s="26"/>
      <c r="AN32" s="26"/>
      <c r="AO32">
        <v>7</v>
      </c>
      <c r="AP32" s="16">
        <f t="shared" si="4"/>
        <v>2.7665086705742762E-4</v>
      </c>
      <c r="AQ32" s="16">
        <f t="shared" si="4"/>
        <v>6.6175853828168249E-4</v>
      </c>
      <c r="AR32" s="16">
        <f t="shared" si="4"/>
        <v>7.9147477043295183E-4</v>
      </c>
      <c r="AS32" s="16">
        <f t="shared" si="4"/>
        <v>6.3107843318851943E-4</v>
      </c>
      <c r="AT32" s="16">
        <f t="shared" si="4"/>
        <v>3.7739041443275012E-4</v>
      </c>
      <c r="AU32" s="16">
        <f t="shared" si="4"/>
        <v>1.8054621095020342E-4</v>
      </c>
      <c r="AV32" s="16">
        <f t="shared" si="4"/>
        <v>7.1978807272815226E-5</v>
      </c>
      <c r="AW32" s="16">
        <f t="shared" si="4"/>
        <v>2.4596545920214988E-5</v>
      </c>
      <c r="AX32" s="16">
        <f t="shared" si="4"/>
        <v>7.3544746344319908E-6</v>
      </c>
      <c r="AY32" s="16">
        <f t="shared" si="4"/>
        <v>1.9546844711521667E-6</v>
      </c>
      <c r="AZ32" s="16">
        <f t="shared" si="4"/>
        <v>4.6756735382399755E-7</v>
      </c>
    </row>
    <row r="33" spans="1:52" x14ac:dyDescent="0.35">
      <c r="A33" t="str">
        <v>Washington Capitals</v>
      </c>
      <c r="B33">
        <f>VLOOKUP(A33,'Expected Goals For '!$A$7:$L$37,12,FALSE)</f>
        <v>2.0145619206807712</v>
      </c>
      <c r="C33">
        <f>VLOOKUP(Backtest!A33,'Expected Goals Against'!$N$7:$AA$37,14,FALSE)</f>
        <v>2.8005973448725641</v>
      </c>
      <c r="D33">
        <f t="shared" si="0"/>
        <v>0.88033547303936055</v>
      </c>
      <c r="E33">
        <f t="shared" si="1"/>
        <v>1.0206251951962257</v>
      </c>
      <c r="F33">
        <f>VLOOKUP(Backtest!A33,'Expected Goals For '!$M$48:$Y$78,13,FALSE)</f>
        <v>3.6611685651623906</v>
      </c>
      <c r="G33">
        <f>VLOOKUP(A33,'Expected Goals Against'!$N$48:$AA$78,14,FALSE)</f>
        <v>2.5302685731476635</v>
      </c>
      <c r="H33">
        <f t="shared" si="2"/>
        <v>1.3383389203299925</v>
      </c>
      <c r="I33">
        <f t="shared" si="3"/>
        <v>0.88158805301477583</v>
      </c>
      <c r="AM33" s="26"/>
      <c r="AN33" s="26"/>
      <c r="AO33">
        <v>8</v>
      </c>
      <c r="AP33" s="16">
        <f t="shared" si="4"/>
        <v>6.7428794287661365E-5</v>
      </c>
      <c r="AQ33" s="16">
        <f t="shared" si="4"/>
        <v>1.6129203143482805E-4</v>
      </c>
      <c r="AR33" s="16">
        <f t="shared" si="4"/>
        <v>1.9290808681369237E-4</v>
      </c>
      <c r="AS33" s="16">
        <f t="shared" si="4"/>
        <v>1.5381429418045214E-4</v>
      </c>
      <c r="AT33" s="16">
        <f t="shared" si="4"/>
        <v>9.1982291223540076E-5</v>
      </c>
      <c r="AU33" s="16">
        <f t="shared" si="4"/>
        <v>4.4004970767183166E-5</v>
      </c>
      <c r="AV33" s="16">
        <f t="shared" si="4"/>
        <v>1.7543571217734142E-5</v>
      </c>
      <c r="AW33" s="16">
        <f t="shared" si="4"/>
        <v>5.9949764578070731E-6</v>
      </c>
      <c r="AX33" s="16">
        <f t="shared" si="4"/>
        <v>1.7925241387947569E-6</v>
      </c>
      <c r="AY33" s="16">
        <f t="shared" si="4"/>
        <v>4.7642003983036827E-7</v>
      </c>
      <c r="AZ33" s="16">
        <f t="shared" si="4"/>
        <v>1.1396133781167576E-7</v>
      </c>
    </row>
    <row r="34" spans="1:52" x14ac:dyDescent="0.35">
      <c r="B34">
        <f t="shared" ref="B34:I34" si="5">AVERAGE(B3:B33)</f>
        <v>2.2884025265112751</v>
      </c>
      <c r="C34">
        <f t="shared" si="5"/>
        <v>2.7440017726920019</v>
      </c>
      <c r="D34">
        <f t="shared" si="5"/>
        <v>0.99999999999999956</v>
      </c>
      <c r="E34">
        <f t="shared" si="5"/>
        <v>0.99999999999999978</v>
      </c>
      <c r="F34">
        <f t="shared" si="5"/>
        <v>2.7356064368655297</v>
      </c>
      <c r="G34">
        <f t="shared" si="5"/>
        <v>2.8701257514718783</v>
      </c>
      <c r="H34">
        <f t="shared" si="5"/>
        <v>1.0000000000000002</v>
      </c>
      <c r="I34">
        <f t="shared" si="5"/>
        <v>1.0000000000000004</v>
      </c>
      <c r="AM34" s="26"/>
      <c r="AN34" s="26"/>
      <c r="AO34">
        <v>9</v>
      </c>
      <c r="AP34" s="16">
        <f t="shared" si="4"/>
        <v>1.4608520350570293E-5</v>
      </c>
      <c r="AQ34" s="16">
        <f t="shared" si="4"/>
        <v>3.4944090999884172E-5</v>
      </c>
      <c r="AR34" s="16">
        <f t="shared" si="4"/>
        <v>4.179374318907381E-5</v>
      </c>
      <c r="AS34" s="16">
        <f t="shared" si="4"/>
        <v>3.3324031231489984E-5</v>
      </c>
      <c r="AT34" s="16">
        <f t="shared" si="4"/>
        <v>1.9928061704598116E-5</v>
      </c>
      <c r="AU34" s="16">
        <f t="shared" si="4"/>
        <v>9.5337239493881827E-6</v>
      </c>
      <c r="AV34" s="16">
        <f t="shared" si="4"/>
        <v>3.8008334549568776E-6</v>
      </c>
      <c r="AW34" s="16">
        <f t="shared" si="4"/>
        <v>1.2988180570372452E-6</v>
      </c>
      <c r="AX34" s="16">
        <f t="shared" si="4"/>
        <v>3.8835227052641264E-7</v>
      </c>
      <c r="AY34" s="16">
        <f t="shared" si="4"/>
        <v>1.0321691082877632E-7</v>
      </c>
      <c r="AZ34" s="16">
        <f t="shared" si="4"/>
        <v>2.468984563920521E-8</v>
      </c>
    </row>
    <row r="35" spans="1:52" x14ac:dyDescent="0.35">
      <c r="AM35" s="26"/>
      <c r="AN35" s="26"/>
      <c r="AO35">
        <v>10</v>
      </c>
      <c r="AP35" s="16">
        <f t="shared" si="4"/>
        <v>2.8484563928331955E-6</v>
      </c>
      <c r="AQ35" s="16">
        <f t="shared" si="4"/>
        <v>6.8136071971504805E-6</v>
      </c>
      <c r="AR35" s="16">
        <f t="shared" si="4"/>
        <v>8.1491932181001951E-6</v>
      </c>
      <c r="AS35" s="16">
        <f t="shared" si="4"/>
        <v>6.4977182848367749E-6</v>
      </c>
      <c r="AT35" s="16">
        <f t="shared" si="4"/>
        <v>3.8856922807395003E-6</v>
      </c>
      <c r="AU35" s="16">
        <f t="shared" si="4"/>
        <v>1.8589423349834035E-6</v>
      </c>
      <c r="AV35" s="16">
        <f t="shared" si="4"/>
        <v>7.4110916732532396E-7</v>
      </c>
      <c r="AW35" s="16">
        <f t="shared" si="4"/>
        <v>2.5325128821486042E-7</v>
      </c>
      <c r="AX35" s="16">
        <f t="shared" si="4"/>
        <v>7.572324103372059E-8</v>
      </c>
      <c r="AY35" s="16">
        <f t="shared" si="4"/>
        <v>2.0125848644708509E-8</v>
      </c>
      <c r="AZ35" s="16">
        <f t="shared" si="4"/>
        <v>4.8141733017001539E-9</v>
      </c>
    </row>
    <row r="36" spans="1:52" x14ac:dyDescent="0.35">
      <c r="M36" t="s">
        <v>186</v>
      </c>
      <c r="N36" t="s">
        <v>187</v>
      </c>
    </row>
    <row r="37" spans="1:52" x14ac:dyDescent="0.35">
      <c r="M37">
        <f>200+V49</f>
        <v>238.38208824211875</v>
      </c>
      <c r="N37" s="15">
        <v>0.18</v>
      </c>
    </row>
    <row r="38" spans="1:52" x14ac:dyDescent="0.35">
      <c r="M38">
        <v>222.2444341639461</v>
      </c>
    </row>
    <row r="40" spans="1:52" x14ac:dyDescent="0.35">
      <c r="B40" s="19" t="s">
        <v>136</v>
      </c>
      <c r="C40" s="1"/>
      <c r="D40" s="76" t="s">
        <v>138</v>
      </c>
      <c r="E40" s="76"/>
      <c r="F40" s="75" t="s">
        <v>140</v>
      </c>
      <c r="G40" s="75"/>
      <c r="H40" s="75"/>
      <c r="I40" s="77" t="s">
        <v>142</v>
      </c>
      <c r="J40" s="77"/>
      <c r="K40" s="81" t="s">
        <v>145</v>
      </c>
      <c r="L40" s="81"/>
      <c r="M40" s="81"/>
    </row>
    <row r="41" spans="1:52" ht="14.5" customHeight="1" x14ac:dyDescent="0.35">
      <c r="B41" s="22" t="s">
        <v>132</v>
      </c>
      <c r="C41" s="1" t="s">
        <v>137</v>
      </c>
      <c r="D41" s="23" t="s">
        <v>135</v>
      </c>
      <c r="E41" s="23" t="s">
        <v>139</v>
      </c>
      <c r="F41" s="24" t="s">
        <v>141</v>
      </c>
      <c r="G41" s="24" t="s">
        <v>185</v>
      </c>
      <c r="H41" s="24" t="s">
        <v>135</v>
      </c>
      <c r="I41" s="27" t="s">
        <v>143</v>
      </c>
      <c r="J41" s="27" t="s">
        <v>144</v>
      </c>
      <c r="K41" s="29" t="s">
        <v>146</v>
      </c>
      <c r="L41" s="28" t="s">
        <v>188</v>
      </c>
      <c r="M41" s="28" t="s">
        <v>189</v>
      </c>
      <c r="N41" s="34" t="s">
        <v>191</v>
      </c>
    </row>
    <row r="42" spans="1:52" ht="14.5" customHeight="1" x14ac:dyDescent="0.35">
      <c r="A42" t="s">
        <v>131</v>
      </c>
      <c r="B42" s="19" t="s">
        <v>39</v>
      </c>
      <c r="C42" s="1">
        <f>(VLOOKUP(B42,A3:I33,8,FALSE)*VLOOKUP(B43,A3:I33,5,FALSE))*$F$34</f>
        <v>2.3920349331285982</v>
      </c>
      <c r="D42" s="21">
        <f>(SUM(AQ25:AZ25,AR26:AZ26,AS27:AZ27,AT28:AZ28,AU29:AZ29,AV30:AZ30,AW31:AZ31,AX32:AZ32,AY33:AZ33,AZ34))+(SUM(AP25,AQ26,AR27,AS28,AT29,AU30,AV31,AW32,AX33,AY34,AZ35)/2)</f>
        <v>0.58156959225612659</v>
      </c>
      <c r="E42" s="20">
        <f>1/D42</f>
        <v>1.7194846727123831</v>
      </c>
      <c r="F42" s="19">
        <f>IF(G42&gt;0,1 +(G42/100), 1 -(100/G42))</f>
        <v>1.900900900900901</v>
      </c>
      <c r="G42" s="19">
        <v>-111</v>
      </c>
      <c r="H42" s="30">
        <f>1/F42</f>
        <v>0.52606635071090047</v>
      </c>
      <c r="I42" s="78"/>
      <c r="J42" s="78"/>
      <c r="K42" s="32">
        <f>IF(D42&gt;H42,D42-H42,D42-H42)</f>
        <v>5.5503241545226123E-2</v>
      </c>
      <c r="L42" s="33">
        <f>IF((((((D42*F42)-1)/(F42-1))*$M$38)*$N$37)&gt;0,(((((D42*F42)-1)/(F42-1))*$M$38)*$N$37),0)</f>
        <v>4.6849418170614756</v>
      </c>
      <c r="M42" s="31">
        <f>((D42*((L42*F42)-AA11))-((1-D42)*(AF9)))</f>
        <v>5.1792320466994344</v>
      </c>
      <c r="N42" t="str">
        <f>IF(M42&gt;3.5,"BET","")</f>
        <v>BET</v>
      </c>
    </row>
    <row r="43" spans="1:52" ht="14.5" customHeight="1" x14ac:dyDescent="0.35">
      <c r="A43" t="s">
        <v>128</v>
      </c>
      <c r="B43" s="19" t="s">
        <v>61</v>
      </c>
      <c r="C43" s="1">
        <f>(VLOOKUP(B43,A3:I33,4,FALSE)*VLOOKUP(B42,A3:I33,9,FALSE))*$B$34</f>
        <v>1.9498596192337838</v>
      </c>
      <c r="D43" s="21">
        <f>(SUM(AP35:AY35,AP34:AX34,AP33:AW33,AP32:AV32,AP31:AU31,AP30:AT30,AP29:AS29,AP28:AR28,AP27:AQ27,AP26))+(SUM(AP25,AQ26,AR27,AS28,AT29,AU30,AV31,AW32,AX33,AY34,AZ35)/2)</f>
        <v>0.41838204339166529</v>
      </c>
      <c r="E43" s="20">
        <f>1/D43</f>
        <v>2.3901599406451037</v>
      </c>
      <c r="F43" s="19">
        <f>IF(G43&gt;0,1 +(G43/100), 1 -(100/G43))</f>
        <v>2.0099999999999998</v>
      </c>
      <c r="G43" s="19">
        <v>101</v>
      </c>
      <c r="H43" s="30">
        <f>1/F43</f>
        <v>0.49751243781094534</v>
      </c>
      <c r="I43" s="78"/>
      <c r="J43" s="78"/>
      <c r="K43" s="32">
        <f>IF(D43&gt;H43,D43-H43,D43-H43)</f>
        <v>-7.9130394419280048E-2</v>
      </c>
      <c r="L43" s="31">
        <f>IF((((((D43*F43)-1)/(F43-1))*$M$38)*$N$37)&gt;0,(((((D43*F43)-1)/(F43-1))*$M$38)*$N$37),0)</f>
        <v>0</v>
      </c>
      <c r="M43" s="31">
        <f>((D43*((L43*F43)-AF10))-((1-D43)*(AF10)))</f>
        <v>0</v>
      </c>
      <c r="N43" t="str">
        <f>IF(M43&gt;3.5,"BET","No BET")</f>
        <v>No BET</v>
      </c>
    </row>
    <row r="45" spans="1:52" x14ac:dyDescent="0.35">
      <c r="L45">
        <f>200+U57</f>
        <v>204.80115926326087</v>
      </c>
    </row>
    <row r="49" spans="1:25" x14ac:dyDescent="0.35">
      <c r="V49">
        <f>SUM(T53:T1048576)</f>
        <v>38.382088242118762</v>
      </c>
    </row>
    <row r="51" spans="1:25" x14ac:dyDescent="0.35">
      <c r="G51" s="19" t="s">
        <v>136</v>
      </c>
      <c r="H51" s="1"/>
      <c r="I51" s="76" t="s">
        <v>138</v>
      </c>
      <c r="J51" s="76"/>
      <c r="K51" s="75" t="s">
        <v>140</v>
      </c>
      <c r="L51" s="75"/>
      <c r="M51" s="75"/>
      <c r="N51" s="77" t="s">
        <v>142</v>
      </c>
      <c r="O51" s="77"/>
      <c r="P51" s="81" t="s">
        <v>145</v>
      </c>
      <c r="Q51" s="81"/>
      <c r="R51" s="81"/>
    </row>
    <row r="52" spans="1:25" ht="10.5" customHeight="1" x14ac:dyDescent="0.35">
      <c r="A52" t="s">
        <v>147</v>
      </c>
      <c r="B52" t="s">
        <v>148</v>
      </c>
      <c r="C52" t="s">
        <v>0</v>
      </c>
      <c r="D52" t="s">
        <v>149</v>
      </c>
      <c r="E52" t="s">
        <v>150</v>
      </c>
      <c r="G52" s="22" t="s">
        <v>132</v>
      </c>
      <c r="H52" s="1" t="s">
        <v>137</v>
      </c>
      <c r="I52" s="23" t="s">
        <v>135</v>
      </c>
      <c r="J52" s="23" t="s">
        <v>139</v>
      </c>
      <c r="K52" s="24" t="s">
        <v>141</v>
      </c>
      <c r="L52" s="24" t="s">
        <v>185</v>
      </c>
      <c r="M52" s="24" t="s">
        <v>135</v>
      </c>
      <c r="N52" s="27" t="s">
        <v>143</v>
      </c>
      <c r="O52" s="27" t="s">
        <v>144</v>
      </c>
      <c r="P52" s="29" t="s">
        <v>146</v>
      </c>
      <c r="Q52" s="28" t="s">
        <v>188</v>
      </c>
      <c r="R52" s="28" t="s">
        <v>189</v>
      </c>
      <c r="S52" t="s">
        <v>190</v>
      </c>
      <c r="T52" t="s">
        <v>194</v>
      </c>
      <c r="U52" t="s">
        <v>196</v>
      </c>
    </row>
    <row r="53" spans="1:25" ht="14.5" hidden="1" customHeight="1" x14ac:dyDescent="0.35">
      <c r="A53">
        <v>1203</v>
      </c>
      <c r="B53" t="s">
        <v>151</v>
      </c>
      <c r="C53" s="1" t="s">
        <v>175</v>
      </c>
      <c r="D53">
        <v>4</v>
      </c>
      <c r="E53">
        <v>-105</v>
      </c>
      <c r="F53" t="s">
        <v>131</v>
      </c>
      <c r="G53" t="s">
        <v>39</v>
      </c>
      <c r="H53">
        <v>2.4817535583303378</v>
      </c>
      <c r="I53">
        <v>0.69230891453140275</v>
      </c>
      <c r="J53">
        <v>1.4444418943772543</v>
      </c>
      <c r="K53">
        <v>1.9523809523809523</v>
      </c>
      <c r="L53">
        <v>-105</v>
      </c>
      <c r="M53">
        <v>0.51219512195121952</v>
      </c>
      <c r="P53">
        <v>0.18011379258018323</v>
      </c>
      <c r="Q53">
        <v>13.292397892417522</v>
      </c>
      <c r="R53">
        <v>17.966679419675348</v>
      </c>
      <c r="S53" t="s">
        <v>192</v>
      </c>
      <c r="T53">
        <f>IF(AND(S53="BET",D53&gt;D54),(Q53*K53)-Q53,-Q53)</f>
        <v>12.659426564207163</v>
      </c>
      <c r="U53">
        <f>IF(AND(R53&gt;5,R53&lt;15),T53,0)</f>
        <v>0</v>
      </c>
    </row>
    <row r="54" spans="1:25" hidden="1" x14ac:dyDescent="0.35">
      <c r="A54">
        <v>1203</v>
      </c>
      <c r="B54" t="s">
        <v>153</v>
      </c>
      <c r="C54" s="1" t="s">
        <v>179</v>
      </c>
      <c r="D54">
        <v>2</v>
      </c>
      <c r="E54">
        <v>-105</v>
      </c>
      <c r="F54" t="s">
        <v>128</v>
      </c>
      <c r="G54" t="s">
        <v>43</v>
      </c>
      <c r="H54">
        <v>1.4574748923339036</v>
      </c>
      <c r="I54">
        <v>0.30763287073621914</v>
      </c>
      <c r="J54">
        <v>3.2506279241448599</v>
      </c>
      <c r="K54">
        <v>1.9523809523809523</v>
      </c>
      <c r="L54">
        <v>-105</v>
      </c>
      <c r="M54">
        <v>0.51219512195121952</v>
      </c>
      <c r="P54">
        <v>-0.20456225121500038</v>
      </c>
      <c r="Q54">
        <v>0</v>
      </c>
      <c r="R54">
        <v>0</v>
      </c>
      <c r="S54" t="s">
        <v>193</v>
      </c>
      <c r="T54">
        <f>IF(AND(S54="BET",D54&gt;D53),(Q54*K54)-Q54,-Q54)</f>
        <v>0</v>
      </c>
      <c r="U54">
        <f t="shared" ref="U54:U117" si="6">IF(AND(R54&gt;5,R54&lt;15),T54,0)</f>
        <v>0</v>
      </c>
      <c r="W54">
        <v>22.244434163946107</v>
      </c>
      <c r="X54" t="s">
        <v>186</v>
      </c>
      <c r="Y54" t="s">
        <v>187</v>
      </c>
    </row>
    <row r="55" spans="1:25" hidden="1" x14ac:dyDescent="0.35">
      <c r="A55">
        <v>1203</v>
      </c>
      <c r="B55" t="s">
        <v>151</v>
      </c>
      <c r="C55" s="1" t="s">
        <v>169</v>
      </c>
      <c r="D55">
        <v>4</v>
      </c>
      <c r="E55">
        <v>115</v>
      </c>
      <c r="F55" t="s">
        <v>131</v>
      </c>
      <c r="G55" t="s">
        <v>52</v>
      </c>
      <c r="H55">
        <v>3.6846220585097567</v>
      </c>
      <c r="I55">
        <v>0.61838114605230687</v>
      </c>
      <c r="J55">
        <v>1.6171256293693876</v>
      </c>
      <c r="K55">
        <v>2.15</v>
      </c>
      <c r="L55">
        <v>115</v>
      </c>
      <c r="M55">
        <v>0.46511627906976744</v>
      </c>
      <c r="P55">
        <v>0.15326486698253944</v>
      </c>
      <c r="Q55">
        <v>10.315391916911782</v>
      </c>
      <c r="R55">
        <v>13.714514332451012</v>
      </c>
      <c r="S55" t="s">
        <v>192</v>
      </c>
      <c r="T55">
        <f>IF(AND(S55="BET",D55&gt;D56),(Q55*K55)-Q55,-Q55)</f>
        <v>11.86270070444855</v>
      </c>
      <c r="U55">
        <f t="shared" si="6"/>
        <v>11.86270070444855</v>
      </c>
      <c r="X55">
        <v>222.2444341639461</v>
      </c>
      <c r="Y55">
        <v>0.18</v>
      </c>
    </row>
    <row r="56" spans="1:25" hidden="1" x14ac:dyDescent="0.35">
      <c r="A56">
        <v>1203</v>
      </c>
      <c r="B56" t="s">
        <v>153</v>
      </c>
      <c r="C56" s="1" t="s">
        <v>161</v>
      </c>
      <c r="D56">
        <v>2</v>
      </c>
      <c r="E56">
        <v>-125</v>
      </c>
      <c r="F56" t="s">
        <v>128</v>
      </c>
      <c r="G56" t="s">
        <v>50</v>
      </c>
      <c r="H56">
        <v>2.8878339510582589</v>
      </c>
      <c r="I56">
        <v>0.37988416066088909</v>
      </c>
      <c r="J56">
        <v>2.6323814034791235</v>
      </c>
      <c r="K56">
        <v>1.8</v>
      </c>
      <c r="L56">
        <v>-125</v>
      </c>
      <c r="M56">
        <v>0.55555555555555558</v>
      </c>
      <c r="P56">
        <v>-0.17567139489466649</v>
      </c>
      <c r="Q56">
        <v>0</v>
      </c>
      <c r="R56">
        <v>0</v>
      </c>
      <c r="S56" t="s">
        <v>193</v>
      </c>
      <c r="T56">
        <f>IF(AND(S56="BET",D56&gt;D55),(Q56*K56)-Q56,-Q56)</f>
        <v>0</v>
      </c>
      <c r="U56">
        <f t="shared" si="6"/>
        <v>0</v>
      </c>
      <c r="X56">
        <v>244.15182636541911</v>
      </c>
    </row>
    <row r="57" spans="1:25" hidden="1" x14ac:dyDescent="0.35">
      <c r="A57">
        <v>1203</v>
      </c>
      <c r="B57" t="s">
        <v>151</v>
      </c>
      <c r="C57" s="1" t="s">
        <v>160</v>
      </c>
      <c r="D57">
        <v>4</v>
      </c>
      <c r="E57">
        <v>-134</v>
      </c>
      <c r="F57" t="s">
        <v>131</v>
      </c>
      <c r="G57" t="s">
        <v>68</v>
      </c>
      <c r="H57">
        <v>2.9419988290350654</v>
      </c>
      <c r="I57">
        <v>0.64902128932537484</v>
      </c>
      <c r="J57">
        <v>1.5407815066273867</v>
      </c>
      <c r="K57">
        <v>1.7462686567164178</v>
      </c>
      <c r="L57">
        <v>-134</v>
      </c>
      <c r="M57">
        <v>0.57264957264957272</v>
      </c>
      <c r="P57">
        <v>7.6371716675802115E-2</v>
      </c>
      <c r="Q57">
        <v>6.4335534127695695</v>
      </c>
      <c r="R57">
        <v>7.2915677061974096</v>
      </c>
      <c r="S57" t="s">
        <v>192</v>
      </c>
      <c r="T57">
        <f>IF(AND(S57="BET",D57&gt;D58),(Q57*K57)-Q57,-Q57)</f>
        <v>4.8011592632608728</v>
      </c>
      <c r="U57">
        <f t="shared" si="6"/>
        <v>4.8011592632608728</v>
      </c>
    </row>
    <row r="58" spans="1:25" hidden="1" x14ac:dyDescent="0.35">
      <c r="A58">
        <v>1203</v>
      </c>
      <c r="B58" t="s">
        <v>153</v>
      </c>
      <c r="C58" s="1" t="s">
        <v>181</v>
      </c>
      <c r="D58">
        <v>3</v>
      </c>
      <c r="E58">
        <v>124</v>
      </c>
      <c r="F58" t="s">
        <v>128</v>
      </c>
      <c r="G58" t="s">
        <v>54</v>
      </c>
      <c r="H58">
        <v>2.0644239155364517</v>
      </c>
      <c r="I58">
        <v>0.35071918894223986</v>
      </c>
      <c r="J58">
        <v>2.8512839660013314</v>
      </c>
      <c r="K58">
        <v>2.2400000000000002</v>
      </c>
      <c r="L58">
        <v>124</v>
      </c>
      <c r="M58">
        <v>0.4464285714285714</v>
      </c>
      <c r="P58">
        <v>-9.570938248633154E-2</v>
      </c>
      <c r="Q58">
        <v>0</v>
      </c>
      <c r="R58">
        <v>0</v>
      </c>
      <c r="S58" t="s">
        <v>193</v>
      </c>
      <c r="T58">
        <f>IF(AND(S58="BET",D58&gt;D57),(Q58*K58)-Q58,-Q58)</f>
        <v>0</v>
      </c>
      <c r="U58">
        <f t="shared" si="6"/>
        <v>0</v>
      </c>
      <c r="W58">
        <f>SUM(U53:U274)</f>
        <v>84.872201060890788</v>
      </c>
    </row>
    <row r="59" spans="1:25" ht="14.5" hidden="1" customHeight="1" x14ac:dyDescent="0.35">
      <c r="A59">
        <v>1203</v>
      </c>
      <c r="B59" t="s">
        <v>151</v>
      </c>
      <c r="C59" s="1" t="s">
        <v>154</v>
      </c>
      <c r="D59">
        <v>1</v>
      </c>
      <c r="E59">
        <v>-110</v>
      </c>
      <c r="F59" t="s">
        <v>131</v>
      </c>
      <c r="G59" t="s">
        <v>64</v>
      </c>
      <c r="H59">
        <v>2.8842637280223564</v>
      </c>
      <c r="I59">
        <v>0.51384410210900888</v>
      </c>
      <c r="J59">
        <v>1.9461155550791087</v>
      </c>
      <c r="K59">
        <v>1.9090909090909092</v>
      </c>
      <c r="L59">
        <v>-110</v>
      </c>
      <c r="M59">
        <v>0.52380952380952384</v>
      </c>
      <c r="P59">
        <v>-9.9654217005149537E-3</v>
      </c>
      <c r="Q59">
        <v>0</v>
      </c>
      <c r="R59">
        <v>0</v>
      </c>
      <c r="S59" t="s">
        <v>193</v>
      </c>
      <c r="T59">
        <f>IF(AND(S59="BET",D59&gt;D60),(Q59*K59)-Q59,-Q59)</f>
        <v>0</v>
      </c>
      <c r="U59">
        <f t="shared" si="6"/>
        <v>0</v>
      </c>
    </row>
    <row r="60" spans="1:25" ht="14.5" hidden="1" customHeight="1" x14ac:dyDescent="0.35">
      <c r="A60">
        <v>1203</v>
      </c>
      <c r="B60" t="s">
        <v>153</v>
      </c>
      <c r="C60" s="1" t="s">
        <v>178</v>
      </c>
      <c r="D60">
        <v>6</v>
      </c>
      <c r="E60">
        <v>100</v>
      </c>
      <c r="F60" t="s">
        <v>128</v>
      </c>
      <c r="G60" t="s">
        <v>59</v>
      </c>
      <c r="H60">
        <v>2.7983065139994796</v>
      </c>
      <c r="I60">
        <v>0.4857826788223672</v>
      </c>
      <c r="J60">
        <v>2.05853366864417</v>
      </c>
      <c r="K60">
        <v>2</v>
      </c>
      <c r="L60">
        <v>100</v>
      </c>
      <c r="M60">
        <v>0.5</v>
      </c>
      <c r="P60">
        <v>-1.4217321177632802E-2</v>
      </c>
      <c r="Q60">
        <v>0</v>
      </c>
      <c r="R60">
        <v>0</v>
      </c>
      <c r="S60" t="s">
        <v>193</v>
      </c>
      <c r="T60">
        <f>IF(AND(S60="BET",D60&gt;D59),(Q60*K60)-Q60,-Q60)</f>
        <v>0</v>
      </c>
      <c r="U60">
        <f t="shared" si="6"/>
        <v>0</v>
      </c>
    </row>
    <row r="61" spans="1:25" ht="14.5" hidden="1" customHeight="1" x14ac:dyDescent="0.35">
      <c r="A61">
        <v>1203</v>
      </c>
      <c r="B61" t="s">
        <v>151</v>
      </c>
      <c r="C61" s="1" t="s">
        <v>180</v>
      </c>
      <c r="D61">
        <v>2</v>
      </c>
      <c r="E61">
        <v>110</v>
      </c>
      <c r="F61" t="s">
        <v>131</v>
      </c>
      <c r="G61" t="s">
        <v>56</v>
      </c>
      <c r="H61">
        <v>2.2304254321071073</v>
      </c>
      <c r="I61">
        <v>0.52796306475538946</v>
      </c>
      <c r="J61">
        <v>1.8940718901677525</v>
      </c>
      <c r="K61">
        <v>2.1</v>
      </c>
      <c r="L61">
        <v>110</v>
      </c>
      <c r="M61">
        <v>0.47619047619047616</v>
      </c>
      <c r="P61">
        <v>5.1772588564913291E-2</v>
      </c>
      <c r="Q61">
        <v>3.5581888140976767</v>
      </c>
      <c r="R61">
        <v>3.9450437696656437</v>
      </c>
      <c r="S61" t="s">
        <v>192</v>
      </c>
      <c r="T61">
        <f>IF(AND(S61="BET",D61&gt;D62),(Q61*K61)-Q61,-Q61)</f>
        <v>-3.5581888140976767</v>
      </c>
      <c r="U61">
        <f t="shared" si="6"/>
        <v>0</v>
      </c>
    </row>
    <row r="62" spans="1:25" ht="14.5" hidden="1" customHeight="1" x14ac:dyDescent="0.35">
      <c r="A62">
        <v>1203</v>
      </c>
      <c r="B62" t="s">
        <v>153</v>
      </c>
      <c r="C62" s="1" t="s">
        <v>163</v>
      </c>
      <c r="D62">
        <v>4</v>
      </c>
      <c r="E62">
        <v>-120</v>
      </c>
      <c r="F62" t="s">
        <v>128</v>
      </c>
      <c r="G62" t="s">
        <v>53</v>
      </c>
      <c r="H62">
        <v>2.0800944841522639</v>
      </c>
      <c r="I62">
        <v>0.47200263807249099</v>
      </c>
      <c r="J62">
        <v>2.1186322264716204</v>
      </c>
      <c r="K62">
        <v>1.8333333333333335</v>
      </c>
      <c r="L62">
        <v>-120</v>
      </c>
      <c r="M62">
        <v>0.54545454545454541</v>
      </c>
      <c r="P62">
        <v>-7.3451907382054427E-2</v>
      </c>
      <c r="Q62">
        <v>0</v>
      </c>
      <c r="R62">
        <v>0</v>
      </c>
      <c r="S62" t="s">
        <v>193</v>
      </c>
      <c r="T62">
        <f>IF(AND(S62="BET",D62&gt;D61),(Q62*K62)-Q62,-Q62)</f>
        <v>0</v>
      </c>
      <c r="U62">
        <f t="shared" si="6"/>
        <v>0</v>
      </c>
    </row>
    <row r="63" spans="1:25" hidden="1" x14ac:dyDescent="0.35">
      <c r="A63">
        <v>1203</v>
      </c>
      <c r="B63" t="s">
        <v>151</v>
      </c>
      <c r="C63" s="1" t="s">
        <v>164</v>
      </c>
      <c r="D63">
        <v>0</v>
      </c>
      <c r="E63">
        <v>132</v>
      </c>
      <c r="F63" t="s">
        <v>131</v>
      </c>
      <c r="G63" t="s">
        <v>42</v>
      </c>
      <c r="H63">
        <v>3.5003490944341165</v>
      </c>
      <c r="I63">
        <v>0.70418793794918089</v>
      </c>
      <c r="J63">
        <v>1.4200754459275713</v>
      </c>
      <c r="K63">
        <v>2.3200000000000003</v>
      </c>
      <c r="L63">
        <v>132</v>
      </c>
      <c r="M63">
        <v>0.43103448275862066</v>
      </c>
      <c r="P63">
        <v>0.27315345519056022</v>
      </c>
      <c r="Q63">
        <v>17.283164073875444</v>
      </c>
      <c r="R63">
        <v>28.235781955373739</v>
      </c>
      <c r="S63" t="s">
        <v>192</v>
      </c>
      <c r="T63">
        <f>IF(AND(S63="BET",D63&gt;D64),(Q63*K63)-Q63,-Q63)</f>
        <v>-17.283164073875444</v>
      </c>
      <c r="U63">
        <f t="shared" si="6"/>
        <v>0</v>
      </c>
    </row>
    <row r="64" spans="1:25" hidden="1" x14ac:dyDescent="0.35">
      <c r="A64">
        <v>1203</v>
      </c>
      <c r="B64" t="s">
        <v>153</v>
      </c>
      <c r="C64" s="1" t="s">
        <v>171</v>
      </c>
      <c r="D64">
        <v>2</v>
      </c>
      <c r="E64">
        <v>-145</v>
      </c>
      <c r="F64" t="s">
        <v>128</v>
      </c>
      <c r="G64" t="s">
        <v>40</v>
      </c>
      <c r="H64">
        <v>2.1915544816763624</v>
      </c>
      <c r="I64">
        <v>0.29477277105914845</v>
      </c>
      <c r="J64">
        <v>3.3924435978496201</v>
      </c>
      <c r="K64">
        <v>1.6896551724137931</v>
      </c>
      <c r="L64">
        <v>-145</v>
      </c>
      <c r="M64">
        <v>0.59183673469387754</v>
      </c>
      <c r="P64">
        <v>-0.29706396363472909</v>
      </c>
      <c r="Q64">
        <v>0</v>
      </c>
      <c r="R64">
        <v>0</v>
      </c>
      <c r="S64" t="s">
        <v>193</v>
      </c>
      <c r="T64">
        <f>IF(AND(S64="BET",D64&gt;D63),(Q64*K64)-Q64,-Q64)</f>
        <v>0</v>
      </c>
      <c r="U64">
        <f t="shared" si="6"/>
        <v>0</v>
      </c>
    </row>
    <row r="65" spans="1:21" ht="14.5" hidden="1" customHeight="1" x14ac:dyDescent="0.35">
      <c r="A65">
        <v>1203</v>
      </c>
      <c r="B65" t="s">
        <v>151</v>
      </c>
      <c r="C65" s="1" t="s">
        <v>162</v>
      </c>
      <c r="D65">
        <v>3</v>
      </c>
      <c r="E65">
        <v>-105</v>
      </c>
      <c r="F65" t="s">
        <v>131</v>
      </c>
      <c r="G65" t="s">
        <v>63</v>
      </c>
      <c r="H65">
        <v>1.6380443458072687</v>
      </c>
      <c r="I65">
        <v>0.29438171231180993</v>
      </c>
      <c r="J65">
        <v>3.3969501439029517</v>
      </c>
      <c r="K65">
        <v>1.9523809523809523</v>
      </c>
      <c r="L65">
        <v>-105</v>
      </c>
      <c r="M65">
        <v>0.51219512195121952</v>
      </c>
      <c r="P65">
        <v>-0.21781340963940959</v>
      </c>
      <c r="Q65">
        <v>0</v>
      </c>
      <c r="R65">
        <v>0</v>
      </c>
      <c r="S65" t="s">
        <v>193</v>
      </c>
      <c r="T65">
        <f>IF(AND(S65="BET",D65&gt;D66),(Q65*K65)-Q65,-Q65)</f>
        <v>0</v>
      </c>
      <c r="U65">
        <f t="shared" si="6"/>
        <v>0</v>
      </c>
    </row>
    <row r="66" spans="1:21" ht="14.5" hidden="1" customHeight="1" x14ac:dyDescent="0.35">
      <c r="A66">
        <v>1203</v>
      </c>
      <c r="B66" t="s">
        <v>153</v>
      </c>
      <c r="C66" s="1" t="s">
        <v>170</v>
      </c>
      <c r="D66">
        <v>2</v>
      </c>
      <c r="E66">
        <v>-105</v>
      </c>
      <c r="F66" t="s">
        <v>128</v>
      </c>
      <c r="G66" t="s">
        <v>55</v>
      </c>
      <c r="H66">
        <v>2.802744849371416</v>
      </c>
      <c r="I66">
        <v>0.70545190670499869</v>
      </c>
      <c r="J66">
        <v>1.4175310754644732</v>
      </c>
      <c r="K66">
        <v>1.9523809523809523</v>
      </c>
      <c r="L66">
        <v>-105</v>
      </c>
      <c r="M66">
        <v>0.51219512195121952</v>
      </c>
      <c r="P66">
        <v>0.19325678475377916</v>
      </c>
      <c r="Q66">
        <v>14.262350714828905</v>
      </c>
      <c r="R66">
        <v>19.643690606701405</v>
      </c>
      <c r="S66" t="s">
        <v>192</v>
      </c>
      <c r="T66">
        <f>IF(AND(S66="BET",D66&gt;D65),(Q66*K66)-Q66,-Q66)</f>
        <v>-14.262350714828905</v>
      </c>
      <c r="U66">
        <f t="shared" si="6"/>
        <v>0</v>
      </c>
    </row>
    <row r="67" spans="1:21" hidden="1" x14ac:dyDescent="0.35">
      <c r="A67">
        <v>1203</v>
      </c>
      <c r="B67" t="s">
        <v>151</v>
      </c>
      <c r="C67" s="1" t="s">
        <v>172</v>
      </c>
      <c r="D67">
        <v>1</v>
      </c>
      <c r="E67">
        <v>-105</v>
      </c>
      <c r="F67" t="s">
        <v>131</v>
      </c>
      <c r="G67" t="s">
        <v>47</v>
      </c>
      <c r="H67">
        <v>2.3478488318807131</v>
      </c>
      <c r="I67">
        <v>0.66694074074435916</v>
      </c>
      <c r="J67">
        <v>1.4993835867395355</v>
      </c>
      <c r="K67">
        <v>1.9523809523809523</v>
      </c>
      <c r="L67">
        <v>-105</v>
      </c>
      <c r="M67">
        <v>0.51219512195121952</v>
      </c>
      <c r="P67">
        <v>0.15474561879313964</v>
      </c>
      <c r="Q67">
        <v>11.420226666933701</v>
      </c>
      <c r="R67">
        <v>14.870532940059194</v>
      </c>
      <c r="S67" t="s">
        <v>192</v>
      </c>
      <c r="T67">
        <f>IF(AND(S67="BET",D67&gt;D68),(Q67*K67)-Q67,-Q67)</f>
        <v>-11.420226666933701</v>
      </c>
      <c r="U67">
        <f t="shared" si="6"/>
        <v>-11.420226666933701</v>
      </c>
    </row>
    <row r="68" spans="1:21" hidden="1" x14ac:dyDescent="0.35">
      <c r="A68">
        <v>1203</v>
      </c>
      <c r="B68" t="s">
        <v>153</v>
      </c>
      <c r="C68" s="1" t="s">
        <v>165</v>
      </c>
      <c r="D68">
        <v>5</v>
      </c>
      <c r="E68">
        <v>-105</v>
      </c>
      <c r="F68" t="s">
        <v>128</v>
      </c>
      <c r="G68" t="s">
        <v>66</v>
      </c>
      <c r="H68">
        <v>1.478379219868567</v>
      </c>
      <c r="I68">
        <v>0.33302335716603504</v>
      </c>
      <c r="J68">
        <v>3.0027923822215006</v>
      </c>
      <c r="K68">
        <v>1.9523809523809523</v>
      </c>
      <c r="L68">
        <v>-105</v>
      </c>
      <c r="M68">
        <v>0.51219512195121952</v>
      </c>
      <c r="P68">
        <v>-0.17917176478518448</v>
      </c>
      <c r="Q68">
        <v>0</v>
      </c>
      <c r="R68">
        <v>0</v>
      </c>
      <c r="S68" t="s">
        <v>193</v>
      </c>
      <c r="T68">
        <f>IF(AND(S68="BET",D68&gt;D67),(Q68*K68)-Q68,-Q68)</f>
        <v>0</v>
      </c>
      <c r="U68">
        <f t="shared" si="6"/>
        <v>0</v>
      </c>
    </row>
    <row r="69" spans="1:21" hidden="1" x14ac:dyDescent="0.35">
      <c r="A69">
        <v>1203</v>
      </c>
      <c r="B69" t="s">
        <v>151</v>
      </c>
      <c r="C69" s="1" t="s">
        <v>152</v>
      </c>
      <c r="D69">
        <v>2</v>
      </c>
      <c r="E69">
        <v>145</v>
      </c>
      <c r="F69" t="s">
        <v>131</v>
      </c>
      <c r="G69" t="s">
        <v>58</v>
      </c>
      <c r="H69">
        <v>1.9322385135726849</v>
      </c>
      <c r="I69">
        <v>0.31568663655689277</v>
      </c>
      <c r="J69">
        <v>3.1676982304563941</v>
      </c>
      <c r="K69">
        <v>2.4500000000000002</v>
      </c>
      <c r="L69">
        <v>145</v>
      </c>
      <c r="M69">
        <v>0.4081632653061224</v>
      </c>
      <c r="P69">
        <v>-9.2476628749229628E-2</v>
      </c>
      <c r="Q69">
        <v>0</v>
      </c>
      <c r="R69">
        <v>0</v>
      </c>
      <c r="S69" t="s">
        <v>193</v>
      </c>
      <c r="T69">
        <f>IF(AND(S69="BET",D69&gt;D70),(Q69*K69)-Q69,-Q69)</f>
        <v>0</v>
      </c>
      <c r="U69">
        <f t="shared" si="6"/>
        <v>0</v>
      </c>
    </row>
    <row r="70" spans="1:21" hidden="1" x14ac:dyDescent="0.35">
      <c r="A70">
        <v>1203</v>
      </c>
      <c r="B70" t="s">
        <v>153</v>
      </c>
      <c r="C70" s="1" t="s">
        <v>157</v>
      </c>
      <c r="D70">
        <v>5</v>
      </c>
      <c r="E70">
        <v>-160</v>
      </c>
      <c r="F70" t="s">
        <v>128</v>
      </c>
      <c r="G70" t="s">
        <v>65</v>
      </c>
      <c r="H70">
        <v>3.0229767778078314</v>
      </c>
      <c r="I70">
        <v>0.6839958619842188</v>
      </c>
      <c r="J70">
        <v>1.461997148782564</v>
      </c>
      <c r="K70">
        <v>1.625</v>
      </c>
      <c r="L70">
        <v>-160</v>
      </c>
      <c r="M70">
        <v>0.61538461538461542</v>
      </c>
      <c r="P70">
        <v>6.8611246599603382E-2</v>
      </c>
      <c r="Q70">
        <v>6.422012681722884</v>
      </c>
      <c r="R70">
        <v>7.138023912351521</v>
      </c>
      <c r="S70" t="s">
        <v>192</v>
      </c>
      <c r="T70">
        <f>IF(AND(S70="BET",D70&gt;D69),(Q70*K70)-Q70,-Q70)</f>
        <v>4.0137579260768019</v>
      </c>
      <c r="U70">
        <f t="shared" si="6"/>
        <v>4.0137579260768019</v>
      </c>
    </row>
    <row r="71" spans="1:21" hidden="1" x14ac:dyDescent="0.35">
      <c r="A71">
        <v>1203</v>
      </c>
      <c r="B71" t="s">
        <v>151</v>
      </c>
      <c r="C71" s="1" t="s">
        <v>155</v>
      </c>
      <c r="D71">
        <v>5</v>
      </c>
      <c r="E71">
        <v>-110</v>
      </c>
      <c r="F71" t="s">
        <v>131</v>
      </c>
      <c r="G71" t="s">
        <v>67</v>
      </c>
      <c r="H71">
        <v>2.269711593923085</v>
      </c>
      <c r="I71">
        <v>0.52492865132737465</v>
      </c>
      <c r="J71">
        <v>1.9050208013438086</v>
      </c>
      <c r="K71">
        <v>1.9090909090909092</v>
      </c>
      <c r="L71">
        <v>-110</v>
      </c>
      <c r="M71">
        <v>0.52380952380952384</v>
      </c>
      <c r="P71">
        <v>1.1191275178508153E-3</v>
      </c>
      <c r="Q71">
        <v>8.4606040349524028E-2</v>
      </c>
      <c r="R71">
        <v>8.4786802522847898E-2</v>
      </c>
      <c r="S71" t="s">
        <v>193</v>
      </c>
      <c r="T71">
        <f>IF(AND(S71="BET",D71&gt;D72),(Q71*K71)-Q71,-Q71)</f>
        <v>-8.4606040349524028E-2</v>
      </c>
      <c r="U71">
        <f t="shared" si="6"/>
        <v>0</v>
      </c>
    </row>
    <row r="72" spans="1:21" hidden="1" x14ac:dyDescent="0.35">
      <c r="A72">
        <v>1203</v>
      </c>
      <c r="B72" t="s">
        <v>153</v>
      </c>
      <c r="C72" s="1" t="s">
        <v>159</v>
      </c>
      <c r="D72">
        <v>2</v>
      </c>
      <c r="E72">
        <v>100</v>
      </c>
      <c r="F72" t="s">
        <v>128</v>
      </c>
      <c r="G72" t="s">
        <v>61</v>
      </c>
      <c r="H72">
        <v>2.1343288092323389</v>
      </c>
      <c r="I72">
        <v>0.47503011294637831</v>
      </c>
      <c r="J72">
        <v>2.105129701772992</v>
      </c>
      <c r="K72">
        <v>2</v>
      </c>
      <c r="L72">
        <v>100</v>
      </c>
      <c r="M72">
        <v>0.5</v>
      </c>
      <c r="P72">
        <v>-2.4969887053621687E-2</v>
      </c>
      <c r="Q72">
        <v>0</v>
      </c>
      <c r="R72">
        <v>0</v>
      </c>
      <c r="S72" t="s">
        <v>193</v>
      </c>
      <c r="T72">
        <f t="shared" ref="T72:T96" si="7">IF(AND(S72="BET",D72&gt;D71),(Q72*K72)-Q72,-Q72)</f>
        <v>0</v>
      </c>
      <c r="U72">
        <f t="shared" si="6"/>
        <v>0</v>
      </c>
    </row>
    <row r="73" spans="1:21" hidden="1" x14ac:dyDescent="0.35">
      <c r="A73">
        <v>1204</v>
      </c>
      <c r="B73" t="s">
        <v>151</v>
      </c>
      <c r="C73" s="1" t="s">
        <v>174</v>
      </c>
      <c r="D73">
        <v>3</v>
      </c>
      <c r="E73">
        <v>115</v>
      </c>
      <c r="F73" t="s">
        <v>131</v>
      </c>
      <c r="G73" t="s">
        <v>46</v>
      </c>
      <c r="H73">
        <v>2.1508095954942821</v>
      </c>
      <c r="I73">
        <v>0.53477001947387426</v>
      </c>
      <c r="J73">
        <v>1.8699627196450457</v>
      </c>
      <c r="K73">
        <v>2.15</v>
      </c>
      <c r="L73">
        <v>115</v>
      </c>
      <c r="M73">
        <v>0.46511627906976744</v>
      </c>
      <c r="P73">
        <v>6.9653740404106823E-2</v>
      </c>
      <c r="Q73">
        <v>4.6879995715459719</v>
      </c>
      <c r="R73">
        <v>5.3900534876636801</v>
      </c>
      <c r="S73" t="s">
        <v>192</v>
      </c>
      <c r="T73">
        <f>IF(AND(S73="BET",D73&gt;D74),(Q73*K73)-Q73,-Q73)</f>
        <v>5.3911995072778671</v>
      </c>
      <c r="U73">
        <f t="shared" si="6"/>
        <v>5.3911995072778671</v>
      </c>
    </row>
    <row r="74" spans="1:21" hidden="1" x14ac:dyDescent="0.35">
      <c r="A74">
        <v>1204</v>
      </c>
      <c r="B74" t="s">
        <v>153</v>
      </c>
      <c r="C74" s="1" t="s">
        <v>154</v>
      </c>
      <c r="D74">
        <v>1</v>
      </c>
      <c r="E74">
        <v>-125</v>
      </c>
      <c r="F74" t="s">
        <v>128</v>
      </c>
      <c r="G74" t="s">
        <v>64</v>
      </c>
      <c r="H74">
        <v>1.9678008793090525</v>
      </c>
      <c r="I74">
        <v>0.46520669437674389</v>
      </c>
      <c r="J74">
        <v>2.1495821364732084</v>
      </c>
      <c r="K74">
        <v>1.8</v>
      </c>
      <c r="L74">
        <v>-125</v>
      </c>
      <c r="M74">
        <v>0.55555555555555558</v>
      </c>
      <c r="P74">
        <v>-9.034886117881169E-2</v>
      </c>
      <c r="Q74">
        <v>0</v>
      </c>
      <c r="R74">
        <v>0</v>
      </c>
      <c r="S74" t="s">
        <v>193</v>
      </c>
      <c r="T74">
        <f t="shared" si="7"/>
        <v>0</v>
      </c>
      <c r="U74">
        <f t="shared" si="6"/>
        <v>0</v>
      </c>
    </row>
    <row r="75" spans="1:21" ht="14.5" hidden="1" customHeight="1" x14ac:dyDescent="0.35">
      <c r="A75">
        <v>1204</v>
      </c>
      <c r="B75" t="s">
        <v>151</v>
      </c>
      <c r="C75" s="1" t="s">
        <v>156</v>
      </c>
      <c r="D75">
        <v>0</v>
      </c>
      <c r="E75">
        <v>-103</v>
      </c>
      <c r="F75" t="s">
        <v>131</v>
      </c>
      <c r="G75" t="s">
        <v>62</v>
      </c>
      <c r="H75">
        <v>2.6604950467392348</v>
      </c>
      <c r="I75">
        <v>0.60164781106828713</v>
      </c>
      <c r="J75">
        <v>1.662101950016901</v>
      </c>
      <c r="K75">
        <v>1.970873786407767</v>
      </c>
      <c r="L75">
        <v>-103</v>
      </c>
      <c r="M75">
        <v>0.5073891625615764</v>
      </c>
      <c r="P75">
        <v>9.4258648506710729E-2</v>
      </c>
      <c r="Q75">
        <v>6.8884220328704195</v>
      </c>
      <c r="R75">
        <v>8.1680972783648809</v>
      </c>
      <c r="S75" t="s">
        <v>192</v>
      </c>
      <c r="T75">
        <f>IF(AND(S75="BET",D75&gt;D76),(Q75*K75)-Q75,-Q75)</f>
        <v>-6.8884220328704195</v>
      </c>
      <c r="U75">
        <f t="shared" si="6"/>
        <v>-6.8884220328704195</v>
      </c>
    </row>
    <row r="76" spans="1:21" ht="14.5" hidden="1" customHeight="1" x14ac:dyDescent="0.35">
      <c r="A76">
        <v>1204</v>
      </c>
      <c r="B76" t="s">
        <v>153</v>
      </c>
      <c r="C76" s="1" t="s">
        <v>168</v>
      </c>
      <c r="D76">
        <v>3</v>
      </c>
      <c r="E76">
        <v>-107</v>
      </c>
      <c r="F76" t="s">
        <v>128</v>
      </c>
      <c r="G76" t="s">
        <v>60</v>
      </c>
      <c r="H76">
        <v>2.083819727253569</v>
      </c>
      <c r="I76">
        <v>0.3982343200209002</v>
      </c>
      <c r="J76">
        <v>2.5110844287542013</v>
      </c>
      <c r="K76">
        <v>1.9345794392523366</v>
      </c>
      <c r="L76">
        <v>-107</v>
      </c>
      <c r="M76">
        <v>0.51690821256038644</v>
      </c>
      <c r="P76">
        <v>-0.11867389253948624</v>
      </c>
      <c r="Q76">
        <v>0</v>
      </c>
      <c r="R76">
        <v>0</v>
      </c>
      <c r="S76" t="s">
        <v>193</v>
      </c>
      <c r="T76">
        <f t="shared" si="7"/>
        <v>0</v>
      </c>
      <c r="U76">
        <f t="shared" si="6"/>
        <v>0</v>
      </c>
    </row>
    <row r="77" spans="1:21" hidden="1" x14ac:dyDescent="0.35">
      <c r="A77">
        <v>1204</v>
      </c>
      <c r="B77" t="s">
        <v>151</v>
      </c>
      <c r="C77" s="1" t="s">
        <v>152</v>
      </c>
      <c r="D77">
        <v>5</v>
      </c>
      <c r="E77">
        <v>185</v>
      </c>
      <c r="F77" t="s">
        <v>131</v>
      </c>
      <c r="G77" t="s">
        <v>58</v>
      </c>
      <c r="H77">
        <v>2.1291227819915908</v>
      </c>
      <c r="I77">
        <v>0.40871214101457087</v>
      </c>
      <c r="J77">
        <v>2.4467097980442651</v>
      </c>
      <c r="K77">
        <v>2.85</v>
      </c>
      <c r="L77">
        <v>185</v>
      </c>
      <c r="M77">
        <v>0.35087719298245612</v>
      </c>
      <c r="P77">
        <v>5.7834948032114752E-2</v>
      </c>
      <c r="Q77">
        <v>3.2074949557270114</v>
      </c>
      <c r="R77">
        <v>3.7361850723485759</v>
      </c>
      <c r="S77" t="s">
        <v>192</v>
      </c>
      <c r="T77">
        <f>IF(AND(S77="BET",D77&gt;D78),(Q77*K77)-Q77,-Q77)</f>
        <v>5.9338656680949722</v>
      </c>
      <c r="U77">
        <f t="shared" si="6"/>
        <v>0</v>
      </c>
    </row>
    <row r="78" spans="1:21" hidden="1" x14ac:dyDescent="0.35">
      <c r="A78">
        <v>1204</v>
      </c>
      <c r="B78" t="s">
        <v>153</v>
      </c>
      <c r="C78" s="1" t="s">
        <v>158</v>
      </c>
      <c r="D78">
        <v>2</v>
      </c>
      <c r="E78">
        <v>-205</v>
      </c>
      <c r="F78" t="s">
        <v>128</v>
      </c>
      <c r="G78" t="s">
        <v>49</v>
      </c>
      <c r="H78">
        <v>2.6470782439705749</v>
      </c>
      <c r="I78">
        <v>0.59117188353980976</v>
      </c>
      <c r="J78">
        <v>1.6915554136509598</v>
      </c>
      <c r="K78">
        <v>1.4878048780487805</v>
      </c>
      <c r="L78">
        <v>-205</v>
      </c>
      <c r="M78">
        <v>0.67213114754098358</v>
      </c>
      <c r="P78">
        <v>-8.0959264001173814E-2</v>
      </c>
      <c r="Q78">
        <v>0</v>
      </c>
      <c r="R78">
        <v>0</v>
      </c>
      <c r="S78" t="s">
        <v>193</v>
      </c>
      <c r="T78">
        <f t="shared" si="7"/>
        <v>0</v>
      </c>
      <c r="U78">
        <f t="shared" si="6"/>
        <v>0</v>
      </c>
    </row>
    <row r="79" spans="1:21" ht="14.5" hidden="1" customHeight="1" x14ac:dyDescent="0.35">
      <c r="A79">
        <v>1204</v>
      </c>
      <c r="B79" t="s">
        <v>151</v>
      </c>
      <c r="C79" s="1" t="s">
        <v>155</v>
      </c>
      <c r="D79">
        <v>3</v>
      </c>
      <c r="E79">
        <v>-150</v>
      </c>
      <c r="F79" t="s">
        <v>131</v>
      </c>
      <c r="G79" t="s">
        <v>67</v>
      </c>
      <c r="H79">
        <v>3.8349870644565405</v>
      </c>
      <c r="I79">
        <v>0.74007951041953501</v>
      </c>
      <c r="J79">
        <v>1.3512061689603077</v>
      </c>
      <c r="K79">
        <v>1.6666666666666665</v>
      </c>
      <c r="L79">
        <v>-150</v>
      </c>
      <c r="M79">
        <v>0.60000000000000009</v>
      </c>
      <c r="P79">
        <v>0.14007951041953492</v>
      </c>
      <c r="Q79">
        <v>11.831815847586018</v>
      </c>
      <c r="R79">
        <v>14.594140799759259</v>
      </c>
      <c r="S79" t="s">
        <v>192</v>
      </c>
      <c r="T79">
        <f t="shared" ref="T79:T95" si="8">IF(AND(S79="BET",D79&gt;D80),(Q79*K79)-Q79,-Q79)</f>
        <v>7.887877231724012</v>
      </c>
      <c r="U79">
        <f t="shared" si="6"/>
        <v>7.887877231724012</v>
      </c>
    </row>
    <row r="80" spans="1:21" ht="14.5" hidden="1" customHeight="1" x14ac:dyDescent="0.35">
      <c r="A80">
        <v>1204</v>
      </c>
      <c r="B80" t="s">
        <v>153</v>
      </c>
      <c r="C80" s="1" t="s">
        <v>183</v>
      </c>
      <c r="D80">
        <v>1</v>
      </c>
      <c r="E80">
        <v>135</v>
      </c>
      <c r="F80" t="s">
        <v>128</v>
      </c>
      <c r="G80" t="s">
        <v>49</v>
      </c>
      <c r="H80">
        <v>2.2152166306573329</v>
      </c>
      <c r="I80">
        <v>0.25783124889413878</v>
      </c>
      <c r="J80">
        <v>3.8785058222736351</v>
      </c>
      <c r="K80">
        <v>2.35</v>
      </c>
      <c r="L80">
        <v>135</v>
      </c>
      <c r="M80">
        <v>0.42553191489361702</v>
      </c>
      <c r="P80">
        <v>-0.16770066599947825</v>
      </c>
      <c r="Q80">
        <v>0</v>
      </c>
      <c r="R80">
        <v>0</v>
      </c>
      <c r="S80" t="s">
        <v>193</v>
      </c>
      <c r="T80">
        <f t="shared" si="7"/>
        <v>0</v>
      </c>
      <c r="U80">
        <f t="shared" si="6"/>
        <v>0</v>
      </c>
    </row>
    <row r="81" spans="1:21" ht="14.5" hidden="1" customHeight="1" x14ac:dyDescent="0.35">
      <c r="A81" s="35">
        <v>1205</v>
      </c>
      <c r="B81" t="s">
        <v>151</v>
      </c>
      <c r="C81" s="1" t="s">
        <v>175</v>
      </c>
      <c r="D81">
        <v>3</v>
      </c>
      <c r="E81">
        <v>130</v>
      </c>
      <c r="F81" t="s">
        <v>131</v>
      </c>
      <c r="G81" t="s">
        <v>39</v>
      </c>
      <c r="H81">
        <v>1.933932853265655</v>
      </c>
      <c r="I81">
        <v>0.45799862213155024</v>
      </c>
      <c r="J81">
        <v>2.1834126822171345</v>
      </c>
      <c r="K81">
        <v>2.2999999999999998</v>
      </c>
      <c r="L81">
        <v>130</v>
      </c>
      <c r="M81">
        <v>0.43478260869565222</v>
      </c>
      <c r="P81">
        <v>2.321601343589802E-2</v>
      </c>
      <c r="Q81">
        <v>1.4716801252578395</v>
      </c>
      <c r="R81">
        <v>1.5502631800488988</v>
      </c>
      <c r="S81" t="s">
        <v>193</v>
      </c>
      <c r="T81">
        <f t="shared" si="8"/>
        <v>-1.4716801252578395</v>
      </c>
      <c r="U81">
        <f t="shared" si="6"/>
        <v>0</v>
      </c>
    </row>
    <row r="82" spans="1:21" ht="14.5" hidden="1" customHeight="1" x14ac:dyDescent="0.35">
      <c r="A82" s="35">
        <v>1205</v>
      </c>
      <c r="B82" t="s">
        <v>153</v>
      </c>
      <c r="C82" s="1" t="s">
        <v>178</v>
      </c>
      <c r="D82">
        <v>1</v>
      </c>
      <c r="E82">
        <v>-140</v>
      </c>
      <c r="F82" t="s">
        <v>128</v>
      </c>
      <c r="G82" t="s">
        <v>59</v>
      </c>
      <c r="H82">
        <v>2.1542134897160676</v>
      </c>
      <c r="I82">
        <v>0.54197891908723772</v>
      </c>
      <c r="J82">
        <v>1.8450902143650325</v>
      </c>
      <c r="K82">
        <v>1.7142857142857144</v>
      </c>
      <c r="L82">
        <v>-140</v>
      </c>
      <c r="M82">
        <v>0.58333333333333326</v>
      </c>
      <c r="P82">
        <v>-4.1354414246095539E-2</v>
      </c>
      <c r="Q82">
        <v>0</v>
      </c>
      <c r="R82">
        <v>0</v>
      </c>
      <c r="S82" t="s">
        <v>193</v>
      </c>
      <c r="T82">
        <f t="shared" si="7"/>
        <v>0</v>
      </c>
      <c r="U82">
        <f t="shared" si="6"/>
        <v>0</v>
      </c>
    </row>
    <row r="83" spans="1:21" hidden="1" x14ac:dyDescent="0.35">
      <c r="A83" s="35">
        <v>1205</v>
      </c>
      <c r="B83" t="s">
        <v>151</v>
      </c>
      <c r="C83" s="1" t="s">
        <v>177</v>
      </c>
      <c r="D83">
        <v>4</v>
      </c>
      <c r="E83">
        <v>200</v>
      </c>
      <c r="F83" t="s">
        <v>131</v>
      </c>
      <c r="G83" t="s">
        <v>45</v>
      </c>
      <c r="H83">
        <v>2.1962974943986664</v>
      </c>
      <c r="I83">
        <v>0.39508697185162112</v>
      </c>
      <c r="J83">
        <v>2.5310882697887593</v>
      </c>
      <c r="K83">
        <v>3</v>
      </c>
      <c r="L83">
        <v>200</v>
      </c>
      <c r="M83">
        <v>0.33333333333333331</v>
      </c>
      <c r="P83">
        <v>6.1753638518287801E-2</v>
      </c>
      <c r="Q83">
        <v>3.3189071677181103</v>
      </c>
      <c r="R83">
        <v>3.9337709482511656</v>
      </c>
      <c r="S83" t="s">
        <v>192</v>
      </c>
      <c r="T83">
        <f t="shared" si="8"/>
        <v>6.6378143354362198</v>
      </c>
      <c r="U83">
        <f t="shared" si="6"/>
        <v>0</v>
      </c>
    </row>
    <row r="84" spans="1:21" hidden="1" x14ac:dyDescent="0.35">
      <c r="A84" s="35">
        <v>1205</v>
      </c>
      <c r="B84" t="s">
        <v>153</v>
      </c>
      <c r="C84" s="1" t="s">
        <v>171</v>
      </c>
      <c r="D84">
        <v>3</v>
      </c>
      <c r="E84">
        <v>-220</v>
      </c>
      <c r="F84" t="s">
        <v>128</v>
      </c>
      <c r="G84" t="s">
        <v>40</v>
      </c>
      <c r="H84">
        <v>2.8062090306109568</v>
      </c>
      <c r="I84">
        <v>0.60472670222904501</v>
      </c>
      <c r="J84">
        <v>1.653639563647451</v>
      </c>
      <c r="K84">
        <v>1.4545454545454546</v>
      </c>
      <c r="L84">
        <v>-220</v>
      </c>
      <c r="M84">
        <v>0.6875</v>
      </c>
      <c r="P84">
        <v>-8.277329777095499E-2</v>
      </c>
      <c r="Q84">
        <v>0</v>
      </c>
      <c r="R84">
        <v>0</v>
      </c>
      <c r="S84" t="s">
        <v>193</v>
      </c>
      <c r="T84">
        <f t="shared" si="7"/>
        <v>0</v>
      </c>
      <c r="U84">
        <f t="shared" si="6"/>
        <v>0</v>
      </c>
    </row>
    <row r="85" spans="1:21" hidden="1" x14ac:dyDescent="0.35">
      <c r="A85" s="35">
        <v>1205</v>
      </c>
      <c r="B85" t="s">
        <v>151</v>
      </c>
      <c r="C85" s="1" t="s">
        <v>160</v>
      </c>
      <c r="D85">
        <v>2</v>
      </c>
      <c r="E85">
        <v>108</v>
      </c>
      <c r="F85" t="s">
        <v>131</v>
      </c>
      <c r="G85" t="s">
        <v>68</v>
      </c>
      <c r="H85">
        <v>1.9559157907216582</v>
      </c>
      <c r="I85">
        <v>0.36427525426878121</v>
      </c>
      <c r="J85">
        <v>2.7451768635981737</v>
      </c>
      <c r="K85">
        <v>2.08</v>
      </c>
      <c r="L85">
        <v>108</v>
      </c>
      <c r="M85">
        <v>0.48076923076923073</v>
      </c>
      <c r="P85">
        <v>-0.11649397650044951</v>
      </c>
      <c r="Q85">
        <v>0</v>
      </c>
      <c r="R85">
        <v>0</v>
      </c>
      <c r="S85" t="s">
        <v>193</v>
      </c>
      <c r="T85">
        <f t="shared" si="8"/>
        <v>0</v>
      </c>
      <c r="U85">
        <f t="shared" si="6"/>
        <v>0</v>
      </c>
    </row>
    <row r="86" spans="1:21" hidden="1" x14ac:dyDescent="0.35">
      <c r="A86" s="35">
        <v>1205</v>
      </c>
      <c r="B86" t="s">
        <v>153</v>
      </c>
      <c r="C86" s="1" t="s">
        <v>180</v>
      </c>
      <c r="D86">
        <v>3</v>
      </c>
      <c r="E86">
        <v>-118</v>
      </c>
      <c r="F86" t="s">
        <v>128</v>
      </c>
      <c r="G86" t="s">
        <v>56</v>
      </c>
      <c r="H86">
        <v>2.7260405209054035</v>
      </c>
      <c r="I86">
        <v>0.6355876420245421</v>
      </c>
      <c r="J86">
        <v>1.5733471418901295</v>
      </c>
      <c r="K86">
        <v>1.847457627118644</v>
      </c>
      <c r="L86">
        <v>-118</v>
      </c>
      <c r="M86">
        <v>0.54128440366972475</v>
      </c>
      <c r="P86">
        <v>9.4303238354817354E-2</v>
      </c>
      <c r="Q86">
        <v>7.365875854114261</v>
      </c>
      <c r="R86">
        <v>8.6491678567162253</v>
      </c>
      <c r="S86" t="s">
        <v>192</v>
      </c>
      <c r="T86">
        <f t="shared" si="7"/>
        <v>6.242267672978187</v>
      </c>
      <c r="U86">
        <f t="shared" si="6"/>
        <v>6.242267672978187</v>
      </c>
    </row>
    <row r="87" spans="1:21" hidden="1" x14ac:dyDescent="0.35">
      <c r="A87" s="35">
        <v>1205</v>
      </c>
      <c r="B87" t="s">
        <v>151</v>
      </c>
      <c r="C87" s="1" t="s">
        <v>174</v>
      </c>
      <c r="D87">
        <v>3</v>
      </c>
      <c r="E87">
        <v>-105</v>
      </c>
      <c r="F87" t="s">
        <v>131</v>
      </c>
      <c r="G87" t="s">
        <v>46</v>
      </c>
      <c r="H87">
        <v>3.9829676048348981</v>
      </c>
      <c r="I87">
        <v>0.76421739474279504</v>
      </c>
      <c r="J87">
        <v>1.3085281843611527</v>
      </c>
      <c r="K87">
        <v>1.9523809523809523</v>
      </c>
      <c r="L87">
        <v>-105</v>
      </c>
      <c r="M87">
        <v>0.51219512195121952</v>
      </c>
      <c r="P87">
        <v>0.25202227279157552</v>
      </c>
      <c r="Q87">
        <v>18.511178965397828</v>
      </c>
      <c r="R87">
        <v>27.619483974510107</v>
      </c>
      <c r="S87" t="s">
        <v>192</v>
      </c>
      <c r="T87">
        <f t="shared" si="8"/>
        <v>17.629694252759837</v>
      </c>
      <c r="U87">
        <f t="shared" si="6"/>
        <v>0</v>
      </c>
    </row>
    <row r="88" spans="1:21" hidden="1" x14ac:dyDescent="0.35">
      <c r="A88" s="35">
        <v>1205</v>
      </c>
      <c r="B88" t="s">
        <v>153</v>
      </c>
      <c r="C88" s="1" t="s">
        <v>163</v>
      </c>
      <c r="D88">
        <v>2</v>
      </c>
      <c r="E88">
        <v>-105</v>
      </c>
      <c r="F88" t="s">
        <v>128</v>
      </c>
      <c r="G88" t="s">
        <v>53</v>
      </c>
      <c r="H88">
        <v>2.1574450421254041</v>
      </c>
      <c r="I88">
        <v>0.23301529617146127</v>
      </c>
      <c r="J88">
        <v>4.291563757531879</v>
      </c>
      <c r="K88">
        <v>1.9523809523809523</v>
      </c>
      <c r="L88">
        <v>-105</v>
      </c>
      <c r="M88">
        <v>0.51219512195121952</v>
      </c>
      <c r="P88">
        <v>-0.27917982577975825</v>
      </c>
      <c r="Q88">
        <v>0</v>
      </c>
      <c r="R88">
        <v>0</v>
      </c>
      <c r="S88" t="s">
        <v>193</v>
      </c>
      <c r="T88">
        <f t="shared" si="7"/>
        <v>0</v>
      </c>
      <c r="U88">
        <f t="shared" si="6"/>
        <v>0</v>
      </c>
    </row>
    <row r="89" spans="1:21" hidden="1" x14ac:dyDescent="0.35">
      <c r="A89" s="35">
        <v>1205</v>
      </c>
      <c r="B89" t="s">
        <v>151</v>
      </c>
      <c r="C89" s="1" t="s">
        <v>166</v>
      </c>
      <c r="D89">
        <v>3</v>
      </c>
      <c r="E89">
        <v>125</v>
      </c>
      <c r="F89" t="s">
        <v>131</v>
      </c>
      <c r="G89" t="s">
        <v>57</v>
      </c>
      <c r="H89">
        <v>2.4187275343803663</v>
      </c>
      <c r="I89">
        <v>0.56389104257289435</v>
      </c>
      <c r="J89">
        <v>1.773392241588462</v>
      </c>
      <c r="K89">
        <v>2.25</v>
      </c>
      <c r="L89">
        <v>125</v>
      </c>
      <c r="M89">
        <v>0.44444444444444442</v>
      </c>
      <c r="P89">
        <v>0.11944659812844993</v>
      </c>
      <c r="Q89">
        <v>7.7034911017395089</v>
      </c>
      <c r="R89">
        <v>9.7738416648245376</v>
      </c>
      <c r="S89" t="s">
        <v>192</v>
      </c>
      <c r="T89">
        <f t="shared" si="8"/>
        <v>9.6293638771743844</v>
      </c>
      <c r="U89">
        <f t="shared" si="6"/>
        <v>9.6293638771743844</v>
      </c>
    </row>
    <row r="90" spans="1:21" hidden="1" x14ac:dyDescent="0.35">
      <c r="A90" s="35">
        <v>1205</v>
      </c>
      <c r="B90" t="s">
        <v>153</v>
      </c>
      <c r="C90" s="1" t="s">
        <v>179</v>
      </c>
      <c r="D90">
        <v>2</v>
      </c>
      <c r="E90">
        <v>-135</v>
      </c>
      <c r="F90" t="s">
        <v>128</v>
      </c>
      <c r="G90" t="s">
        <v>43</v>
      </c>
      <c r="H90">
        <v>2.0677627877451332</v>
      </c>
      <c r="I90">
        <v>0.43605158888596884</v>
      </c>
      <c r="J90">
        <v>2.2933066304260352</v>
      </c>
      <c r="K90">
        <v>1.7407407407407407</v>
      </c>
      <c r="L90">
        <v>-135</v>
      </c>
      <c r="M90">
        <v>0.57446808510638303</v>
      </c>
      <c r="P90">
        <v>-0.13841649622041419</v>
      </c>
      <c r="Q90">
        <v>0</v>
      </c>
      <c r="R90">
        <v>0</v>
      </c>
      <c r="S90" t="s">
        <v>193</v>
      </c>
      <c r="T90">
        <f t="shared" si="7"/>
        <v>0</v>
      </c>
      <c r="U90">
        <f t="shared" si="6"/>
        <v>0</v>
      </c>
    </row>
    <row r="91" spans="1:21" hidden="1" x14ac:dyDescent="0.35">
      <c r="A91" s="35">
        <v>1205</v>
      </c>
      <c r="B91" t="s">
        <v>151</v>
      </c>
      <c r="C91" s="1" t="s">
        <v>169</v>
      </c>
      <c r="D91">
        <v>5</v>
      </c>
      <c r="E91">
        <v>190</v>
      </c>
      <c r="F91" t="s">
        <v>131</v>
      </c>
      <c r="G91" t="s">
        <v>52</v>
      </c>
      <c r="H91">
        <v>3.6460436559904492</v>
      </c>
      <c r="I91">
        <v>0.732154046752305</v>
      </c>
      <c r="J91">
        <v>1.3658327840101523</v>
      </c>
      <c r="K91">
        <v>2.9</v>
      </c>
      <c r="L91">
        <v>190</v>
      </c>
      <c r="M91">
        <v>0.34482758620689657</v>
      </c>
      <c r="P91">
        <v>0.38732646054540842</v>
      </c>
      <c r="Q91">
        <v>21.181799794276003</v>
      </c>
      <c r="R91">
        <v>44.974187266941321</v>
      </c>
      <c r="S91" t="s">
        <v>192</v>
      </c>
      <c r="T91">
        <f t="shared" si="8"/>
        <v>40.245419609124404</v>
      </c>
      <c r="U91">
        <f t="shared" si="6"/>
        <v>0</v>
      </c>
    </row>
    <row r="92" spans="1:21" hidden="1" x14ac:dyDescent="0.35">
      <c r="A92" s="35">
        <v>1205</v>
      </c>
      <c r="B92" t="s">
        <v>153</v>
      </c>
      <c r="C92" s="1" t="s">
        <v>162</v>
      </c>
      <c r="D92">
        <v>4</v>
      </c>
      <c r="E92">
        <v>-210</v>
      </c>
      <c r="F92" t="s">
        <v>128</v>
      </c>
      <c r="G92" t="s">
        <v>63</v>
      </c>
      <c r="H92">
        <v>2.1259907995595784</v>
      </c>
      <c r="I92">
        <v>0.26642810672090966</v>
      </c>
      <c r="J92">
        <v>3.7533577530824322</v>
      </c>
      <c r="K92">
        <v>1.4761904761904763</v>
      </c>
      <c r="L92">
        <v>-210</v>
      </c>
      <c r="M92">
        <v>0.67741935483870963</v>
      </c>
      <c r="P92">
        <v>-0.41099124811779997</v>
      </c>
      <c r="Q92">
        <v>0</v>
      </c>
      <c r="R92">
        <v>0</v>
      </c>
      <c r="S92" t="s">
        <v>193</v>
      </c>
      <c r="T92">
        <f t="shared" si="7"/>
        <v>0</v>
      </c>
      <c r="U92">
        <f t="shared" si="6"/>
        <v>0</v>
      </c>
    </row>
    <row r="93" spans="1:21" hidden="1" x14ac:dyDescent="0.35">
      <c r="A93" s="35">
        <v>1205</v>
      </c>
      <c r="B93" t="s">
        <v>151</v>
      </c>
      <c r="C93" s="1" t="s">
        <v>159</v>
      </c>
      <c r="D93">
        <v>2</v>
      </c>
      <c r="E93">
        <v>140</v>
      </c>
      <c r="F93" t="s">
        <v>131</v>
      </c>
      <c r="G93" t="s">
        <v>52</v>
      </c>
      <c r="H93">
        <v>3.2678662071599955</v>
      </c>
      <c r="I93">
        <v>0.64406241614937332</v>
      </c>
      <c r="J93">
        <v>1.5526445495432795</v>
      </c>
      <c r="K93">
        <v>2.4</v>
      </c>
      <c r="L93">
        <v>140</v>
      </c>
      <c r="M93">
        <v>0.41666666666666669</v>
      </c>
      <c r="P93">
        <v>0.22739574948270663</v>
      </c>
      <c r="Q93">
        <v>13.967119318914527</v>
      </c>
      <c r="R93">
        <v>21.58967187644803</v>
      </c>
      <c r="S93" t="s">
        <v>192</v>
      </c>
      <c r="T93">
        <f t="shared" si="8"/>
        <v>-13.967119318914527</v>
      </c>
      <c r="U93">
        <f t="shared" si="6"/>
        <v>0</v>
      </c>
    </row>
    <row r="94" spans="1:21" hidden="1" x14ac:dyDescent="0.35">
      <c r="A94" s="35">
        <v>1205</v>
      </c>
      <c r="B94" t="s">
        <v>153</v>
      </c>
      <c r="C94" s="1" t="s">
        <v>164</v>
      </c>
      <c r="D94">
        <v>3</v>
      </c>
      <c r="E94">
        <v>-155</v>
      </c>
      <c r="F94" t="s">
        <v>128</v>
      </c>
      <c r="G94" t="s">
        <v>42</v>
      </c>
      <c r="H94">
        <v>2.3691348476061691</v>
      </c>
      <c r="I94">
        <v>0.35530980325734174</v>
      </c>
      <c r="J94">
        <v>2.8144452836155658</v>
      </c>
      <c r="K94">
        <v>1.6451612903225805</v>
      </c>
      <c r="L94">
        <v>-155</v>
      </c>
      <c r="M94">
        <v>0.60784313725490202</v>
      </c>
      <c r="P94">
        <v>-0.25253333399756028</v>
      </c>
      <c r="Q94">
        <v>0</v>
      </c>
      <c r="R94">
        <v>0</v>
      </c>
      <c r="S94" t="s">
        <v>193</v>
      </c>
      <c r="T94">
        <f t="shared" si="7"/>
        <v>0</v>
      </c>
      <c r="U94">
        <f t="shared" si="6"/>
        <v>0</v>
      </c>
    </row>
    <row r="95" spans="1:21" hidden="1" x14ac:dyDescent="0.35">
      <c r="A95" s="35">
        <v>1205</v>
      </c>
      <c r="B95" t="s">
        <v>151</v>
      </c>
      <c r="C95" s="1" t="s">
        <v>165</v>
      </c>
      <c r="D95">
        <v>2</v>
      </c>
      <c r="E95">
        <v>134</v>
      </c>
      <c r="F95" t="s">
        <v>131</v>
      </c>
      <c r="G95" t="s">
        <v>66</v>
      </c>
      <c r="H95">
        <v>2.4158753297362625</v>
      </c>
      <c r="I95">
        <v>0.54472920747850917</v>
      </c>
      <c r="J95">
        <v>1.8357745211219509</v>
      </c>
      <c r="K95">
        <v>2.34</v>
      </c>
      <c r="L95">
        <v>134</v>
      </c>
      <c r="M95">
        <v>0.42735042735042739</v>
      </c>
      <c r="P95">
        <v>0.11737878012808178</v>
      </c>
      <c r="Q95">
        <v>7.3441568827376216</v>
      </c>
      <c r="R95">
        <v>9.3613496144957171</v>
      </c>
      <c r="S95" t="s">
        <v>192</v>
      </c>
      <c r="T95">
        <f t="shared" si="8"/>
        <v>-7.3441568827376216</v>
      </c>
      <c r="U95">
        <f t="shared" si="6"/>
        <v>-7.3441568827376216</v>
      </c>
    </row>
    <row r="96" spans="1:21" hidden="1" x14ac:dyDescent="0.35">
      <c r="A96" s="35">
        <v>1205</v>
      </c>
      <c r="B96" t="s">
        <v>153</v>
      </c>
      <c r="C96" s="1" t="s">
        <v>172</v>
      </c>
      <c r="D96">
        <v>3</v>
      </c>
      <c r="E96">
        <v>-148</v>
      </c>
      <c r="F96" t="s">
        <v>128</v>
      </c>
      <c r="G96" t="s">
        <v>47</v>
      </c>
      <c r="H96">
        <v>2.1680670653183465</v>
      </c>
      <c r="I96">
        <v>0.45520783495035078</v>
      </c>
      <c r="J96">
        <v>2.1967987438288916</v>
      </c>
      <c r="K96">
        <v>1.6756756756756757</v>
      </c>
      <c r="L96">
        <v>-148</v>
      </c>
      <c r="M96">
        <v>0.59677419354838712</v>
      </c>
      <c r="P96">
        <v>-0.14156635859803635</v>
      </c>
      <c r="Q96">
        <v>0</v>
      </c>
      <c r="R96">
        <v>0</v>
      </c>
      <c r="S96" t="s">
        <v>193</v>
      </c>
      <c r="T96">
        <f t="shared" si="7"/>
        <v>0</v>
      </c>
      <c r="U96">
        <f t="shared" si="6"/>
        <v>0</v>
      </c>
    </row>
    <row r="97" spans="1:21" hidden="1" x14ac:dyDescent="0.35">
      <c r="A97" s="35">
        <v>1205</v>
      </c>
      <c r="B97" t="s">
        <v>151</v>
      </c>
      <c r="C97" s="1" t="s">
        <v>167</v>
      </c>
      <c r="D97">
        <v>3</v>
      </c>
      <c r="E97">
        <v>135</v>
      </c>
      <c r="F97" t="s">
        <v>131</v>
      </c>
      <c r="G97" t="s">
        <v>41</v>
      </c>
      <c r="H97">
        <v>2.4968540632859337</v>
      </c>
      <c r="I97">
        <v>0.5026693903811108</v>
      </c>
      <c r="J97">
        <v>1.9893791409137249</v>
      </c>
      <c r="K97">
        <v>2.35</v>
      </c>
      <c r="L97">
        <v>135</v>
      </c>
      <c r="M97">
        <v>0.42553191489361702</v>
      </c>
      <c r="P97">
        <v>7.7137475487493778E-2</v>
      </c>
      <c r="Q97">
        <v>4.8110604072791023</v>
      </c>
      <c r="R97">
        <v>5.6831760847321595</v>
      </c>
      <c r="S97" t="s">
        <v>192</v>
      </c>
      <c r="T97">
        <f>IF(AND(S97="BET",D97&gt;D98),(Q97*K97)-Q97,-Q97)</f>
        <v>-4.8110604072791023</v>
      </c>
      <c r="U97">
        <f t="shared" si="6"/>
        <v>-4.8110604072791023</v>
      </c>
    </row>
    <row r="98" spans="1:21" hidden="1" x14ac:dyDescent="0.35">
      <c r="A98" s="35">
        <v>1205</v>
      </c>
      <c r="B98" t="s">
        <v>153</v>
      </c>
      <c r="C98" s="1" t="s">
        <v>173</v>
      </c>
      <c r="D98">
        <v>4</v>
      </c>
      <c r="E98">
        <v>-150</v>
      </c>
      <c r="F98" t="s">
        <v>128</v>
      </c>
      <c r="G98" t="s">
        <v>44</v>
      </c>
      <c r="H98">
        <v>2.4811729787727264</v>
      </c>
      <c r="I98">
        <v>0.49721198330242744</v>
      </c>
      <c r="J98">
        <v>2.0112145997731385</v>
      </c>
      <c r="K98">
        <v>1.6666666666666665</v>
      </c>
      <c r="L98">
        <v>-150</v>
      </c>
      <c r="M98">
        <v>0.60000000000000009</v>
      </c>
      <c r="P98">
        <v>-0.10278801669757265</v>
      </c>
      <c r="Q98">
        <v>0</v>
      </c>
      <c r="R98">
        <v>0</v>
      </c>
      <c r="S98" t="s">
        <v>193</v>
      </c>
      <c r="T98">
        <f>IF(AND(S98="BET",D98&gt;D97),(Q98*K98)-Q98,-Q98)</f>
        <v>0</v>
      </c>
      <c r="U98">
        <f t="shared" si="6"/>
        <v>0</v>
      </c>
    </row>
    <row r="99" spans="1:21" hidden="1" x14ac:dyDescent="0.35">
      <c r="A99" s="25">
        <v>1206</v>
      </c>
      <c r="B99" t="s">
        <v>151</v>
      </c>
      <c r="C99" s="1" t="s">
        <v>177</v>
      </c>
      <c r="D99">
        <v>2</v>
      </c>
      <c r="E99">
        <v>122</v>
      </c>
      <c r="F99" t="s">
        <v>131</v>
      </c>
      <c r="G99" t="s">
        <v>45</v>
      </c>
      <c r="H99">
        <v>3.7027978301746836</v>
      </c>
      <c r="I99">
        <v>0.73813142953487798</v>
      </c>
      <c r="J99">
        <v>1.3547722803649405</v>
      </c>
      <c r="K99">
        <v>2.2199999999999998</v>
      </c>
      <c r="L99">
        <v>122</v>
      </c>
      <c r="M99">
        <v>0.45045045045045051</v>
      </c>
      <c r="P99">
        <v>0.28768097908442747</v>
      </c>
      <c r="Q99">
        <v>23.730542501702558</v>
      </c>
      <c r="R99">
        <v>38.886095558132148</v>
      </c>
      <c r="S99" t="s">
        <v>192</v>
      </c>
      <c r="T99">
        <f>IF(AND(S99="BET",D99&gt;D100),(Q99*K99)-Q99,-Q99)</f>
        <v>28.951261852077117</v>
      </c>
      <c r="U99">
        <f t="shared" si="6"/>
        <v>0</v>
      </c>
    </row>
    <row r="100" spans="1:21" hidden="1" x14ac:dyDescent="0.35">
      <c r="A100" s="25">
        <v>1206</v>
      </c>
      <c r="B100" t="s">
        <v>153</v>
      </c>
      <c r="C100" s="1" t="s">
        <v>181</v>
      </c>
      <c r="D100">
        <v>1</v>
      </c>
      <c r="E100">
        <v>-132</v>
      </c>
      <c r="F100" t="s">
        <v>128</v>
      </c>
      <c r="G100" t="s">
        <v>54</v>
      </c>
      <c r="H100">
        <v>2.1296703395505001</v>
      </c>
      <c r="I100">
        <v>0.26027247559039607</v>
      </c>
      <c r="J100">
        <v>3.8421273618411749</v>
      </c>
      <c r="K100">
        <v>1.7575757575757576</v>
      </c>
      <c r="L100">
        <v>-132</v>
      </c>
      <c r="M100">
        <v>0.56896551724137934</v>
      </c>
      <c r="P100">
        <v>-0.30869304165098327</v>
      </c>
      <c r="Q100">
        <v>0</v>
      </c>
      <c r="R100">
        <v>0</v>
      </c>
      <c r="S100" t="s">
        <v>193</v>
      </c>
      <c r="T100">
        <f>IF(AND(S100="BET",D100&gt;D99),(Q100*K100)-Q100,-Q100)</f>
        <v>0</v>
      </c>
      <c r="U100">
        <f t="shared" si="6"/>
        <v>0</v>
      </c>
    </row>
    <row r="101" spans="1:21" hidden="1" x14ac:dyDescent="0.35">
      <c r="A101" s="25">
        <v>1206</v>
      </c>
      <c r="B101" t="s">
        <v>151</v>
      </c>
      <c r="C101" s="1" t="s">
        <v>175</v>
      </c>
      <c r="D101">
        <v>0</v>
      </c>
      <c r="E101">
        <v>157</v>
      </c>
      <c r="F101" t="s">
        <v>131</v>
      </c>
      <c r="G101" t="s">
        <v>39</v>
      </c>
      <c r="H101">
        <v>2.021679706781399</v>
      </c>
      <c r="I101">
        <v>0.47754565962073892</v>
      </c>
      <c r="J101">
        <v>2.0940406008384373</v>
      </c>
      <c r="K101">
        <v>2.5700000000000003</v>
      </c>
      <c r="L101">
        <v>157</v>
      </c>
      <c r="M101">
        <v>0.3891050583657587</v>
      </c>
      <c r="P101">
        <v>8.8440601254980211E-2</v>
      </c>
      <c r="Q101">
        <v>6.5627903699083525</v>
      </c>
      <c r="R101">
        <v>8.0544623843068308</v>
      </c>
      <c r="S101" t="s">
        <v>192</v>
      </c>
      <c r="T101">
        <f>IF(AND(S101="BET",D101&gt;D102),(Q101*K101)-Q101,-Q101)</f>
        <v>-6.5627903699083525</v>
      </c>
      <c r="U101">
        <f t="shared" si="6"/>
        <v>-6.5627903699083525</v>
      </c>
    </row>
    <row r="102" spans="1:21" hidden="1" x14ac:dyDescent="0.35">
      <c r="A102" s="25">
        <v>1206</v>
      </c>
      <c r="B102" t="s">
        <v>153</v>
      </c>
      <c r="C102" s="1" t="s">
        <v>168</v>
      </c>
      <c r="D102">
        <v>2</v>
      </c>
      <c r="E102">
        <v>-174</v>
      </c>
      <c r="F102" t="s">
        <v>128</v>
      </c>
      <c r="G102" t="s">
        <v>60</v>
      </c>
      <c r="H102">
        <v>2.1402663065627574</v>
      </c>
      <c r="I102">
        <v>0.52242973897867861</v>
      </c>
      <c r="J102">
        <v>1.9141329931847773</v>
      </c>
      <c r="K102">
        <v>1.5747126436781609</v>
      </c>
      <c r="L102">
        <v>-174</v>
      </c>
      <c r="M102">
        <v>0.63503649635036497</v>
      </c>
      <c r="P102">
        <v>-0.11260675737168635</v>
      </c>
      <c r="Q102">
        <v>0</v>
      </c>
      <c r="R102">
        <v>0</v>
      </c>
      <c r="S102" t="s">
        <v>193</v>
      </c>
      <c r="T102">
        <f>IF(AND(S102="BET",D102&gt;D101),(Q102*K102)-Q102,-Q102)</f>
        <v>0</v>
      </c>
      <c r="U102">
        <f t="shared" si="6"/>
        <v>0</v>
      </c>
    </row>
    <row r="103" spans="1:21" hidden="1" x14ac:dyDescent="0.35">
      <c r="A103" s="25">
        <v>1206</v>
      </c>
      <c r="B103" t="s">
        <v>151</v>
      </c>
      <c r="C103" s="1" t="s">
        <v>163</v>
      </c>
      <c r="D103">
        <v>2</v>
      </c>
      <c r="E103">
        <v>-119</v>
      </c>
      <c r="F103" t="s">
        <v>131</v>
      </c>
      <c r="G103" t="s">
        <v>53</v>
      </c>
      <c r="H103">
        <v>3.4822000943848237</v>
      </c>
      <c r="I103">
        <v>0.68931674418927058</v>
      </c>
      <c r="J103">
        <v>1.4507118946836768</v>
      </c>
      <c r="K103">
        <v>1.8403361344537816</v>
      </c>
      <c r="L103">
        <v>-119</v>
      </c>
      <c r="M103">
        <v>0.54337899543378987</v>
      </c>
      <c r="P103">
        <v>0.14593774875548071</v>
      </c>
      <c r="Q103">
        <v>14.488223340930706</v>
      </c>
      <c r="R103">
        <v>18.379390860488741</v>
      </c>
      <c r="S103" t="s">
        <v>192</v>
      </c>
      <c r="T103">
        <f>IF(AND(S103="BET",D103&gt;D104),(Q103*K103)-Q103,-Q103)</f>
        <v>12.174977597420764</v>
      </c>
      <c r="U103">
        <f t="shared" si="6"/>
        <v>0</v>
      </c>
    </row>
    <row r="104" spans="1:21" hidden="1" x14ac:dyDescent="0.35">
      <c r="A104" s="25">
        <v>1206</v>
      </c>
      <c r="B104" t="s">
        <v>153</v>
      </c>
      <c r="C104" s="1" t="s">
        <v>166</v>
      </c>
      <c r="D104">
        <v>1</v>
      </c>
      <c r="E104">
        <v>109</v>
      </c>
      <c r="F104" t="s">
        <v>128</v>
      </c>
      <c r="G104" t="s">
        <v>57</v>
      </c>
      <c r="H104">
        <v>2.2698602235422913</v>
      </c>
      <c r="I104">
        <v>0.30967787104788869</v>
      </c>
      <c r="J104">
        <v>3.2291619566364163</v>
      </c>
      <c r="K104">
        <v>2.09</v>
      </c>
      <c r="L104">
        <v>109</v>
      </c>
      <c r="M104">
        <v>0.47846889952153115</v>
      </c>
      <c r="P104">
        <v>-0.16879102847364247</v>
      </c>
      <c r="Q104">
        <v>0</v>
      </c>
      <c r="R104">
        <v>0</v>
      </c>
      <c r="S104" t="s">
        <v>193</v>
      </c>
      <c r="T104">
        <f>IF(AND(S104="BET",D104&gt;D103),(Q104*K104)-Q104,-Q104)</f>
        <v>0</v>
      </c>
      <c r="U104">
        <f t="shared" si="6"/>
        <v>0</v>
      </c>
    </row>
    <row r="105" spans="1:21" hidden="1" x14ac:dyDescent="0.35">
      <c r="A105" s="25">
        <v>1206</v>
      </c>
      <c r="B105" t="s">
        <v>151</v>
      </c>
      <c r="C105" s="1" t="s">
        <v>183</v>
      </c>
      <c r="D105">
        <v>1</v>
      </c>
      <c r="E105">
        <v>150</v>
      </c>
      <c r="F105" t="s">
        <v>131</v>
      </c>
      <c r="G105" t="s">
        <v>51</v>
      </c>
      <c r="H105">
        <v>1.9744050583299448</v>
      </c>
      <c r="I105">
        <v>0.40448990951717034</v>
      </c>
      <c r="J105">
        <v>2.472249557952324</v>
      </c>
      <c r="K105">
        <v>2.5</v>
      </c>
      <c r="L105">
        <v>150</v>
      </c>
      <c r="M105">
        <v>0.4</v>
      </c>
      <c r="P105">
        <v>4.4899095171703207E-3</v>
      </c>
      <c r="Q105">
        <v>0.33922645460251366</v>
      </c>
      <c r="R105">
        <v>0.34303419482000314</v>
      </c>
      <c r="S105" t="s">
        <v>193</v>
      </c>
      <c r="T105">
        <f>IF(AND(S105="BET",D105&gt;D106),(Q105*K105)-Q105,-Q105)</f>
        <v>-0.33922645460251366</v>
      </c>
      <c r="U105">
        <f t="shared" si="6"/>
        <v>0</v>
      </c>
    </row>
    <row r="106" spans="1:21" hidden="1" x14ac:dyDescent="0.35">
      <c r="A106" s="25">
        <v>1206</v>
      </c>
      <c r="B106" t="s">
        <v>153</v>
      </c>
      <c r="C106" s="1" t="s">
        <v>158</v>
      </c>
      <c r="D106">
        <v>2</v>
      </c>
      <c r="E106">
        <v>-165</v>
      </c>
      <c r="F106" t="s">
        <v>128</v>
      </c>
      <c r="G106" t="s">
        <v>49</v>
      </c>
      <c r="H106">
        <v>2.5003685423372697</v>
      </c>
      <c r="I106">
        <v>0.59544100510252773</v>
      </c>
      <c r="J106">
        <v>1.6794275023565299</v>
      </c>
      <c r="K106">
        <v>1.606060606060606</v>
      </c>
      <c r="L106">
        <v>-165</v>
      </c>
      <c r="M106">
        <v>0.62264150943396235</v>
      </c>
      <c r="P106">
        <v>-2.7200504331434616E-2</v>
      </c>
      <c r="Q106">
        <v>0</v>
      </c>
      <c r="R106">
        <v>0</v>
      </c>
      <c r="S106" t="s">
        <v>193</v>
      </c>
      <c r="T106">
        <f>IF(AND(S106="BET",D106&gt;D105),(Q106*K106)-Q106,-Q106)</f>
        <v>0</v>
      </c>
      <c r="U106">
        <f t="shared" si="6"/>
        <v>0</v>
      </c>
    </row>
    <row r="107" spans="1:21" hidden="1" x14ac:dyDescent="0.35">
      <c r="A107" s="25">
        <v>1206</v>
      </c>
      <c r="B107" t="s">
        <v>151</v>
      </c>
      <c r="C107" s="1" t="s">
        <v>155</v>
      </c>
      <c r="D107">
        <v>3</v>
      </c>
      <c r="E107">
        <v>-150</v>
      </c>
      <c r="F107" t="s">
        <v>131</v>
      </c>
      <c r="G107" t="s">
        <v>67</v>
      </c>
      <c r="H107">
        <v>3.7573885224278207</v>
      </c>
      <c r="I107">
        <v>0.74617747171629845</v>
      </c>
      <c r="J107">
        <v>1.3401637517947025</v>
      </c>
      <c r="K107">
        <v>1.6666666666666665</v>
      </c>
      <c r="L107">
        <v>-150</v>
      </c>
      <c r="M107">
        <v>0.60000000000000009</v>
      </c>
      <c r="P107">
        <v>0.14617747171629836</v>
      </c>
      <c r="Q107">
        <v>16.566235449772599</v>
      </c>
      <c r="R107">
        <v>20.60225280628039</v>
      </c>
      <c r="S107" t="s">
        <v>192</v>
      </c>
      <c r="T107">
        <f t="shared" ref="T107:T169" si="9">IF(AND(S107="BET",D107&gt;D108),(Q107*K107)-Q107,-Q107)</f>
        <v>11.044156966515065</v>
      </c>
      <c r="U107">
        <f t="shared" si="6"/>
        <v>0</v>
      </c>
    </row>
    <row r="108" spans="1:21" hidden="1" x14ac:dyDescent="0.35">
      <c r="A108" s="25">
        <v>1206</v>
      </c>
      <c r="B108" t="s">
        <v>153</v>
      </c>
      <c r="C108" s="1" t="s">
        <v>176</v>
      </c>
      <c r="D108">
        <v>2</v>
      </c>
      <c r="E108">
        <v>135</v>
      </c>
      <c r="F108" t="s">
        <v>128</v>
      </c>
      <c r="G108" t="s">
        <v>38</v>
      </c>
      <c r="H108">
        <v>2.1170766876412368</v>
      </c>
      <c r="I108">
        <v>0.25203897051012192</v>
      </c>
      <c r="J108">
        <v>3.9676403929758153</v>
      </c>
      <c r="K108">
        <v>2.35</v>
      </c>
      <c r="L108">
        <v>135</v>
      </c>
      <c r="M108">
        <v>0.42553191489361702</v>
      </c>
      <c r="P108">
        <v>-0.17349294438349511</v>
      </c>
      <c r="Q108">
        <v>0</v>
      </c>
      <c r="R108">
        <v>0</v>
      </c>
      <c r="S108" t="s">
        <v>193</v>
      </c>
      <c r="T108">
        <f t="shared" ref="T108:T170" si="10">IF(AND(S108="BET",D108&gt;D107),(Q108*K108)-Q108,-Q108)</f>
        <v>0</v>
      </c>
      <c r="U108">
        <f t="shared" si="6"/>
        <v>0</v>
      </c>
    </row>
    <row r="109" spans="1:21" hidden="1" x14ac:dyDescent="0.35">
      <c r="A109" s="36">
        <v>1207</v>
      </c>
      <c r="B109" t="s">
        <v>151</v>
      </c>
      <c r="C109" s="1" t="s">
        <v>152</v>
      </c>
      <c r="D109">
        <v>3</v>
      </c>
      <c r="E109">
        <v>180</v>
      </c>
      <c r="F109" t="s">
        <v>131</v>
      </c>
      <c r="G109" t="s">
        <v>58</v>
      </c>
      <c r="H109">
        <v>1.6533324562371907</v>
      </c>
      <c r="I109">
        <v>0.29942664234697669</v>
      </c>
      <c r="J109">
        <v>3.3397161727552498</v>
      </c>
      <c r="K109">
        <v>2.8</v>
      </c>
      <c r="L109">
        <v>180</v>
      </c>
      <c r="M109">
        <v>0.35714285714285715</v>
      </c>
      <c r="P109">
        <v>-5.7716214795880461E-2</v>
      </c>
      <c r="Q109">
        <v>0</v>
      </c>
      <c r="R109">
        <v>0</v>
      </c>
      <c r="S109" t="s">
        <v>193</v>
      </c>
      <c r="T109">
        <f t="shared" si="9"/>
        <v>0</v>
      </c>
      <c r="U109">
        <f t="shared" si="6"/>
        <v>0</v>
      </c>
    </row>
    <row r="110" spans="1:21" hidden="1" x14ac:dyDescent="0.35">
      <c r="A110" s="36">
        <v>1207</v>
      </c>
      <c r="B110" t="s">
        <v>153</v>
      </c>
      <c r="C110" s="1" t="s">
        <v>178</v>
      </c>
      <c r="D110">
        <v>4</v>
      </c>
      <c r="E110">
        <v>-200</v>
      </c>
      <c r="F110" t="s">
        <v>128</v>
      </c>
      <c r="G110" t="s">
        <v>59</v>
      </c>
      <c r="H110">
        <v>2.7870595351887708</v>
      </c>
      <c r="I110">
        <v>0.70041454264661496</v>
      </c>
      <c r="J110">
        <v>1.4277259238812479</v>
      </c>
      <c r="K110">
        <v>1.5</v>
      </c>
      <c r="L110">
        <v>-200</v>
      </c>
      <c r="M110">
        <v>0.66666666666666663</v>
      </c>
      <c r="P110">
        <v>3.3747875979948327E-2</v>
      </c>
      <c r="Q110">
        <v>5.4145245305475518</v>
      </c>
      <c r="R110">
        <v>5.6886175840685116</v>
      </c>
      <c r="S110" t="s">
        <v>192</v>
      </c>
      <c r="T110">
        <f t="shared" si="10"/>
        <v>2.7072622652737754</v>
      </c>
      <c r="U110">
        <f t="shared" si="6"/>
        <v>2.7072622652737754</v>
      </c>
    </row>
    <row r="111" spans="1:21" hidden="1" x14ac:dyDescent="0.35">
      <c r="A111" s="36">
        <v>1207</v>
      </c>
      <c r="B111" t="s">
        <v>151</v>
      </c>
      <c r="C111" s="1" t="s">
        <v>167</v>
      </c>
      <c r="D111">
        <v>5</v>
      </c>
      <c r="E111">
        <v>140</v>
      </c>
      <c r="F111" t="s">
        <v>131</v>
      </c>
      <c r="G111" t="s">
        <v>41</v>
      </c>
      <c r="H111">
        <v>2.3406119173793907</v>
      </c>
      <c r="I111">
        <v>0.42920120881836388</v>
      </c>
      <c r="J111">
        <v>2.3299095609565157</v>
      </c>
      <c r="K111">
        <v>2.4</v>
      </c>
      <c r="L111">
        <v>140</v>
      </c>
      <c r="M111">
        <v>0.41666666666666669</v>
      </c>
      <c r="P111">
        <v>1.2534542151697192E-2</v>
      </c>
      <c r="Q111">
        <v>1.149170073482074</v>
      </c>
      <c r="R111">
        <v>1.183740443223346</v>
      </c>
      <c r="S111" t="s">
        <v>193</v>
      </c>
      <c r="T111">
        <f t="shared" si="9"/>
        <v>-1.149170073482074</v>
      </c>
      <c r="U111">
        <f t="shared" si="6"/>
        <v>0</v>
      </c>
    </row>
    <row r="112" spans="1:21" hidden="1" x14ac:dyDescent="0.35">
      <c r="A112" s="36">
        <v>1207</v>
      </c>
      <c r="B112" t="s">
        <v>153</v>
      </c>
      <c r="C112" s="1" t="s">
        <v>157</v>
      </c>
      <c r="D112">
        <v>6</v>
      </c>
      <c r="E112">
        <v>-155</v>
      </c>
      <c r="F112" t="s">
        <v>128</v>
      </c>
      <c r="G112" t="s">
        <v>65</v>
      </c>
      <c r="H112">
        <v>2.7533358051228984</v>
      </c>
      <c r="I112">
        <v>0.57062241711785855</v>
      </c>
      <c r="J112">
        <v>1.7524723354733822</v>
      </c>
      <c r="K112">
        <v>1.6451612903225805</v>
      </c>
      <c r="L112">
        <v>-155</v>
      </c>
      <c r="M112">
        <v>0.60784313725490202</v>
      </c>
      <c r="P112">
        <v>-3.7220720137043473E-2</v>
      </c>
      <c r="Q112">
        <v>0</v>
      </c>
      <c r="R112">
        <v>0</v>
      </c>
      <c r="S112" t="s">
        <v>195</v>
      </c>
      <c r="T112">
        <f t="shared" si="10"/>
        <v>0</v>
      </c>
      <c r="U112">
        <f t="shared" si="6"/>
        <v>0</v>
      </c>
    </row>
    <row r="113" spans="1:21" hidden="1" x14ac:dyDescent="0.35">
      <c r="A113" s="36">
        <v>1207</v>
      </c>
      <c r="B113" t="s">
        <v>151</v>
      </c>
      <c r="C113" s="1" t="s">
        <v>174</v>
      </c>
      <c r="D113">
        <v>4</v>
      </c>
      <c r="E113">
        <v>130</v>
      </c>
      <c r="F113" t="s">
        <v>131</v>
      </c>
      <c r="G113" t="s">
        <v>46</v>
      </c>
      <c r="H113">
        <v>2.3444669028646548</v>
      </c>
      <c r="I113">
        <v>0.50939536051871026</v>
      </c>
      <c r="J113">
        <v>1.9631117153907993</v>
      </c>
      <c r="K113">
        <v>2.2999999999999998</v>
      </c>
      <c r="L113">
        <v>130</v>
      </c>
      <c r="M113">
        <v>0.43478260869565222</v>
      </c>
      <c r="P113">
        <v>7.4612751823058043E-2</v>
      </c>
      <c r="Q113">
        <v>7.0597637485095008</v>
      </c>
      <c r="R113">
        <v>8.271285069652512</v>
      </c>
      <c r="S113" t="s">
        <v>192</v>
      </c>
      <c r="T113">
        <f t="shared" si="9"/>
        <v>9.1776928730623517</v>
      </c>
      <c r="U113">
        <f t="shared" si="6"/>
        <v>9.1776928730623517</v>
      </c>
    </row>
    <row r="114" spans="1:21" hidden="1" x14ac:dyDescent="0.35">
      <c r="A114" s="36">
        <v>1207</v>
      </c>
      <c r="B114" t="s">
        <v>153</v>
      </c>
      <c r="C114" s="1" t="s">
        <v>171</v>
      </c>
      <c r="D114">
        <v>1</v>
      </c>
      <c r="E114">
        <v>-140</v>
      </c>
      <c r="F114" t="s">
        <v>128</v>
      </c>
      <c r="G114" t="s">
        <v>40</v>
      </c>
      <c r="H114">
        <v>2.2920831464475597</v>
      </c>
      <c r="I114">
        <v>0.49054107580834105</v>
      </c>
      <c r="J114">
        <v>2.0385652686722393</v>
      </c>
      <c r="K114">
        <v>1.7142857142857144</v>
      </c>
      <c r="L114">
        <v>-140</v>
      </c>
      <c r="M114">
        <v>0.58333333333333326</v>
      </c>
      <c r="P114">
        <v>-9.2792257524992205E-2</v>
      </c>
      <c r="Q114">
        <v>0</v>
      </c>
      <c r="R114">
        <v>0</v>
      </c>
      <c r="S114" t="s">
        <v>195</v>
      </c>
      <c r="T114">
        <f t="shared" si="10"/>
        <v>0</v>
      </c>
      <c r="U114">
        <f t="shared" si="6"/>
        <v>0</v>
      </c>
    </row>
    <row r="115" spans="1:21" hidden="1" x14ac:dyDescent="0.35">
      <c r="A115" s="36">
        <v>1207</v>
      </c>
      <c r="B115" t="s">
        <v>151</v>
      </c>
      <c r="C115" s="1" t="s">
        <v>169</v>
      </c>
      <c r="D115">
        <v>2</v>
      </c>
      <c r="E115">
        <v>135</v>
      </c>
      <c r="F115" t="s">
        <v>131</v>
      </c>
      <c r="G115" t="s">
        <v>52</v>
      </c>
      <c r="H115">
        <v>3.692773896720452</v>
      </c>
      <c r="I115">
        <v>0.66749261385487257</v>
      </c>
      <c r="J115">
        <v>1.4981439183646483</v>
      </c>
      <c r="K115">
        <v>2.35</v>
      </c>
      <c r="L115">
        <v>135</v>
      </c>
      <c r="M115">
        <v>0.42553191489361702</v>
      </c>
      <c r="P115">
        <v>0.24196069896125555</v>
      </c>
      <c r="Q115">
        <v>22.525350147515791</v>
      </c>
      <c r="R115">
        <v>35.333436392709658</v>
      </c>
      <c r="S115" t="s">
        <v>192</v>
      </c>
      <c r="T115">
        <f t="shared" si="9"/>
        <v>-22.525350147515791</v>
      </c>
      <c r="U115">
        <f t="shared" si="6"/>
        <v>0</v>
      </c>
    </row>
    <row r="116" spans="1:21" hidden="1" x14ac:dyDescent="0.35">
      <c r="A116" s="36">
        <v>1207</v>
      </c>
      <c r="B116" t="s">
        <v>153</v>
      </c>
      <c r="C116" s="1" t="s">
        <v>164</v>
      </c>
      <c r="D116">
        <v>6</v>
      </c>
      <c r="E116">
        <v>-150</v>
      </c>
      <c r="F116" t="s">
        <v>128</v>
      </c>
      <c r="G116" t="s">
        <v>42</v>
      </c>
      <c r="H116">
        <v>2.5788414168936744</v>
      </c>
      <c r="I116">
        <v>0.3308780771974964</v>
      </c>
      <c r="J116">
        <v>3.0222612766306494</v>
      </c>
      <c r="K116">
        <v>1.6666666666666665</v>
      </c>
      <c r="L116">
        <v>-150</v>
      </c>
      <c r="M116">
        <v>0.60000000000000009</v>
      </c>
      <c r="P116">
        <v>-0.26912192280250369</v>
      </c>
      <c r="Q116">
        <v>0</v>
      </c>
      <c r="R116">
        <v>0</v>
      </c>
      <c r="S116" t="s">
        <v>195</v>
      </c>
      <c r="T116">
        <f t="shared" si="10"/>
        <v>0</v>
      </c>
      <c r="U116">
        <f t="shared" si="6"/>
        <v>0</v>
      </c>
    </row>
    <row r="117" spans="1:21" hidden="1" x14ac:dyDescent="0.35">
      <c r="A117" s="36">
        <v>1207</v>
      </c>
      <c r="B117" t="s">
        <v>151</v>
      </c>
      <c r="C117" s="1" t="s">
        <v>159</v>
      </c>
      <c r="D117">
        <v>1</v>
      </c>
      <c r="E117">
        <v>175</v>
      </c>
      <c r="F117" t="s">
        <v>131</v>
      </c>
      <c r="G117" t="s">
        <v>61</v>
      </c>
      <c r="H117">
        <v>2.9649588887094844</v>
      </c>
      <c r="I117">
        <v>0.59086889211987503</v>
      </c>
      <c r="J117">
        <v>1.6924228256665792</v>
      </c>
      <c r="K117">
        <v>2.75</v>
      </c>
      <c r="L117">
        <v>175</v>
      </c>
      <c r="M117">
        <v>0.36363636363636365</v>
      </c>
      <c r="P117">
        <v>0.22723252848351139</v>
      </c>
      <c r="Q117">
        <v>19.096675685219211</v>
      </c>
      <c r="R117">
        <v>31.02998691456958</v>
      </c>
      <c r="S117" t="s">
        <v>192</v>
      </c>
      <c r="T117">
        <f t="shared" si="9"/>
        <v>-19.096675685219211</v>
      </c>
      <c r="U117">
        <f t="shared" si="6"/>
        <v>0</v>
      </c>
    </row>
    <row r="118" spans="1:21" hidden="1" x14ac:dyDescent="0.35">
      <c r="A118" s="36">
        <v>1207</v>
      </c>
      <c r="B118" t="s">
        <v>153</v>
      </c>
      <c r="C118" s="1" t="s">
        <v>162</v>
      </c>
      <c r="D118">
        <v>7</v>
      </c>
      <c r="E118">
        <v>-195</v>
      </c>
      <c r="F118" t="s">
        <v>128</v>
      </c>
      <c r="G118" t="s">
        <v>63</v>
      </c>
      <c r="H118">
        <v>2.4176919628525155</v>
      </c>
      <c r="I118">
        <v>0.40882011558980014</v>
      </c>
      <c r="J118">
        <v>2.4460635909691266</v>
      </c>
      <c r="K118">
        <v>1.5128205128205128</v>
      </c>
      <c r="L118">
        <v>-195</v>
      </c>
      <c r="M118">
        <v>0.66101694915254239</v>
      </c>
      <c r="P118">
        <v>-0.25219683356274225</v>
      </c>
      <c r="Q118">
        <v>0</v>
      </c>
      <c r="R118">
        <v>0</v>
      </c>
      <c r="S118" t="s">
        <v>195</v>
      </c>
      <c r="T118">
        <f t="shared" si="10"/>
        <v>0</v>
      </c>
      <c r="U118">
        <f t="shared" ref="U118:U181" si="11">IF(AND(R118&gt;5,R118&lt;15),T118,0)</f>
        <v>0</v>
      </c>
    </row>
    <row r="119" spans="1:21" hidden="1" x14ac:dyDescent="0.35">
      <c r="A119" s="36">
        <v>1207</v>
      </c>
      <c r="B119" t="s">
        <v>151</v>
      </c>
      <c r="C119" s="1" t="s">
        <v>179</v>
      </c>
      <c r="D119">
        <v>1</v>
      </c>
      <c r="E119">
        <v>145</v>
      </c>
      <c r="F119" t="s">
        <v>131</v>
      </c>
      <c r="G119" t="s">
        <v>43</v>
      </c>
      <c r="H119">
        <v>2.6491114120383745</v>
      </c>
      <c r="I119">
        <v>0.4687903966472991</v>
      </c>
      <c r="J119">
        <v>2.1331494995456652</v>
      </c>
      <c r="K119">
        <v>2.4500000000000002</v>
      </c>
      <c r="L119">
        <v>145</v>
      </c>
      <c r="M119">
        <v>0.4081632653061224</v>
      </c>
      <c r="P119">
        <v>6.0627131341176699E-2</v>
      </c>
      <c r="Q119">
        <v>5.4784503243077491</v>
      </c>
      <c r="R119">
        <v>6.2922000063346477</v>
      </c>
      <c r="S119" t="s">
        <v>192</v>
      </c>
      <c r="T119">
        <f t="shared" si="9"/>
        <v>-5.4784503243077491</v>
      </c>
      <c r="U119">
        <f t="shared" si="11"/>
        <v>-5.4784503243077491</v>
      </c>
    </row>
    <row r="120" spans="1:21" hidden="1" x14ac:dyDescent="0.35">
      <c r="A120" s="36">
        <v>1207</v>
      </c>
      <c r="B120" t="s">
        <v>153</v>
      </c>
      <c r="C120" s="1" t="s">
        <v>161</v>
      </c>
      <c r="D120">
        <v>4</v>
      </c>
      <c r="E120">
        <v>-160</v>
      </c>
      <c r="F120" t="s">
        <v>128</v>
      </c>
      <c r="G120" t="s">
        <v>50</v>
      </c>
      <c r="H120">
        <v>2.8363324221594235</v>
      </c>
      <c r="I120">
        <v>0.53092505797873857</v>
      </c>
      <c r="J120">
        <v>1.8835049974982458</v>
      </c>
      <c r="K120">
        <v>1.625</v>
      </c>
      <c r="L120">
        <v>-160</v>
      </c>
      <c r="M120">
        <v>0.61538461538461542</v>
      </c>
      <c r="P120">
        <v>-8.4459557405876851E-2</v>
      </c>
      <c r="Q120">
        <v>0</v>
      </c>
      <c r="R120">
        <v>0</v>
      </c>
      <c r="S120" t="s">
        <v>195</v>
      </c>
      <c r="T120">
        <f t="shared" si="10"/>
        <v>0</v>
      </c>
      <c r="U120">
        <f t="shared" si="11"/>
        <v>0</v>
      </c>
    </row>
    <row r="121" spans="1:21" hidden="1" x14ac:dyDescent="0.35">
      <c r="A121" s="36">
        <v>1207</v>
      </c>
      <c r="B121" t="s">
        <v>151</v>
      </c>
      <c r="C121" s="1" t="s">
        <v>168</v>
      </c>
      <c r="D121">
        <v>5</v>
      </c>
      <c r="E121">
        <v>-185</v>
      </c>
      <c r="F121" t="s">
        <v>131</v>
      </c>
      <c r="G121" t="s">
        <v>60</v>
      </c>
      <c r="H121">
        <v>3.4525786713192619</v>
      </c>
      <c r="I121">
        <v>0.81656098381152986</v>
      </c>
      <c r="J121">
        <v>1.2246482746851515</v>
      </c>
      <c r="K121">
        <v>1.5405405405405406</v>
      </c>
      <c r="L121">
        <v>-185</v>
      </c>
      <c r="M121">
        <v>0.64912280701754388</v>
      </c>
      <c r="P121">
        <v>0.16743817679398598</v>
      </c>
      <c r="Q121">
        <v>25.520664184402861</v>
      </c>
      <c r="R121">
        <v>32.103599547961117</v>
      </c>
      <c r="S121" t="s">
        <v>192</v>
      </c>
      <c r="T121">
        <f t="shared" si="9"/>
        <v>13.794953613190735</v>
      </c>
      <c r="U121">
        <f t="shared" si="11"/>
        <v>0</v>
      </c>
    </row>
    <row r="122" spans="1:21" hidden="1" x14ac:dyDescent="0.35">
      <c r="A122" s="36">
        <v>1207</v>
      </c>
      <c r="B122" t="s">
        <v>153</v>
      </c>
      <c r="C122" s="1" t="s">
        <v>182</v>
      </c>
      <c r="D122">
        <v>3</v>
      </c>
      <c r="E122">
        <v>165</v>
      </c>
      <c r="F122" t="s">
        <v>128</v>
      </c>
      <c r="G122" t="s">
        <v>48</v>
      </c>
      <c r="H122">
        <v>1.4367714025474612</v>
      </c>
      <c r="I122">
        <v>0.1825234290843526</v>
      </c>
      <c r="J122">
        <v>5.4787487010111633</v>
      </c>
      <c r="K122">
        <v>2.65</v>
      </c>
      <c r="L122">
        <v>165</v>
      </c>
      <c r="M122">
        <v>0.37735849056603776</v>
      </c>
      <c r="P122">
        <v>-0.19483506148168517</v>
      </c>
      <c r="Q122">
        <v>0</v>
      </c>
      <c r="R122">
        <v>0</v>
      </c>
      <c r="S122" t="s">
        <v>195</v>
      </c>
      <c r="T122">
        <f t="shared" si="10"/>
        <v>0</v>
      </c>
      <c r="U122">
        <f t="shared" si="11"/>
        <v>0</v>
      </c>
    </row>
    <row r="123" spans="1:21" hidden="1" x14ac:dyDescent="0.35">
      <c r="A123" s="36">
        <v>1207</v>
      </c>
      <c r="B123" t="s">
        <v>151</v>
      </c>
      <c r="C123" s="1" t="s">
        <v>154</v>
      </c>
      <c r="D123">
        <v>5</v>
      </c>
      <c r="E123">
        <v>103</v>
      </c>
      <c r="F123" t="s">
        <v>131</v>
      </c>
      <c r="G123" t="s">
        <v>64</v>
      </c>
      <c r="H123">
        <v>2.3301999794216175</v>
      </c>
      <c r="I123">
        <v>0.43038923608686086</v>
      </c>
      <c r="J123">
        <v>2.3234781824287554</v>
      </c>
      <c r="K123">
        <v>2.0300000000000002</v>
      </c>
      <c r="L123">
        <v>103</v>
      </c>
      <c r="M123">
        <v>0.4926108374384236</v>
      </c>
      <c r="P123">
        <v>-6.2221601351562739E-2</v>
      </c>
      <c r="Q123">
        <v>0</v>
      </c>
      <c r="R123">
        <v>0</v>
      </c>
      <c r="S123" t="s">
        <v>193</v>
      </c>
      <c r="T123">
        <f t="shared" si="9"/>
        <v>0</v>
      </c>
      <c r="U123">
        <f t="shared" si="11"/>
        <v>0</v>
      </c>
    </row>
    <row r="124" spans="1:21" hidden="1" x14ac:dyDescent="0.35">
      <c r="A124" s="36">
        <v>1207</v>
      </c>
      <c r="B124" t="s">
        <v>153</v>
      </c>
      <c r="C124" s="1" t="s">
        <v>156</v>
      </c>
      <c r="D124">
        <v>2</v>
      </c>
      <c r="E124">
        <v>-113</v>
      </c>
      <c r="F124" t="s">
        <v>128</v>
      </c>
      <c r="G124" t="s">
        <v>62</v>
      </c>
      <c r="H124">
        <v>2.7348505552670876</v>
      </c>
      <c r="I124">
        <v>0.56944366079873387</v>
      </c>
      <c r="J124">
        <v>1.7560999776472066</v>
      </c>
      <c r="K124">
        <v>1.8849557522123894</v>
      </c>
      <c r="L124">
        <v>-113</v>
      </c>
      <c r="M124">
        <v>0.53051643192488263</v>
      </c>
      <c r="P124">
        <v>3.892722887385125E-2</v>
      </c>
      <c r="Q124">
        <v>4.4343066033532699</v>
      </c>
      <c r="R124">
        <v>4.759678745775437</v>
      </c>
      <c r="S124" t="s">
        <v>192</v>
      </c>
      <c r="T124">
        <f t="shared" si="10"/>
        <v>-4.4343066033532699</v>
      </c>
      <c r="U124">
        <f t="shared" si="11"/>
        <v>0</v>
      </c>
    </row>
    <row r="125" spans="1:21" hidden="1" x14ac:dyDescent="0.35">
      <c r="A125" s="36">
        <v>1207</v>
      </c>
      <c r="B125" t="s">
        <v>151</v>
      </c>
      <c r="C125" s="1" t="s">
        <v>181</v>
      </c>
      <c r="D125">
        <v>4</v>
      </c>
      <c r="E125">
        <v>230</v>
      </c>
      <c r="F125" t="s">
        <v>131</v>
      </c>
      <c r="G125" t="s">
        <v>54</v>
      </c>
      <c r="H125">
        <v>2.527232304651331</v>
      </c>
      <c r="I125">
        <v>0.52672694984061807</v>
      </c>
      <c r="J125">
        <v>1.8985168697037227</v>
      </c>
      <c r="K125">
        <v>3.3</v>
      </c>
      <c r="L125">
        <v>230</v>
      </c>
      <c r="M125">
        <v>0.30303030303030304</v>
      </c>
      <c r="P125">
        <v>0.22369664681031504</v>
      </c>
      <c r="Q125">
        <v>17.164778536283144</v>
      </c>
      <c r="R125">
        <v>29.835799762250225</v>
      </c>
      <c r="S125" t="s">
        <v>192</v>
      </c>
      <c r="T125">
        <f t="shared" si="9"/>
        <v>-17.164778536283144</v>
      </c>
      <c r="U125">
        <f t="shared" si="11"/>
        <v>0</v>
      </c>
    </row>
    <row r="126" spans="1:21" hidden="1" x14ac:dyDescent="0.35">
      <c r="A126" s="36">
        <v>1207</v>
      </c>
      <c r="B126" t="s">
        <v>153</v>
      </c>
      <c r="C126" s="1" t="s">
        <v>170</v>
      </c>
      <c r="D126">
        <v>6</v>
      </c>
      <c r="E126">
        <v>-260</v>
      </c>
      <c r="F126" t="s">
        <v>128</v>
      </c>
      <c r="G126" t="s">
        <v>55</v>
      </c>
      <c r="H126">
        <v>2.3743645094225125</v>
      </c>
      <c r="I126">
        <v>0.47316617146060341</v>
      </c>
      <c r="J126">
        <v>2.1134224302492464</v>
      </c>
      <c r="K126">
        <v>1.3846153846153846</v>
      </c>
      <c r="L126">
        <v>-260</v>
      </c>
      <c r="M126">
        <v>0.72222222222222221</v>
      </c>
      <c r="P126">
        <v>-0.2490560507616188</v>
      </c>
      <c r="Q126">
        <v>0</v>
      </c>
      <c r="R126">
        <v>0</v>
      </c>
      <c r="S126" t="s">
        <v>195</v>
      </c>
      <c r="T126">
        <f t="shared" si="10"/>
        <v>0</v>
      </c>
      <c r="U126">
        <f t="shared" si="11"/>
        <v>0</v>
      </c>
    </row>
    <row r="127" spans="1:21" hidden="1" x14ac:dyDescent="0.35">
      <c r="A127" s="36">
        <v>1207</v>
      </c>
      <c r="B127" t="s">
        <v>151</v>
      </c>
      <c r="C127" s="1" t="s">
        <v>180</v>
      </c>
      <c r="D127">
        <v>1</v>
      </c>
      <c r="E127">
        <v>132</v>
      </c>
      <c r="F127" t="s">
        <v>131</v>
      </c>
      <c r="G127" t="s">
        <v>56</v>
      </c>
      <c r="H127">
        <v>1.9009693081643861</v>
      </c>
      <c r="I127">
        <v>0.50188919149136091</v>
      </c>
      <c r="J127">
        <v>1.9924716789148331</v>
      </c>
      <c r="K127">
        <v>2.3200000000000003</v>
      </c>
      <c r="L127">
        <v>132</v>
      </c>
      <c r="M127">
        <v>0.43103448275862066</v>
      </c>
      <c r="P127">
        <v>7.0854708732740246E-2</v>
      </c>
      <c r="Q127">
        <v>6.6600179125670138</v>
      </c>
      <c r="R127">
        <v>7.7548111326584772</v>
      </c>
      <c r="S127" t="s">
        <v>192</v>
      </c>
      <c r="T127">
        <f t="shared" si="9"/>
        <v>-6.6600179125670138</v>
      </c>
      <c r="U127">
        <f t="shared" si="11"/>
        <v>-6.6600179125670138</v>
      </c>
    </row>
    <row r="128" spans="1:21" hidden="1" x14ac:dyDescent="0.35">
      <c r="A128" s="36">
        <v>1207</v>
      </c>
      <c r="B128" t="s">
        <v>153</v>
      </c>
      <c r="C128" s="1" t="s">
        <v>172</v>
      </c>
      <c r="D128">
        <v>3</v>
      </c>
      <c r="E128">
        <v>-145</v>
      </c>
      <c r="F128" t="s">
        <v>128</v>
      </c>
      <c r="G128" t="s">
        <v>47</v>
      </c>
      <c r="H128">
        <v>1.8913865237813006</v>
      </c>
      <c r="I128">
        <v>0.49810065231040274</v>
      </c>
      <c r="J128">
        <v>2.007626360980606</v>
      </c>
      <c r="K128">
        <v>1.6896551724137931</v>
      </c>
      <c r="L128">
        <v>-145</v>
      </c>
      <c r="M128">
        <v>0.59183673469387754</v>
      </c>
      <c r="P128">
        <v>-9.3736082383474806E-2</v>
      </c>
      <c r="Q128">
        <v>0</v>
      </c>
      <c r="R128">
        <v>0</v>
      </c>
      <c r="S128" t="s">
        <v>195</v>
      </c>
      <c r="T128">
        <f t="shared" si="10"/>
        <v>0</v>
      </c>
      <c r="U128">
        <f t="shared" si="11"/>
        <v>0</v>
      </c>
    </row>
    <row r="129" spans="1:21" hidden="1" x14ac:dyDescent="0.35">
      <c r="A129" s="36">
        <v>1207</v>
      </c>
      <c r="B129" t="s">
        <v>151</v>
      </c>
      <c r="C129" s="1" t="s">
        <v>183</v>
      </c>
      <c r="D129">
        <v>3</v>
      </c>
      <c r="E129">
        <v>180</v>
      </c>
      <c r="F129" t="s">
        <v>131</v>
      </c>
      <c r="G129" t="s">
        <v>51</v>
      </c>
      <c r="H129">
        <v>1.6264265176600858</v>
      </c>
      <c r="I129">
        <v>0.30921674999443599</v>
      </c>
      <c r="J129">
        <v>3.2339774608522789</v>
      </c>
      <c r="K129">
        <v>2.8</v>
      </c>
      <c r="L129">
        <v>180</v>
      </c>
      <c r="M129">
        <v>0.35714285714285715</v>
      </c>
      <c r="P129">
        <v>-4.792610714842116E-2</v>
      </c>
      <c r="Q129">
        <v>0</v>
      </c>
      <c r="R129">
        <v>0</v>
      </c>
      <c r="S129" t="s">
        <v>193</v>
      </c>
      <c r="T129">
        <f t="shared" si="9"/>
        <v>0</v>
      </c>
      <c r="U129">
        <f t="shared" si="11"/>
        <v>0</v>
      </c>
    </row>
    <row r="130" spans="1:21" hidden="1" x14ac:dyDescent="0.35">
      <c r="A130" s="36">
        <v>1207</v>
      </c>
      <c r="B130" t="s">
        <v>153</v>
      </c>
      <c r="C130" s="1" t="s">
        <v>173</v>
      </c>
      <c r="D130">
        <v>4</v>
      </c>
      <c r="E130">
        <v>-200</v>
      </c>
      <c r="F130" t="s">
        <v>128</v>
      </c>
      <c r="G130" t="s">
        <v>44</v>
      </c>
      <c r="H130">
        <v>2.6859154822299707</v>
      </c>
      <c r="I130">
        <v>0.6906672684599533</v>
      </c>
      <c r="J130">
        <v>1.4478751863104724</v>
      </c>
      <c r="K130">
        <v>1.5</v>
      </c>
      <c r="L130">
        <v>-200</v>
      </c>
      <c r="M130">
        <v>0.66666666666666663</v>
      </c>
      <c r="P130">
        <v>2.4000601793286669E-2</v>
      </c>
      <c r="Q130">
        <v>3.8506674385927768</v>
      </c>
      <c r="R130">
        <v>3.9892949423408375</v>
      </c>
      <c r="S130" t="s">
        <v>192</v>
      </c>
      <c r="T130">
        <f t="shared" si="10"/>
        <v>1.9253337192963889</v>
      </c>
      <c r="U130">
        <f t="shared" si="11"/>
        <v>0</v>
      </c>
    </row>
    <row r="131" spans="1:21" hidden="1" x14ac:dyDescent="0.35">
      <c r="A131" s="37">
        <v>1208</v>
      </c>
      <c r="B131" t="s">
        <v>151</v>
      </c>
      <c r="C131" s="1" t="s">
        <v>176</v>
      </c>
      <c r="D131">
        <v>2</v>
      </c>
      <c r="E131">
        <v>135</v>
      </c>
      <c r="F131" t="s">
        <v>131</v>
      </c>
      <c r="G131" t="s">
        <v>38</v>
      </c>
      <c r="H131">
        <v>1.702263053318489</v>
      </c>
      <c r="I131">
        <v>0.41654536765001804</v>
      </c>
      <c r="J131">
        <v>2.4006988857938789</v>
      </c>
      <c r="K131">
        <v>2.35</v>
      </c>
      <c r="L131">
        <v>135</v>
      </c>
      <c r="M131">
        <v>0.42553191489361702</v>
      </c>
      <c r="P131">
        <v>-8.9865472435989857E-3</v>
      </c>
      <c r="Q131">
        <v>0</v>
      </c>
      <c r="R131">
        <v>0</v>
      </c>
      <c r="S131" t="s">
        <v>193</v>
      </c>
      <c r="T131">
        <f t="shared" si="9"/>
        <v>0</v>
      </c>
      <c r="U131">
        <f t="shared" si="11"/>
        <v>0</v>
      </c>
    </row>
    <row r="132" spans="1:21" hidden="1" x14ac:dyDescent="0.35">
      <c r="A132" s="37">
        <v>1208</v>
      </c>
      <c r="B132" t="s">
        <v>153</v>
      </c>
      <c r="C132" s="1" t="s">
        <v>165</v>
      </c>
      <c r="D132">
        <v>3</v>
      </c>
      <c r="E132">
        <v>-150</v>
      </c>
      <c r="F132" t="s">
        <v>128</v>
      </c>
      <c r="G132" t="s">
        <v>66</v>
      </c>
      <c r="H132">
        <v>2.1289525954021098</v>
      </c>
      <c r="I132">
        <v>0.58343808141302389</v>
      </c>
      <c r="J132">
        <v>1.71397793846111</v>
      </c>
      <c r="K132">
        <v>1.6666666666666665</v>
      </c>
      <c r="L132">
        <v>-150</v>
      </c>
      <c r="M132">
        <v>0.60000000000000009</v>
      </c>
      <c r="P132">
        <v>-1.6561918586976199E-2</v>
      </c>
      <c r="Q132">
        <v>0</v>
      </c>
      <c r="R132">
        <v>0</v>
      </c>
      <c r="S132" t="s">
        <v>195</v>
      </c>
      <c r="T132">
        <f t="shared" si="10"/>
        <v>0</v>
      </c>
      <c r="U132">
        <f t="shared" si="11"/>
        <v>0</v>
      </c>
    </row>
    <row r="133" spans="1:21" hidden="1" x14ac:dyDescent="0.35">
      <c r="A133" s="37">
        <v>1208</v>
      </c>
      <c r="B133" t="s">
        <v>151</v>
      </c>
      <c r="C133" s="1" t="s">
        <v>159</v>
      </c>
      <c r="D133">
        <v>1</v>
      </c>
      <c r="E133">
        <v>131</v>
      </c>
      <c r="F133" t="s">
        <v>131</v>
      </c>
      <c r="G133" t="s">
        <v>61</v>
      </c>
      <c r="H133">
        <v>2.5531827379054435</v>
      </c>
      <c r="I133">
        <v>0.42582770740557896</v>
      </c>
      <c r="J133">
        <v>2.3483676205398996</v>
      </c>
      <c r="K133">
        <v>2.31</v>
      </c>
      <c r="L133">
        <v>131</v>
      </c>
      <c r="M133">
        <v>0.4329004329004329</v>
      </c>
      <c r="P133">
        <v>-7.0727254948539375E-3</v>
      </c>
      <c r="Q133">
        <v>0</v>
      </c>
      <c r="R133">
        <v>0</v>
      </c>
      <c r="S133" t="s">
        <v>193</v>
      </c>
      <c r="T133">
        <f t="shared" si="9"/>
        <v>0</v>
      </c>
      <c r="U133">
        <f t="shared" si="11"/>
        <v>0</v>
      </c>
    </row>
    <row r="134" spans="1:21" hidden="1" x14ac:dyDescent="0.35">
      <c r="A134" s="37">
        <v>1208</v>
      </c>
      <c r="B134" t="s">
        <v>153</v>
      </c>
      <c r="C134" s="1" t="s">
        <v>161</v>
      </c>
      <c r="D134">
        <v>5</v>
      </c>
      <c r="E134">
        <v>-142</v>
      </c>
      <c r="F134" t="s">
        <v>128</v>
      </c>
      <c r="G134" t="s">
        <v>50</v>
      </c>
      <c r="H134">
        <v>3.0037637315780938</v>
      </c>
      <c r="I134">
        <v>0.57380285887322113</v>
      </c>
      <c r="J134">
        <v>1.7427588317766556</v>
      </c>
      <c r="K134">
        <v>1.704225352112676</v>
      </c>
      <c r="L134">
        <v>-142</v>
      </c>
      <c r="M134">
        <v>0.58677685950413228</v>
      </c>
      <c r="P134">
        <v>-1.2974000630911142E-2</v>
      </c>
      <c r="Q134">
        <v>0</v>
      </c>
      <c r="R134">
        <v>0</v>
      </c>
      <c r="S134" t="s">
        <v>195</v>
      </c>
      <c r="T134">
        <f t="shared" si="10"/>
        <v>0</v>
      </c>
      <c r="U134">
        <f t="shared" si="11"/>
        <v>0</v>
      </c>
    </row>
    <row r="135" spans="1:21" hidden="1" x14ac:dyDescent="0.35">
      <c r="A135" s="37">
        <v>1208</v>
      </c>
      <c r="B135" t="s">
        <v>151</v>
      </c>
      <c r="C135" s="1" t="s">
        <v>175</v>
      </c>
      <c r="D135">
        <v>4</v>
      </c>
      <c r="E135">
        <v>100</v>
      </c>
      <c r="F135" t="s">
        <v>131</v>
      </c>
      <c r="G135" t="s">
        <v>39</v>
      </c>
      <c r="H135">
        <v>2.5512150157862505</v>
      </c>
      <c r="I135">
        <v>0.67364639882011856</v>
      </c>
      <c r="J135">
        <v>1.484458317822948</v>
      </c>
      <c r="K135">
        <v>2</v>
      </c>
      <c r="L135">
        <v>100</v>
      </c>
      <c r="M135">
        <v>0.5</v>
      </c>
      <c r="P135">
        <v>0.17364639882011856</v>
      </c>
      <c r="Q135">
        <v>15.516180904336696</v>
      </c>
      <c r="R135">
        <v>20.904838779295812</v>
      </c>
      <c r="S135" t="s">
        <v>192</v>
      </c>
      <c r="T135">
        <f t="shared" si="9"/>
        <v>15.516180904336696</v>
      </c>
      <c r="U135">
        <f t="shared" si="11"/>
        <v>0</v>
      </c>
    </row>
    <row r="136" spans="1:21" hidden="1" x14ac:dyDescent="0.35">
      <c r="A136" s="37">
        <v>1208</v>
      </c>
      <c r="B136" t="s">
        <v>153</v>
      </c>
      <c r="C136" s="1" t="s">
        <v>177</v>
      </c>
      <c r="D136">
        <v>3</v>
      </c>
      <c r="E136">
        <v>-110</v>
      </c>
      <c r="F136" t="s">
        <v>128</v>
      </c>
      <c r="G136" t="s">
        <v>45</v>
      </c>
      <c r="H136">
        <v>1.6084598431243109</v>
      </c>
      <c r="I136">
        <v>0.32627896278107504</v>
      </c>
      <c r="J136">
        <v>3.064862017080074</v>
      </c>
      <c r="K136">
        <v>1.9090909090909092</v>
      </c>
      <c r="L136">
        <v>-110</v>
      </c>
      <c r="M136">
        <v>0.52380952380952384</v>
      </c>
      <c r="P136">
        <v>-0.19753056102844879</v>
      </c>
      <c r="Q136">
        <v>0</v>
      </c>
      <c r="R136">
        <v>0</v>
      </c>
      <c r="S136" t="s">
        <v>195</v>
      </c>
      <c r="T136">
        <f t="shared" si="10"/>
        <v>0</v>
      </c>
      <c r="U136">
        <f t="shared" si="11"/>
        <v>0</v>
      </c>
    </row>
    <row r="137" spans="1:21" hidden="1" x14ac:dyDescent="0.35">
      <c r="A137" s="37">
        <v>1208</v>
      </c>
      <c r="B137" t="s">
        <v>151</v>
      </c>
      <c r="C137" s="1" t="s">
        <v>166</v>
      </c>
      <c r="D137">
        <v>5</v>
      </c>
      <c r="E137">
        <v>180</v>
      </c>
      <c r="F137" t="s">
        <v>131</v>
      </c>
      <c r="G137" t="s">
        <v>57</v>
      </c>
      <c r="H137">
        <v>3.1302173690423931</v>
      </c>
      <c r="I137">
        <v>0.59494632581757712</v>
      </c>
      <c r="J137">
        <v>1.6808238938626889</v>
      </c>
      <c r="K137">
        <v>2.8</v>
      </c>
      <c r="L137">
        <v>180</v>
      </c>
      <c r="M137">
        <v>0.35714285714285715</v>
      </c>
      <c r="P137">
        <v>0.23780346867471996</v>
      </c>
      <c r="Q137">
        <v>16.526952123490695</v>
      </c>
      <c r="R137">
        <v>27.531418439934619</v>
      </c>
      <c r="S137" t="s">
        <v>192</v>
      </c>
      <c r="T137">
        <f t="shared" si="9"/>
        <v>29.74851382228325</v>
      </c>
      <c r="U137">
        <f t="shared" si="11"/>
        <v>0</v>
      </c>
    </row>
    <row r="138" spans="1:21" hidden="1" x14ac:dyDescent="0.35">
      <c r="A138" s="37">
        <v>1208</v>
      </c>
      <c r="B138" t="s">
        <v>153</v>
      </c>
      <c r="C138" s="1" t="s">
        <v>160</v>
      </c>
      <c r="D138">
        <v>0</v>
      </c>
      <c r="E138">
        <v>-200</v>
      </c>
      <c r="F138" t="s">
        <v>128</v>
      </c>
      <c r="G138" t="s">
        <v>68</v>
      </c>
      <c r="H138">
        <v>2.542635255193638</v>
      </c>
      <c r="I138">
        <v>0.40456706280900867</v>
      </c>
      <c r="J138">
        <v>2.4717780855830278</v>
      </c>
      <c r="K138">
        <v>1.5</v>
      </c>
      <c r="L138">
        <v>-200</v>
      </c>
      <c r="M138">
        <v>0.66666666666666663</v>
      </c>
      <c r="P138">
        <v>-0.26209960385765796</v>
      </c>
      <c r="Q138">
        <v>0</v>
      </c>
      <c r="R138">
        <v>0</v>
      </c>
      <c r="S138" t="s">
        <v>195</v>
      </c>
      <c r="T138">
        <f t="shared" si="10"/>
        <v>0</v>
      </c>
      <c r="U138">
        <f t="shared" si="11"/>
        <v>0</v>
      </c>
    </row>
    <row r="139" spans="1:21" hidden="1" x14ac:dyDescent="0.35">
      <c r="A139" s="37">
        <v>1208</v>
      </c>
      <c r="B139" t="s">
        <v>151</v>
      </c>
      <c r="C139" s="1" t="s">
        <v>167</v>
      </c>
      <c r="D139">
        <v>3</v>
      </c>
      <c r="E139">
        <v>160</v>
      </c>
      <c r="F139" t="s">
        <v>131</v>
      </c>
      <c r="G139" t="s">
        <v>41</v>
      </c>
      <c r="H139">
        <v>3.0350445181519912</v>
      </c>
      <c r="I139">
        <v>0.68041229707597251</v>
      </c>
      <c r="J139">
        <v>1.469697129663051</v>
      </c>
      <c r="K139">
        <v>2.6</v>
      </c>
      <c r="L139">
        <v>160</v>
      </c>
      <c r="M139">
        <v>0.38461538461538458</v>
      </c>
      <c r="P139">
        <v>0.29579691246058792</v>
      </c>
      <c r="Q139">
        <v>21.475142756445504</v>
      </c>
      <c r="R139">
        <v>37.99107315366355</v>
      </c>
      <c r="S139" t="s">
        <v>192</v>
      </c>
      <c r="T139">
        <f t="shared" si="9"/>
        <v>34.360228410312814</v>
      </c>
      <c r="U139">
        <f t="shared" si="11"/>
        <v>0</v>
      </c>
    </row>
    <row r="140" spans="1:21" hidden="1" x14ac:dyDescent="0.35">
      <c r="A140" s="37">
        <v>1208</v>
      </c>
      <c r="B140" t="s">
        <v>153</v>
      </c>
      <c r="C140" s="1" t="s">
        <v>158</v>
      </c>
      <c r="D140">
        <v>2</v>
      </c>
      <c r="E140">
        <v>-180</v>
      </c>
      <c r="F140" t="s">
        <v>128</v>
      </c>
      <c r="G140" t="s">
        <v>49</v>
      </c>
      <c r="H140">
        <v>1.962505408100081</v>
      </c>
      <c r="I140">
        <v>0.31925881132872769</v>
      </c>
      <c r="J140">
        <v>3.132254974696191</v>
      </c>
      <c r="K140">
        <v>1.5555555555555556</v>
      </c>
      <c r="L140">
        <v>-180</v>
      </c>
      <c r="M140">
        <v>0.64285714285714279</v>
      </c>
      <c r="P140">
        <v>-0.32359833152841511</v>
      </c>
      <c r="Q140">
        <v>0</v>
      </c>
      <c r="R140">
        <v>0</v>
      </c>
      <c r="S140" t="s">
        <v>195</v>
      </c>
      <c r="T140">
        <f t="shared" si="10"/>
        <v>0</v>
      </c>
      <c r="U140">
        <f t="shared" si="11"/>
        <v>0</v>
      </c>
    </row>
    <row r="141" spans="1:21" hidden="1" x14ac:dyDescent="0.35">
      <c r="A141" s="7">
        <v>1209</v>
      </c>
      <c r="B141" t="s">
        <v>151</v>
      </c>
      <c r="C141" s="1" t="s">
        <v>179</v>
      </c>
      <c r="D141">
        <v>5</v>
      </c>
      <c r="E141">
        <v>205</v>
      </c>
      <c r="F141" t="s">
        <v>131</v>
      </c>
      <c r="G141" t="s">
        <v>43</v>
      </c>
      <c r="H141">
        <v>2.0166334347131247</v>
      </c>
      <c r="I141">
        <v>0.2966971654285197</v>
      </c>
      <c r="J141">
        <v>3.3704400193904784</v>
      </c>
      <c r="K141">
        <v>3.05</v>
      </c>
      <c r="L141">
        <v>205</v>
      </c>
      <c r="M141">
        <v>0.32786885245901642</v>
      </c>
      <c r="P141">
        <v>-3.117168703049672E-2</v>
      </c>
      <c r="Q141">
        <v>0</v>
      </c>
      <c r="R141">
        <v>0</v>
      </c>
      <c r="S141" t="s">
        <v>193</v>
      </c>
      <c r="T141">
        <f t="shared" si="9"/>
        <v>0</v>
      </c>
      <c r="U141">
        <f t="shared" si="11"/>
        <v>0</v>
      </c>
    </row>
    <row r="142" spans="1:21" hidden="1" x14ac:dyDescent="0.35">
      <c r="A142" s="7">
        <v>1209</v>
      </c>
      <c r="B142" t="s">
        <v>153</v>
      </c>
      <c r="C142" s="1" t="s">
        <v>155</v>
      </c>
      <c r="D142">
        <v>2</v>
      </c>
      <c r="E142">
        <v>-230</v>
      </c>
      <c r="F142" t="s">
        <v>128</v>
      </c>
      <c r="G142" t="s">
        <v>67</v>
      </c>
      <c r="H142">
        <v>3.2665627942220343</v>
      </c>
      <c r="I142">
        <v>0.70270634591675007</v>
      </c>
      <c r="J142">
        <v>1.4230695450677919</v>
      </c>
      <c r="K142">
        <v>1.4347826086956521</v>
      </c>
      <c r="L142">
        <v>-230</v>
      </c>
      <c r="M142">
        <v>0.69696969696969702</v>
      </c>
      <c r="P142">
        <v>5.7366489470530579E-3</v>
      </c>
      <c r="Q142">
        <v>1.1171149756680478</v>
      </c>
      <c r="R142">
        <v>1.1263097749208222</v>
      </c>
      <c r="S142" t="s">
        <v>195</v>
      </c>
      <c r="T142">
        <f t="shared" si="10"/>
        <v>-1.1171149756680478</v>
      </c>
      <c r="U142">
        <f t="shared" si="11"/>
        <v>0</v>
      </c>
    </row>
    <row r="143" spans="1:21" hidden="1" x14ac:dyDescent="0.35">
      <c r="A143" s="7">
        <v>1209</v>
      </c>
      <c r="B143" t="s">
        <v>151</v>
      </c>
      <c r="C143" s="1" t="s">
        <v>180</v>
      </c>
      <c r="D143">
        <v>5</v>
      </c>
      <c r="E143">
        <v>155</v>
      </c>
      <c r="F143" t="s">
        <v>131</v>
      </c>
      <c r="G143" t="s">
        <v>56</v>
      </c>
      <c r="H143">
        <v>2.2748954889442725</v>
      </c>
      <c r="I143">
        <v>0.50624303114362301</v>
      </c>
      <c r="J143">
        <v>1.9753358337416724</v>
      </c>
      <c r="K143">
        <v>2.5499999999999998</v>
      </c>
      <c r="L143">
        <v>155</v>
      </c>
      <c r="M143">
        <v>0.39215686274509809</v>
      </c>
      <c r="P143">
        <v>0.11408616839852492</v>
      </c>
      <c r="Q143">
        <v>11.075596786769244</v>
      </c>
      <c r="R143">
        <v>14.297706407099515</v>
      </c>
      <c r="S143" t="s">
        <v>192</v>
      </c>
      <c r="T143">
        <f t="shared" si="9"/>
        <v>17.167175019492326</v>
      </c>
      <c r="U143">
        <f t="shared" si="11"/>
        <v>17.167175019492326</v>
      </c>
    </row>
    <row r="144" spans="1:21" hidden="1" x14ac:dyDescent="0.35">
      <c r="A144" s="7">
        <v>1209</v>
      </c>
      <c r="B144" t="s">
        <v>153</v>
      </c>
      <c r="C144" s="1" t="s">
        <v>162</v>
      </c>
      <c r="D144">
        <v>1</v>
      </c>
      <c r="E144">
        <v>-170</v>
      </c>
      <c r="F144" t="s">
        <v>128</v>
      </c>
      <c r="G144" t="s">
        <v>63</v>
      </c>
      <c r="H144">
        <v>2.2404992557475221</v>
      </c>
      <c r="I144">
        <v>0.4937069184940775</v>
      </c>
      <c r="J144">
        <v>2.0254931874364566</v>
      </c>
      <c r="K144">
        <v>1.5882352941176472</v>
      </c>
      <c r="L144">
        <v>-170</v>
      </c>
      <c r="M144">
        <v>0.62962962962962954</v>
      </c>
      <c r="P144">
        <v>-0.13592271113555204</v>
      </c>
      <c r="Q144">
        <v>0</v>
      </c>
      <c r="R144">
        <v>0</v>
      </c>
      <c r="S144" t="s">
        <v>195</v>
      </c>
      <c r="T144">
        <f t="shared" si="10"/>
        <v>0</v>
      </c>
      <c r="U144">
        <f t="shared" si="11"/>
        <v>0</v>
      </c>
    </row>
    <row r="145" spans="1:21" hidden="1" x14ac:dyDescent="0.35">
      <c r="A145" s="7">
        <v>1209</v>
      </c>
      <c r="B145" t="s">
        <v>151</v>
      </c>
      <c r="C145" s="1" t="s">
        <v>171</v>
      </c>
      <c r="D145">
        <v>2</v>
      </c>
      <c r="E145">
        <v>-174</v>
      </c>
      <c r="F145" t="s">
        <v>131</v>
      </c>
      <c r="G145" t="s">
        <v>40</v>
      </c>
      <c r="H145">
        <v>2.7483470585247027</v>
      </c>
      <c r="I145">
        <v>0.56559443110134677</v>
      </c>
      <c r="J145">
        <v>1.7680513544886967</v>
      </c>
      <c r="K145">
        <v>1.5747126436781609</v>
      </c>
      <c r="L145">
        <v>-174</v>
      </c>
      <c r="M145">
        <v>0.63503649635036497</v>
      </c>
      <c r="P145">
        <v>-6.9442065249018192E-2</v>
      </c>
      <c r="Q145">
        <v>0</v>
      </c>
      <c r="R145">
        <v>0</v>
      </c>
      <c r="S145" t="s">
        <v>193</v>
      </c>
      <c r="T145">
        <f t="shared" si="9"/>
        <v>0</v>
      </c>
      <c r="U145">
        <f t="shared" si="11"/>
        <v>0</v>
      </c>
    </row>
    <row r="146" spans="1:21" hidden="1" x14ac:dyDescent="0.35">
      <c r="A146" s="7">
        <v>1209</v>
      </c>
      <c r="B146" t="s">
        <v>153</v>
      </c>
      <c r="C146" s="1" t="s">
        <v>152</v>
      </c>
      <c r="D146">
        <v>5</v>
      </c>
      <c r="E146">
        <v>157</v>
      </c>
      <c r="F146" t="s">
        <v>128</v>
      </c>
      <c r="G146" t="s">
        <v>58</v>
      </c>
      <c r="H146">
        <v>2.3645280230983721</v>
      </c>
      <c r="I146">
        <v>0.43422811760155977</v>
      </c>
      <c r="J146">
        <v>2.3029370035350469</v>
      </c>
      <c r="K146">
        <v>2.5700000000000003</v>
      </c>
      <c r="L146">
        <v>157</v>
      </c>
      <c r="M146">
        <v>0.3891050583657587</v>
      </c>
      <c r="P146">
        <v>4.5123059235801066E-2</v>
      </c>
      <c r="Q146">
        <v>4.3587069087492729</v>
      </c>
      <c r="R146">
        <v>4.8641698571391938</v>
      </c>
      <c r="S146" t="s">
        <v>192</v>
      </c>
      <c r="T146">
        <f t="shared" si="10"/>
        <v>6.8431698467363589</v>
      </c>
      <c r="U146">
        <f t="shared" si="11"/>
        <v>0</v>
      </c>
    </row>
    <row r="147" spans="1:21" hidden="1" x14ac:dyDescent="0.35">
      <c r="A147" s="7">
        <v>1209</v>
      </c>
      <c r="B147" t="s">
        <v>151</v>
      </c>
      <c r="C147" s="1" t="s">
        <v>173</v>
      </c>
      <c r="D147">
        <v>5</v>
      </c>
      <c r="E147">
        <v>128</v>
      </c>
      <c r="F147" t="s">
        <v>131</v>
      </c>
      <c r="G147" t="s">
        <v>44</v>
      </c>
      <c r="H147">
        <v>2.0812110600240876</v>
      </c>
      <c r="I147">
        <v>0.39077059977516349</v>
      </c>
      <c r="J147">
        <v>2.5590461528461121</v>
      </c>
      <c r="K147">
        <v>2.2800000000000002</v>
      </c>
      <c r="L147">
        <v>128</v>
      </c>
      <c r="M147">
        <v>0.43859649122807015</v>
      </c>
      <c r="P147">
        <v>-4.7825891452906666E-2</v>
      </c>
      <c r="Q147">
        <v>0</v>
      </c>
      <c r="R147">
        <v>0</v>
      </c>
      <c r="S147" t="s">
        <v>193</v>
      </c>
      <c r="T147">
        <f t="shared" si="9"/>
        <v>0</v>
      </c>
      <c r="U147">
        <f t="shared" si="11"/>
        <v>0</v>
      </c>
    </row>
    <row r="148" spans="1:21" hidden="1" x14ac:dyDescent="0.35">
      <c r="A148" s="7">
        <v>1209</v>
      </c>
      <c r="B148" t="s">
        <v>153</v>
      </c>
      <c r="C148" s="1" t="s">
        <v>174</v>
      </c>
      <c r="D148">
        <v>4</v>
      </c>
      <c r="E148">
        <v>-138</v>
      </c>
      <c r="F148" t="s">
        <v>128</v>
      </c>
      <c r="G148" t="s">
        <v>46</v>
      </c>
      <c r="H148">
        <v>2.7035751098921432</v>
      </c>
      <c r="I148">
        <v>0.60909601698999039</v>
      </c>
      <c r="J148">
        <v>1.6417772766628247</v>
      </c>
      <c r="K148">
        <v>1.7246376811594204</v>
      </c>
      <c r="L148">
        <v>-138</v>
      </c>
      <c r="M148">
        <v>0.57983193277310918</v>
      </c>
      <c r="P148">
        <v>2.9264084216881203E-2</v>
      </c>
      <c r="Q148">
        <v>4.1099596186747993</v>
      </c>
      <c r="R148">
        <v>4.3173890436698246</v>
      </c>
      <c r="S148" t="s">
        <v>192</v>
      </c>
      <c r="T148">
        <f t="shared" si="10"/>
        <v>-4.1099596186747993</v>
      </c>
      <c r="U148">
        <f t="shared" si="11"/>
        <v>0</v>
      </c>
    </row>
    <row r="149" spans="1:21" ht="14.5" hidden="1" customHeight="1" x14ac:dyDescent="0.35">
      <c r="A149" s="18">
        <v>1210</v>
      </c>
      <c r="B149" t="s">
        <v>151</v>
      </c>
      <c r="C149" s="1" t="s">
        <v>163</v>
      </c>
      <c r="D149">
        <v>4</v>
      </c>
      <c r="E149">
        <v>127</v>
      </c>
      <c r="F149" t="s">
        <v>131</v>
      </c>
      <c r="G149" t="s">
        <v>53</v>
      </c>
      <c r="H149">
        <v>2.236901822995383</v>
      </c>
      <c r="I149">
        <v>0.40719211331099925</v>
      </c>
      <c r="J149">
        <v>2.4558432428091619</v>
      </c>
      <c r="K149">
        <v>2.27</v>
      </c>
      <c r="L149">
        <v>127</v>
      </c>
      <c r="M149">
        <v>0.44052863436123346</v>
      </c>
      <c r="P149">
        <v>-3.3336521050234214E-2</v>
      </c>
      <c r="Q149">
        <v>0</v>
      </c>
      <c r="R149">
        <v>0</v>
      </c>
      <c r="S149" t="s">
        <v>193</v>
      </c>
      <c r="T149">
        <f t="shared" si="9"/>
        <v>0</v>
      </c>
      <c r="U149">
        <f t="shared" si="11"/>
        <v>0</v>
      </c>
    </row>
    <row r="150" spans="1:21" ht="14.5" hidden="1" customHeight="1" x14ac:dyDescent="0.35">
      <c r="A150" s="18">
        <v>1210</v>
      </c>
      <c r="B150" t="s">
        <v>153</v>
      </c>
      <c r="C150" s="1" t="s">
        <v>168</v>
      </c>
      <c r="D150">
        <v>1</v>
      </c>
      <c r="E150">
        <v>-137</v>
      </c>
      <c r="F150" t="s">
        <v>128</v>
      </c>
      <c r="G150" t="s">
        <v>60</v>
      </c>
      <c r="H150">
        <v>2.7757294995802941</v>
      </c>
      <c r="I150">
        <v>0.59263285066243387</v>
      </c>
      <c r="J150">
        <v>1.687385366643477</v>
      </c>
      <c r="K150">
        <v>1.7299270072992701</v>
      </c>
      <c r="L150">
        <v>-137</v>
      </c>
      <c r="M150">
        <v>0.57805907172995785</v>
      </c>
      <c r="P150">
        <v>1.4573778932476023E-2</v>
      </c>
      <c r="Q150">
        <v>2.1549759801187678</v>
      </c>
      <c r="R150">
        <v>2.2093063160220825</v>
      </c>
      <c r="S150" t="s">
        <v>195</v>
      </c>
      <c r="T150">
        <f t="shared" si="10"/>
        <v>-2.1549759801187678</v>
      </c>
      <c r="U150">
        <f t="shared" si="11"/>
        <v>0</v>
      </c>
    </row>
    <row r="151" spans="1:21" hidden="1" x14ac:dyDescent="0.35">
      <c r="A151" s="18">
        <v>1210</v>
      </c>
      <c r="B151" t="s">
        <v>151</v>
      </c>
      <c r="C151" s="1" t="s">
        <v>162</v>
      </c>
      <c r="D151">
        <v>2</v>
      </c>
      <c r="E151">
        <v>-110</v>
      </c>
      <c r="F151" t="s">
        <v>131</v>
      </c>
      <c r="G151" t="s">
        <v>63</v>
      </c>
      <c r="H151">
        <v>3.2315440077090223</v>
      </c>
      <c r="I151">
        <v>0.56512502382904806</v>
      </c>
      <c r="J151">
        <v>1.7695199430816619</v>
      </c>
      <c r="K151">
        <v>1.9090909090909092</v>
      </c>
      <c r="L151">
        <v>-110</v>
      </c>
      <c r="M151">
        <v>0.52380952380952384</v>
      </c>
      <c r="P151">
        <v>4.1315500019524221E-2</v>
      </c>
      <c r="Q151">
        <v>5.4132018076003758</v>
      </c>
      <c r="R151">
        <v>5.8401683464312528</v>
      </c>
      <c r="S151" t="s">
        <v>192</v>
      </c>
      <c r="T151">
        <f t="shared" si="9"/>
        <v>4.9210925523639792</v>
      </c>
      <c r="U151">
        <f t="shared" si="11"/>
        <v>4.9210925523639792</v>
      </c>
    </row>
    <row r="152" spans="1:21" hidden="1" x14ac:dyDescent="0.35">
      <c r="A152" s="18">
        <v>1210</v>
      </c>
      <c r="B152" t="s">
        <v>153</v>
      </c>
      <c r="C152" s="1" t="s">
        <v>161</v>
      </c>
      <c r="D152">
        <v>1</v>
      </c>
      <c r="E152">
        <v>100</v>
      </c>
      <c r="F152" t="s">
        <v>128</v>
      </c>
      <c r="G152" t="s">
        <v>50</v>
      </c>
      <c r="H152">
        <v>2.8162646192088361</v>
      </c>
      <c r="I152">
        <v>0.43416467046051632</v>
      </c>
      <c r="J152">
        <v>2.3032735458168556</v>
      </c>
      <c r="K152">
        <v>2</v>
      </c>
      <c r="L152">
        <v>100</v>
      </c>
      <c r="M152">
        <v>0.5</v>
      </c>
      <c r="P152">
        <v>-6.5835329539483678E-2</v>
      </c>
      <c r="Q152">
        <v>0</v>
      </c>
      <c r="R152">
        <v>0</v>
      </c>
      <c r="S152" t="s">
        <v>195</v>
      </c>
      <c r="T152">
        <f t="shared" si="10"/>
        <v>0</v>
      </c>
      <c r="U152">
        <f t="shared" si="11"/>
        <v>0</v>
      </c>
    </row>
    <row r="153" spans="1:21" hidden="1" x14ac:dyDescent="0.35">
      <c r="A153" s="18">
        <v>1210</v>
      </c>
      <c r="B153" t="s">
        <v>151</v>
      </c>
      <c r="C153" s="1" t="s">
        <v>156</v>
      </c>
      <c r="D153">
        <v>2</v>
      </c>
      <c r="E153">
        <v>-130</v>
      </c>
      <c r="F153" t="s">
        <v>131</v>
      </c>
      <c r="G153" t="s">
        <v>62</v>
      </c>
      <c r="H153">
        <v>2.6283786484762026</v>
      </c>
      <c r="I153">
        <v>0.63278842882108799</v>
      </c>
      <c r="J153">
        <v>1.5803070259407919</v>
      </c>
      <c r="K153">
        <v>1.7692307692307692</v>
      </c>
      <c r="L153">
        <v>-130</v>
      </c>
      <c r="M153">
        <v>0.56521739130434789</v>
      </c>
      <c r="P153">
        <v>6.7571037516740096E-2</v>
      </c>
      <c r="Q153">
        <v>9.6963957742673035</v>
      </c>
      <c r="R153">
        <v>10.85558785278454</v>
      </c>
      <c r="S153" t="s">
        <v>192</v>
      </c>
      <c r="T153">
        <f t="shared" si="9"/>
        <v>-9.6963957742673035</v>
      </c>
      <c r="U153">
        <f t="shared" si="11"/>
        <v>-9.6963957742673035</v>
      </c>
    </row>
    <row r="154" spans="1:21" hidden="1" x14ac:dyDescent="0.35">
      <c r="A154" s="18">
        <v>1210</v>
      </c>
      <c r="B154" t="s">
        <v>153</v>
      </c>
      <c r="C154" s="1" t="s">
        <v>167</v>
      </c>
      <c r="D154">
        <v>5</v>
      </c>
      <c r="E154">
        <v>120</v>
      </c>
      <c r="F154" t="s">
        <v>128</v>
      </c>
      <c r="G154" t="s">
        <v>41</v>
      </c>
      <c r="H154">
        <v>1.8875994352201881</v>
      </c>
      <c r="I154">
        <v>0.3671114518278496</v>
      </c>
      <c r="J154">
        <v>2.7239684161880415</v>
      </c>
      <c r="K154">
        <v>2.2000000000000002</v>
      </c>
      <c r="L154">
        <v>120</v>
      </c>
      <c r="M154">
        <v>0.45454545454545453</v>
      </c>
      <c r="P154">
        <v>-8.7434002717604931E-2</v>
      </c>
      <c r="Q154">
        <v>0</v>
      </c>
      <c r="R154">
        <v>0</v>
      </c>
      <c r="S154" t="s">
        <v>195</v>
      </c>
      <c r="T154">
        <f t="shared" si="10"/>
        <v>0</v>
      </c>
      <c r="U154">
        <f t="shared" si="11"/>
        <v>0</v>
      </c>
    </row>
    <row r="155" spans="1:21" hidden="1" x14ac:dyDescent="0.35">
      <c r="A155" s="18">
        <v>1210</v>
      </c>
      <c r="B155" t="s">
        <v>151</v>
      </c>
      <c r="C155" s="1" t="s">
        <v>182</v>
      </c>
      <c r="D155">
        <v>1</v>
      </c>
      <c r="E155">
        <v>210</v>
      </c>
      <c r="F155" t="s">
        <v>131</v>
      </c>
      <c r="G155" t="s">
        <v>48</v>
      </c>
      <c r="H155">
        <v>1.3369866831915069</v>
      </c>
      <c r="I155">
        <v>0.24305373523830415</v>
      </c>
      <c r="J155">
        <v>4.1143165276581382</v>
      </c>
      <c r="K155">
        <v>3.1</v>
      </c>
      <c r="L155">
        <v>210</v>
      </c>
      <c r="M155">
        <v>0.32258064516129031</v>
      </c>
      <c r="P155">
        <v>-7.9526909922986166E-2</v>
      </c>
      <c r="Q155">
        <v>0</v>
      </c>
      <c r="R155">
        <v>0</v>
      </c>
      <c r="S155" t="s">
        <v>193</v>
      </c>
      <c r="T155">
        <f t="shared" si="9"/>
        <v>0</v>
      </c>
      <c r="U155">
        <f t="shared" si="11"/>
        <v>0</v>
      </c>
    </row>
    <row r="156" spans="1:21" hidden="1" x14ac:dyDescent="0.35">
      <c r="A156" s="18">
        <v>1210</v>
      </c>
      <c r="B156" t="s">
        <v>153</v>
      </c>
      <c r="C156" s="1" t="s">
        <v>165</v>
      </c>
      <c r="D156">
        <v>5</v>
      </c>
      <c r="E156">
        <v>-240</v>
      </c>
      <c r="F156" t="s">
        <v>128</v>
      </c>
      <c r="G156" t="s">
        <v>66</v>
      </c>
      <c r="H156">
        <v>2.7756752760670111</v>
      </c>
      <c r="I156">
        <v>0.75679405503000186</v>
      </c>
      <c r="J156">
        <v>1.3213634453832446</v>
      </c>
      <c r="K156">
        <v>1.4166666666666667</v>
      </c>
      <c r="L156">
        <v>-240</v>
      </c>
      <c r="M156">
        <v>0.70588235294117641</v>
      </c>
      <c r="P156">
        <v>5.091170208882545E-2</v>
      </c>
      <c r="Q156">
        <v>10.799867915281609</v>
      </c>
      <c r="R156">
        <v>11.578807430642041</v>
      </c>
      <c r="S156" t="s">
        <v>192</v>
      </c>
      <c r="T156">
        <f t="shared" si="10"/>
        <v>4.4999449647006706</v>
      </c>
      <c r="U156">
        <f t="shared" si="11"/>
        <v>4.4999449647006706</v>
      </c>
    </row>
    <row r="157" spans="1:21" hidden="1" x14ac:dyDescent="0.35">
      <c r="A157" s="18">
        <v>1210</v>
      </c>
      <c r="B157" t="s">
        <v>151</v>
      </c>
      <c r="C157" s="1" t="s">
        <v>159</v>
      </c>
      <c r="D157">
        <v>1</v>
      </c>
      <c r="E157">
        <v>155</v>
      </c>
      <c r="F157" t="s">
        <v>131</v>
      </c>
      <c r="G157" t="s">
        <v>61</v>
      </c>
      <c r="H157">
        <v>2.8322998800875729</v>
      </c>
      <c r="I157">
        <v>0.50291827173906367</v>
      </c>
      <c r="J157">
        <v>1.9883946481841972</v>
      </c>
      <c r="K157">
        <v>2.5499999999999998</v>
      </c>
      <c r="L157">
        <v>155</v>
      </c>
      <c r="M157">
        <v>0.39215686274509809</v>
      </c>
      <c r="P157">
        <v>0.11076140899396558</v>
      </c>
      <c r="Q157">
        <v>11.368910937641708</v>
      </c>
      <c r="R157">
        <v>14.57996425280097</v>
      </c>
      <c r="S157" t="s">
        <v>192</v>
      </c>
      <c r="T157">
        <f t="shared" si="9"/>
        <v>-11.368910937641708</v>
      </c>
      <c r="U157">
        <f t="shared" si="11"/>
        <v>-11.368910937641708</v>
      </c>
    </row>
    <row r="158" spans="1:21" hidden="1" x14ac:dyDescent="0.35">
      <c r="A158" s="18">
        <v>1210</v>
      </c>
      <c r="B158" t="s">
        <v>153</v>
      </c>
      <c r="C158" s="1" t="s">
        <v>170</v>
      </c>
      <c r="D158">
        <v>3</v>
      </c>
      <c r="E158">
        <v>-170</v>
      </c>
      <c r="F158" t="s">
        <v>128</v>
      </c>
      <c r="G158" t="s">
        <v>55</v>
      </c>
      <c r="H158">
        <v>2.8134099783565132</v>
      </c>
      <c r="I158">
        <v>0.49673081061538721</v>
      </c>
      <c r="J158">
        <v>2.0131628210481356</v>
      </c>
      <c r="K158">
        <v>1.5882352941176472</v>
      </c>
      <c r="L158">
        <v>-170</v>
      </c>
      <c r="M158">
        <v>0.62962962962962954</v>
      </c>
      <c r="P158">
        <v>-0.13289881901424233</v>
      </c>
      <c r="Q158">
        <v>0</v>
      </c>
      <c r="R158">
        <v>0</v>
      </c>
      <c r="S158" t="s">
        <v>195</v>
      </c>
      <c r="T158">
        <f t="shared" si="10"/>
        <v>0</v>
      </c>
      <c r="U158">
        <f t="shared" si="11"/>
        <v>0</v>
      </c>
    </row>
    <row r="159" spans="1:21" hidden="1" x14ac:dyDescent="0.35">
      <c r="A159" s="18">
        <v>1210</v>
      </c>
      <c r="B159" t="s">
        <v>151</v>
      </c>
      <c r="C159" s="1" t="s">
        <v>176</v>
      </c>
      <c r="D159">
        <v>3</v>
      </c>
      <c r="E159">
        <v>132</v>
      </c>
      <c r="F159" t="s">
        <v>131</v>
      </c>
      <c r="G159" t="s">
        <v>38</v>
      </c>
      <c r="H159">
        <v>2.3871644636650364</v>
      </c>
      <c r="I159">
        <v>0.3905848586676976</v>
      </c>
      <c r="J159">
        <v>2.5602630972717288</v>
      </c>
      <c r="K159">
        <v>2.3200000000000003</v>
      </c>
      <c r="L159">
        <v>132</v>
      </c>
      <c r="M159">
        <v>0.43103448275862066</v>
      </c>
      <c r="P159">
        <v>-4.0449624090923064E-2</v>
      </c>
      <c r="Q159">
        <v>0</v>
      </c>
      <c r="R159">
        <v>0</v>
      </c>
      <c r="S159" t="s">
        <v>193</v>
      </c>
      <c r="T159">
        <f t="shared" si="9"/>
        <v>0</v>
      </c>
      <c r="U159">
        <f t="shared" si="11"/>
        <v>0</v>
      </c>
    </row>
    <row r="160" spans="1:21" hidden="1" x14ac:dyDescent="0.35">
      <c r="A160" s="18">
        <v>1210</v>
      </c>
      <c r="B160" t="s">
        <v>153</v>
      </c>
      <c r="C160" s="1" t="s">
        <v>169</v>
      </c>
      <c r="D160">
        <v>2</v>
      </c>
      <c r="E160">
        <v>-145</v>
      </c>
      <c r="F160" t="s">
        <v>128</v>
      </c>
      <c r="G160" t="s">
        <v>52</v>
      </c>
      <c r="H160">
        <v>3.0493479422770338</v>
      </c>
      <c r="I160">
        <v>0.60903942287090029</v>
      </c>
      <c r="J160">
        <v>1.6419298364729547</v>
      </c>
      <c r="K160">
        <v>1.6896551724137931</v>
      </c>
      <c r="L160">
        <v>-145</v>
      </c>
      <c r="M160">
        <v>0.59183673469387754</v>
      </c>
      <c r="P160">
        <v>1.7202688177022751E-2</v>
      </c>
      <c r="Q160">
        <v>2.6295674296574423</v>
      </c>
      <c r="R160">
        <v>2.706000043385365</v>
      </c>
      <c r="S160" t="s">
        <v>195</v>
      </c>
      <c r="T160">
        <f t="shared" si="10"/>
        <v>-2.6295674296574423</v>
      </c>
      <c r="U160">
        <f t="shared" si="11"/>
        <v>0</v>
      </c>
    </row>
    <row r="161" spans="1:21" hidden="1" x14ac:dyDescent="0.35">
      <c r="A161" s="18">
        <v>1210</v>
      </c>
      <c r="B161" t="s">
        <v>151</v>
      </c>
      <c r="C161" s="1" t="s">
        <v>181</v>
      </c>
      <c r="D161">
        <v>0</v>
      </c>
      <c r="E161">
        <v>180</v>
      </c>
      <c r="F161" t="s">
        <v>131</v>
      </c>
      <c r="G161" t="s">
        <v>54</v>
      </c>
      <c r="H161">
        <v>1.7663409071951128</v>
      </c>
      <c r="I161">
        <v>0.29273862021157665</v>
      </c>
      <c r="J161">
        <v>3.4160166474695095</v>
      </c>
      <c r="K161">
        <v>2.8</v>
      </c>
      <c r="L161">
        <v>180</v>
      </c>
      <c r="M161">
        <v>0.35714285714285715</v>
      </c>
      <c r="P161">
        <v>-6.4404236931280501E-2</v>
      </c>
      <c r="Q161">
        <v>0</v>
      </c>
      <c r="R161">
        <v>0</v>
      </c>
      <c r="S161" t="s">
        <v>193</v>
      </c>
      <c r="T161">
        <f t="shared" si="9"/>
        <v>0</v>
      </c>
      <c r="U161">
        <f t="shared" si="11"/>
        <v>0</v>
      </c>
    </row>
    <row r="162" spans="1:21" hidden="1" x14ac:dyDescent="0.35">
      <c r="A162" s="18">
        <v>1210</v>
      </c>
      <c r="B162" t="s">
        <v>153</v>
      </c>
      <c r="C162" s="1" t="s">
        <v>172</v>
      </c>
      <c r="D162">
        <v>2</v>
      </c>
      <c r="E162">
        <v>-200</v>
      </c>
      <c r="F162" t="s">
        <v>128</v>
      </c>
      <c r="G162" t="s">
        <v>47</v>
      </c>
      <c r="H162">
        <v>2.9788397447504731</v>
      </c>
      <c r="I162">
        <v>0.70698315214245944</v>
      </c>
      <c r="J162">
        <v>1.4144608636989084</v>
      </c>
      <c r="K162">
        <v>1.5</v>
      </c>
      <c r="L162">
        <v>-200</v>
      </c>
      <c r="M162">
        <v>0.66666666666666663</v>
      </c>
      <c r="P162">
        <v>4.0316485475792807E-2</v>
      </c>
      <c r="Q162">
        <v>7.5461569058489717</v>
      </c>
      <c r="R162">
        <v>8.0025086937880427</v>
      </c>
      <c r="S162" t="s">
        <v>192</v>
      </c>
      <c r="T162">
        <f t="shared" si="10"/>
        <v>3.7730784529244863</v>
      </c>
      <c r="U162">
        <f t="shared" si="11"/>
        <v>3.7730784529244863</v>
      </c>
    </row>
    <row r="163" spans="1:21" hidden="1" x14ac:dyDescent="0.35">
      <c r="A163" s="18">
        <v>1210</v>
      </c>
      <c r="B163" t="s">
        <v>151</v>
      </c>
      <c r="C163" s="1" t="s">
        <v>164</v>
      </c>
      <c r="D163">
        <v>6</v>
      </c>
      <c r="E163">
        <v>-116</v>
      </c>
      <c r="F163" t="s">
        <v>131</v>
      </c>
      <c r="G163" t="s">
        <v>42</v>
      </c>
      <c r="H163">
        <v>2.858269477823697</v>
      </c>
      <c r="I163">
        <v>0.74783492363022586</v>
      </c>
      <c r="J163">
        <v>1.3371935014022689</v>
      </c>
      <c r="K163">
        <v>1.8620689655172413</v>
      </c>
      <c r="L163">
        <v>-116</v>
      </c>
      <c r="M163">
        <v>0.53703703703703709</v>
      </c>
      <c r="P163">
        <v>0.21079788659318877</v>
      </c>
      <c r="Q163">
        <v>28.408082063558002</v>
      </c>
      <c r="R163">
        <v>39.558828191242512</v>
      </c>
      <c r="S163" t="s">
        <v>192</v>
      </c>
      <c r="T163">
        <f t="shared" si="9"/>
        <v>24.489725916860348</v>
      </c>
      <c r="U163">
        <f t="shared" si="11"/>
        <v>0</v>
      </c>
    </row>
    <row r="164" spans="1:21" hidden="1" x14ac:dyDescent="0.35">
      <c r="A164" s="18">
        <v>1210</v>
      </c>
      <c r="B164" t="s">
        <v>153</v>
      </c>
      <c r="C164" s="1" t="s">
        <v>158</v>
      </c>
      <c r="D164">
        <v>3</v>
      </c>
      <c r="E164">
        <v>106</v>
      </c>
      <c r="F164" t="s">
        <v>128</v>
      </c>
      <c r="G164" t="s">
        <v>49</v>
      </c>
      <c r="H164">
        <v>1.445898296422778</v>
      </c>
      <c r="I164">
        <v>0.25196977941185306</v>
      </c>
      <c r="J164">
        <v>3.968729910127303</v>
      </c>
      <c r="K164">
        <v>2.06</v>
      </c>
      <c r="L164">
        <v>106</v>
      </c>
      <c r="M164">
        <v>0.4854368932038835</v>
      </c>
      <c r="P164">
        <v>-0.23346711379203045</v>
      </c>
      <c r="Q164">
        <v>0</v>
      </c>
      <c r="R164">
        <v>0</v>
      </c>
      <c r="S164" t="s">
        <v>195</v>
      </c>
      <c r="T164">
        <f t="shared" si="10"/>
        <v>0</v>
      </c>
      <c r="U164">
        <f t="shared" si="11"/>
        <v>0</v>
      </c>
    </row>
    <row r="165" spans="1:21" hidden="1" x14ac:dyDescent="0.35">
      <c r="A165" s="18">
        <v>1210</v>
      </c>
      <c r="B165" t="s">
        <v>151</v>
      </c>
      <c r="C165" s="1" t="s">
        <v>173</v>
      </c>
      <c r="D165">
        <v>5</v>
      </c>
      <c r="E165">
        <v>125</v>
      </c>
      <c r="F165" t="s">
        <v>131</v>
      </c>
      <c r="G165" t="s">
        <v>44</v>
      </c>
      <c r="H165">
        <v>2.0430727913314475</v>
      </c>
      <c r="I165">
        <v>0.52222524682196347</v>
      </c>
      <c r="J165">
        <v>1.9148825264300542</v>
      </c>
      <c r="K165">
        <v>2.25</v>
      </c>
      <c r="L165">
        <v>125</v>
      </c>
      <c r="M165">
        <v>0.44444444444444442</v>
      </c>
      <c r="P165">
        <v>7.7780802377519054E-2</v>
      </c>
      <c r="Q165">
        <v>8.7350789446566797</v>
      </c>
      <c r="R165">
        <v>10.263777205236009</v>
      </c>
      <c r="S165" t="s">
        <v>192</v>
      </c>
      <c r="T165">
        <f t="shared" si="9"/>
        <v>10.918848680820849</v>
      </c>
      <c r="U165">
        <f t="shared" si="11"/>
        <v>10.918848680820849</v>
      </c>
    </row>
    <row r="166" spans="1:21" hidden="1" x14ac:dyDescent="0.35">
      <c r="A166" s="18">
        <v>1210</v>
      </c>
      <c r="B166" t="s">
        <v>153</v>
      </c>
      <c r="C166" s="1" t="s">
        <v>175</v>
      </c>
      <c r="D166">
        <v>2</v>
      </c>
      <c r="E166">
        <v>-135</v>
      </c>
      <c r="F166" t="s">
        <v>128</v>
      </c>
      <c r="G166" t="s">
        <v>39</v>
      </c>
      <c r="H166">
        <v>1.9281262780861939</v>
      </c>
      <c r="I166">
        <v>0.47775872374984757</v>
      </c>
      <c r="J166">
        <v>2.093106730006244</v>
      </c>
      <c r="K166">
        <v>1.7407407407407407</v>
      </c>
      <c r="L166">
        <v>-135</v>
      </c>
      <c r="M166">
        <v>0.57446808510638303</v>
      </c>
      <c r="P166">
        <v>-9.6709361356535462E-2</v>
      </c>
      <c r="Q166">
        <v>0</v>
      </c>
      <c r="R166">
        <v>0</v>
      </c>
      <c r="S166" t="s">
        <v>195</v>
      </c>
      <c r="T166">
        <f t="shared" si="10"/>
        <v>0</v>
      </c>
      <c r="U166">
        <f t="shared" si="11"/>
        <v>0</v>
      </c>
    </row>
    <row r="167" spans="1:21" hidden="1" x14ac:dyDescent="0.35">
      <c r="A167" s="18">
        <v>1210</v>
      </c>
      <c r="B167" t="s">
        <v>151</v>
      </c>
      <c r="C167" s="1" t="s">
        <v>177</v>
      </c>
      <c r="D167">
        <v>1</v>
      </c>
      <c r="E167">
        <v>180</v>
      </c>
      <c r="F167" t="s">
        <v>131</v>
      </c>
      <c r="G167" t="s">
        <v>45</v>
      </c>
      <c r="H167">
        <v>3.2748745107615802</v>
      </c>
      <c r="I167">
        <v>0.71753426201888526</v>
      </c>
      <c r="J167">
        <v>1.39366167294417</v>
      </c>
      <c r="K167">
        <v>2.8</v>
      </c>
      <c r="L167">
        <v>180</v>
      </c>
      <c r="M167">
        <v>0.35714285714285715</v>
      </c>
      <c r="P167">
        <v>0.36039140487602811</v>
      </c>
      <c r="Q167">
        <v>34.9769439663554</v>
      </c>
      <c r="R167">
        <v>70.272035894409228</v>
      </c>
      <c r="S167" t="s">
        <v>192</v>
      </c>
      <c r="T167">
        <f t="shared" si="9"/>
        <v>-34.9769439663554</v>
      </c>
      <c r="U167">
        <f t="shared" si="11"/>
        <v>0</v>
      </c>
    </row>
    <row r="168" spans="1:21" hidden="1" x14ac:dyDescent="0.35">
      <c r="A168" s="18">
        <v>1210</v>
      </c>
      <c r="B168" t="s">
        <v>153</v>
      </c>
      <c r="C168" s="1" t="s">
        <v>160</v>
      </c>
      <c r="D168">
        <v>5</v>
      </c>
      <c r="E168">
        <v>-200</v>
      </c>
      <c r="F168" t="s">
        <v>128</v>
      </c>
      <c r="G168" t="s">
        <v>68</v>
      </c>
      <c r="H168">
        <v>1.933996096008419</v>
      </c>
      <c r="I168">
        <v>0.28185992870788357</v>
      </c>
      <c r="J168">
        <v>3.5478615374106215</v>
      </c>
      <c r="K168">
        <v>1.5</v>
      </c>
      <c r="L168">
        <v>-200</v>
      </c>
      <c r="M168">
        <v>0.66666666666666663</v>
      </c>
      <c r="P168">
        <v>-0.38480673795878306</v>
      </c>
      <c r="Q168">
        <v>0</v>
      </c>
      <c r="R168">
        <v>0</v>
      </c>
      <c r="S168" t="s">
        <v>195</v>
      </c>
      <c r="T168">
        <f t="shared" si="10"/>
        <v>0</v>
      </c>
      <c r="U168">
        <f t="shared" si="11"/>
        <v>0</v>
      </c>
    </row>
    <row r="169" spans="1:21" hidden="1" x14ac:dyDescent="0.35">
      <c r="A169" s="18">
        <v>1210</v>
      </c>
      <c r="B169" t="s">
        <v>151</v>
      </c>
      <c r="C169" s="1" t="s">
        <v>154</v>
      </c>
      <c r="D169">
        <v>4</v>
      </c>
      <c r="E169">
        <v>-113</v>
      </c>
      <c r="F169" t="s">
        <v>131</v>
      </c>
      <c r="G169" t="s">
        <v>64</v>
      </c>
      <c r="H169">
        <v>3.7603024486165881</v>
      </c>
      <c r="I169">
        <v>0.58046346569968166</v>
      </c>
      <c r="J169">
        <v>1.7227613090078211</v>
      </c>
      <c r="K169">
        <v>1.8849557522123894</v>
      </c>
      <c r="L169">
        <v>-113</v>
      </c>
      <c r="M169">
        <v>0.53051643192488263</v>
      </c>
      <c r="P169">
        <v>4.9947033774799032E-2</v>
      </c>
      <c r="Q169">
        <v>6.6376021141922701</v>
      </c>
      <c r="R169">
        <v>7.2625187369976141</v>
      </c>
      <c r="S169" t="s">
        <v>192</v>
      </c>
      <c r="T169">
        <f t="shared" si="9"/>
        <v>5.8739841718515668</v>
      </c>
      <c r="U169">
        <f t="shared" si="11"/>
        <v>5.8739841718515668</v>
      </c>
    </row>
    <row r="170" spans="1:21" hidden="1" x14ac:dyDescent="0.35">
      <c r="A170" s="18">
        <v>1210</v>
      </c>
      <c r="B170" t="s">
        <v>153</v>
      </c>
      <c r="C170" s="1" t="s">
        <v>157</v>
      </c>
      <c r="D170">
        <v>1</v>
      </c>
      <c r="E170">
        <v>103</v>
      </c>
      <c r="F170" t="s">
        <v>128</v>
      </c>
      <c r="G170" t="s">
        <v>65</v>
      </c>
      <c r="H170">
        <v>3.2025135695438816</v>
      </c>
      <c r="I170">
        <v>0.41725692347080057</v>
      </c>
      <c r="J170">
        <v>2.3966049303193397</v>
      </c>
      <c r="K170">
        <v>2.0300000000000002</v>
      </c>
      <c r="L170">
        <v>103</v>
      </c>
      <c r="M170">
        <v>0.4926108374384236</v>
      </c>
      <c r="P170">
        <v>-7.5353913967623032E-2</v>
      </c>
      <c r="Q170">
        <v>0</v>
      </c>
      <c r="R170">
        <v>0</v>
      </c>
      <c r="S170" t="s">
        <v>195</v>
      </c>
      <c r="T170">
        <f t="shared" si="10"/>
        <v>0</v>
      </c>
      <c r="U170">
        <f t="shared" si="11"/>
        <v>0</v>
      </c>
    </row>
    <row r="171" spans="1:21" hidden="1" x14ac:dyDescent="0.35">
      <c r="A171" s="18">
        <v>1210</v>
      </c>
      <c r="B171" t="s">
        <v>151</v>
      </c>
      <c r="C171" s="1" t="s">
        <v>166</v>
      </c>
      <c r="D171">
        <v>1</v>
      </c>
      <c r="E171">
        <v>114</v>
      </c>
      <c r="F171" t="s">
        <v>131</v>
      </c>
      <c r="G171" t="s">
        <v>57</v>
      </c>
      <c r="H171">
        <v>2.5145644531639144</v>
      </c>
      <c r="I171">
        <v>0.49245755448672757</v>
      </c>
      <c r="J171">
        <v>2.0306318603280791</v>
      </c>
      <c r="K171">
        <v>2.1399999999999997</v>
      </c>
      <c r="L171">
        <v>114</v>
      </c>
      <c r="M171">
        <v>0.46728971962616828</v>
      </c>
      <c r="P171">
        <v>2.5167834860559291E-2</v>
      </c>
      <c r="Q171">
        <v>2.9476552481136831</v>
      </c>
      <c r="R171">
        <v>3.1064135032059088</v>
      </c>
      <c r="S171" t="s">
        <v>193</v>
      </c>
      <c r="T171">
        <f>IF(AND(S171="BET",D171&gt;D172),(Q171*K171)-Q171,-Q171)</f>
        <v>-2.9476552481136831</v>
      </c>
      <c r="U171">
        <f t="shared" si="11"/>
        <v>0</v>
      </c>
    </row>
    <row r="172" spans="1:21" hidden="1" x14ac:dyDescent="0.35">
      <c r="A172" s="18">
        <v>1210</v>
      </c>
      <c r="B172" t="s">
        <v>153</v>
      </c>
      <c r="C172" s="1" t="s">
        <v>183</v>
      </c>
      <c r="D172">
        <v>3</v>
      </c>
      <c r="E172">
        <v>-124</v>
      </c>
      <c r="F172" t="s">
        <v>128</v>
      </c>
      <c r="G172" t="s">
        <v>51</v>
      </c>
      <c r="H172">
        <v>2.5578949067229875</v>
      </c>
      <c r="I172">
        <v>0.50740235813688728</v>
      </c>
      <c r="J172">
        <v>1.9708225315937917</v>
      </c>
      <c r="K172">
        <v>1.8064516129032258</v>
      </c>
      <c r="L172">
        <v>-124</v>
      </c>
      <c r="M172">
        <v>0.5535714285714286</v>
      </c>
      <c r="P172">
        <v>-4.6169070434541326E-2</v>
      </c>
      <c r="Q172">
        <v>0</v>
      </c>
      <c r="R172">
        <v>0</v>
      </c>
      <c r="S172" t="s">
        <v>195</v>
      </c>
      <c r="T172">
        <f>IF(AND(S172="BET",D172&gt;D171),(Q172*K172)-Q172,-Q172)</f>
        <v>0</v>
      </c>
      <c r="U172">
        <f t="shared" si="11"/>
        <v>0</v>
      </c>
    </row>
    <row r="173" spans="1:21" hidden="1" x14ac:dyDescent="0.35">
      <c r="A173" s="38">
        <v>1211</v>
      </c>
      <c r="B173" t="s">
        <v>151</v>
      </c>
      <c r="C173" s="1" t="s">
        <v>171</v>
      </c>
      <c r="D173">
        <v>2</v>
      </c>
      <c r="E173">
        <v>110</v>
      </c>
      <c r="F173" t="s">
        <v>131</v>
      </c>
      <c r="G173" t="s">
        <v>40</v>
      </c>
      <c r="H173">
        <v>3.7489055620310654</v>
      </c>
      <c r="I173">
        <v>0.61812003126567006</v>
      </c>
      <c r="J173">
        <v>1.6178087578756959</v>
      </c>
      <c r="K173">
        <v>2.1</v>
      </c>
      <c r="L173">
        <v>110</v>
      </c>
      <c r="M173">
        <v>0.47619047619047616</v>
      </c>
      <c r="P173">
        <v>0.14192955507519389</v>
      </c>
      <c r="Q173">
        <v>16.451768281162796</v>
      </c>
      <c r="R173">
        <v>21.355251801088606</v>
      </c>
      <c r="S173" t="s">
        <v>192</v>
      </c>
      <c r="T173">
        <f>IF(AND(S173="BET",D173&gt;D174),(Q173*K173)-Q173,-Q173)</f>
        <v>-16.451768281162796</v>
      </c>
      <c r="U173">
        <f t="shared" si="11"/>
        <v>0</v>
      </c>
    </row>
    <row r="174" spans="1:21" hidden="1" x14ac:dyDescent="0.35">
      <c r="A174" s="38">
        <v>1211</v>
      </c>
      <c r="B174" t="s">
        <v>153</v>
      </c>
      <c r="C174" s="1" t="s">
        <v>155</v>
      </c>
      <c r="D174">
        <v>3</v>
      </c>
      <c r="E174">
        <v>-120</v>
      </c>
      <c r="F174" t="s">
        <v>128</v>
      </c>
      <c r="G174" t="s">
        <v>67</v>
      </c>
      <c r="H174">
        <v>2.9453525588477696</v>
      </c>
      <c r="I174">
        <v>0.37989039781047618</v>
      </c>
      <c r="J174">
        <v>2.6323381842856972</v>
      </c>
      <c r="K174">
        <v>1.8333333333333335</v>
      </c>
      <c r="L174">
        <v>-120</v>
      </c>
      <c r="M174">
        <v>0.54545454545454541</v>
      </c>
      <c r="P174">
        <v>-0.16556414764406924</v>
      </c>
      <c r="Q174">
        <v>0</v>
      </c>
      <c r="R174">
        <v>0</v>
      </c>
      <c r="S174" t="s">
        <v>195</v>
      </c>
      <c r="T174">
        <f>IF(AND(S174="BET",D174&gt;D173),(Q174*K174)-Q174,-Q174)</f>
        <v>0</v>
      </c>
      <c r="U174">
        <f t="shared" si="11"/>
        <v>0</v>
      </c>
    </row>
    <row r="175" spans="1:21" hidden="1" x14ac:dyDescent="0.35">
      <c r="A175" s="38">
        <v>1211</v>
      </c>
      <c r="B175" t="s">
        <v>151</v>
      </c>
      <c r="C175" s="1" t="s">
        <v>152</v>
      </c>
      <c r="D175">
        <v>2</v>
      </c>
      <c r="E175">
        <v>135</v>
      </c>
      <c r="F175" t="s">
        <v>131</v>
      </c>
      <c r="G175" t="s">
        <v>58</v>
      </c>
      <c r="H175">
        <v>3.2524990225667976</v>
      </c>
      <c r="I175">
        <v>0.64363904764484303</v>
      </c>
      <c r="J175">
        <v>1.5536658374893924</v>
      </c>
      <c r="K175">
        <v>2.35</v>
      </c>
      <c r="L175">
        <v>135</v>
      </c>
      <c r="M175">
        <v>0.42553191489361702</v>
      </c>
      <c r="P175">
        <v>0.21810713275122601</v>
      </c>
      <c r="Q175">
        <v>23.052450352000868</v>
      </c>
      <c r="R175">
        <v>34.868024397538385</v>
      </c>
      <c r="S175" t="s">
        <v>192</v>
      </c>
      <c r="T175">
        <f>IF(AND(S175="BET",D175&gt;D176),(Q175*K175)-Q175,-Q175)</f>
        <v>-23.052450352000868</v>
      </c>
      <c r="U175">
        <f t="shared" si="11"/>
        <v>0</v>
      </c>
    </row>
    <row r="176" spans="1:21" hidden="1" x14ac:dyDescent="0.35">
      <c r="A176" s="38">
        <v>1211</v>
      </c>
      <c r="B176" t="s">
        <v>153</v>
      </c>
      <c r="C176" s="1" t="s">
        <v>163</v>
      </c>
      <c r="D176">
        <v>3</v>
      </c>
      <c r="E176">
        <v>-150</v>
      </c>
      <c r="F176" t="s">
        <v>128</v>
      </c>
      <c r="G176" t="s">
        <v>53</v>
      </c>
      <c r="H176">
        <v>2.3586172879260059</v>
      </c>
      <c r="I176">
        <v>0.35575670414353255</v>
      </c>
      <c r="J176">
        <v>2.8109097828738117</v>
      </c>
      <c r="K176">
        <v>1.6666666666666665</v>
      </c>
      <c r="L176">
        <v>-150</v>
      </c>
      <c r="M176">
        <v>0.60000000000000009</v>
      </c>
      <c r="P176">
        <v>-0.24424329585646753</v>
      </c>
      <c r="Q176">
        <v>0</v>
      </c>
      <c r="R176">
        <v>0</v>
      </c>
      <c r="S176" t="s">
        <v>195</v>
      </c>
      <c r="T176">
        <f>IF(AND(S176="BET",D176&gt;D175),(Q176*K176)-Q176,-Q176)</f>
        <v>0</v>
      </c>
      <c r="U176">
        <f t="shared" si="11"/>
        <v>0</v>
      </c>
    </row>
    <row r="177" spans="1:21" hidden="1" x14ac:dyDescent="0.35">
      <c r="A177" s="38">
        <v>1211</v>
      </c>
      <c r="B177" t="s">
        <v>151</v>
      </c>
      <c r="C177" s="1" t="s">
        <v>178</v>
      </c>
      <c r="D177">
        <v>1</v>
      </c>
      <c r="E177">
        <v>140</v>
      </c>
      <c r="F177" t="s">
        <v>131</v>
      </c>
      <c r="G177" t="s">
        <v>59</v>
      </c>
      <c r="H177">
        <v>2.9344109150894355</v>
      </c>
      <c r="I177">
        <v>0.45259742001486236</v>
      </c>
      <c r="J177">
        <v>2.2094690684873148</v>
      </c>
      <c r="K177">
        <v>2.4</v>
      </c>
      <c r="L177">
        <v>140</v>
      </c>
      <c r="M177">
        <v>0.41666666666666669</v>
      </c>
      <c r="P177">
        <v>3.5930753348195676E-2</v>
      </c>
      <c r="Q177">
        <v>3.739923011535617</v>
      </c>
      <c r="R177">
        <v>4.062430814580563</v>
      </c>
      <c r="S177" t="s">
        <v>192</v>
      </c>
      <c r="T177">
        <f>IF(AND(S177="BET",D177&gt;D178),(Q177*K177)-Q177,-Q177)</f>
        <v>-3.739923011535617</v>
      </c>
      <c r="U177">
        <f t="shared" si="11"/>
        <v>0</v>
      </c>
    </row>
    <row r="178" spans="1:21" hidden="1" x14ac:dyDescent="0.35">
      <c r="A178" s="38">
        <v>1211</v>
      </c>
      <c r="B178" t="s">
        <v>153</v>
      </c>
      <c r="C178" s="1" t="s">
        <v>174</v>
      </c>
      <c r="D178">
        <v>3</v>
      </c>
      <c r="E178">
        <v>-155</v>
      </c>
      <c r="F178" t="s">
        <v>128</v>
      </c>
      <c r="G178" t="s">
        <v>46</v>
      </c>
      <c r="H178">
        <v>3.2349295395113691</v>
      </c>
      <c r="I178">
        <v>0.54661659212881697</v>
      </c>
      <c r="J178">
        <v>1.8294358685773988</v>
      </c>
      <c r="K178">
        <v>1.6451612903225805</v>
      </c>
      <c r="L178">
        <v>-155</v>
      </c>
      <c r="M178">
        <v>0.60784313725490202</v>
      </c>
      <c r="P178">
        <v>-6.1226545126085052E-2</v>
      </c>
      <c r="Q178">
        <v>0</v>
      </c>
      <c r="R178">
        <v>0</v>
      </c>
      <c r="S178" t="s">
        <v>195</v>
      </c>
      <c r="T178">
        <f>IF(AND(S178="BET",D178&gt;D177),(Q178*K178)-Q178,-Q178)</f>
        <v>0</v>
      </c>
      <c r="U178">
        <f t="shared" si="11"/>
        <v>0</v>
      </c>
    </row>
    <row r="179" spans="1:21" hidden="1" x14ac:dyDescent="0.35">
      <c r="A179" s="35">
        <v>1212</v>
      </c>
      <c r="B179" t="s">
        <v>151</v>
      </c>
      <c r="C179" s="1" t="s">
        <v>180</v>
      </c>
      <c r="D179">
        <v>3</v>
      </c>
      <c r="E179">
        <v>107</v>
      </c>
      <c r="F179" t="s">
        <v>131</v>
      </c>
      <c r="G179" t="s">
        <v>56</v>
      </c>
      <c r="H179">
        <v>2.1684906659822887</v>
      </c>
      <c r="I179">
        <v>0.52408737061919441</v>
      </c>
      <c r="J179">
        <v>1.9080787976602609</v>
      </c>
      <c r="K179">
        <v>2.0700000000000003</v>
      </c>
      <c r="L179">
        <v>107</v>
      </c>
      <c r="M179">
        <v>0.48309178743961345</v>
      </c>
      <c r="P179">
        <v>4.0995583179580963E-2</v>
      </c>
      <c r="Q179">
        <v>4.1981102142871016</v>
      </c>
      <c r="R179">
        <v>4.5543654456148923</v>
      </c>
      <c r="S179" t="s">
        <v>192</v>
      </c>
      <c r="T179">
        <f>IF(AND(S179="BET",D179&gt;D180),(Q179*K179)-Q179,-Q179)</f>
        <v>4.4919779292872004</v>
      </c>
      <c r="U179">
        <f t="shared" si="11"/>
        <v>0</v>
      </c>
    </row>
    <row r="180" spans="1:21" hidden="1" x14ac:dyDescent="0.35">
      <c r="A180" s="35">
        <v>1212</v>
      </c>
      <c r="B180" t="s">
        <v>153</v>
      </c>
      <c r="C180" s="1" t="s">
        <v>161</v>
      </c>
      <c r="D180">
        <v>1</v>
      </c>
      <c r="E180">
        <v>-117</v>
      </c>
      <c r="F180" t="s">
        <v>128</v>
      </c>
      <c r="G180" t="s">
        <v>50</v>
      </c>
      <c r="H180">
        <v>2.0404598712766036</v>
      </c>
      <c r="I180">
        <v>0.47588527310694423</v>
      </c>
      <c r="J180">
        <v>2.1013468088037954</v>
      </c>
      <c r="K180">
        <v>1.8547008547008548</v>
      </c>
      <c r="L180">
        <v>-117</v>
      </c>
      <c r="M180">
        <v>0.53917050691244239</v>
      </c>
      <c r="P180">
        <v>-6.3285233805498164E-2</v>
      </c>
      <c r="Q180">
        <v>0</v>
      </c>
      <c r="R180">
        <v>0</v>
      </c>
      <c r="S180" t="s">
        <v>195</v>
      </c>
      <c r="T180">
        <f>IF(AND(S180="BET",D180&gt;D179),(Q180*K180)-Q180,-Q180)</f>
        <v>0</v>
      </c>
      <c r="U180">
        <f t="shared" si="11"/>
        <v>0</v>
      </c>
    </row>
    <row r="181" spans="1:21" hidden="1" x14ac:dyDescent="0.35">
      <c r="A181" s="35">
        <v>1212</v>
      </c>
      <c r="B181" t="s">
        <v>151</v>
      </c>
      <c r="C181" s="1" t="s">
        <v>171</v>
      </c>
      <c r="D181">
        <v>2</v>
      </c>
      <c r="E181">
        <v>116</v>
      </c>
      <c r="F181" t="s">
        <v>131</v>
      </c>
      <c r="G181" t="s">
        <v>40</v>
      </c>
      <c r="H181">
        <v>4.1221803969124222</v>
      </c>
      <c r="I181">
        <v>0.71449110507472158</v>
      </c>
      <c r="J181">
        <v>1.3995975497769422</v>
      </c>
      <c r="K181">
        <v>2.16</v>
      </c>
      <c r="L181">
        <v>116</v>
      </c>
      <c r="M181">
        <v>0.46296296296296291</v>
      </c>
      <c r="P181">
        <v>0.25152814211175867</v>
      </c>
      <c r="Q181">
        <v>24.792056007966881</v>
      </c>
      <c r="R181">
        <v>38.261599547486362</v>
      </c>
      <c r="S181" t="s">
        <v>192</v>
      </c>
      <c r="T181">
        <f>IF(AND(S181="BET",D181&gt;D182),(Q181*K181)-Q181,-Q181)</f>
        <v>-24.792056007966881</v>
      </c>
      <c r="U181">
        <f t="shared" si="11"/>
        <v>0</v>
      </c>
    </row>
    <row r="182" spans="1:21" hidden="1" x14ac:dyDescent="0.35">
      <c r="A182" s="35">
        <v>1212</v>
      </c>
      <c r="B182" t="s">
        <v>153</v>
      </c>
      <c r="C182" s="1" t="s">
        <v>162</v>
      </c>
      <c r="D182">
        <v>3</v>
      </c>
      <c r="E182">
        <v>-126</v>
      </c>
      <c r="F182" t="s">
        <v>128</v>
      </c>
      <c r="G182" t="s">
        <v>63</v>
      </c>
      <c r="H182">
        <v>2.6055136976202307</v>
      </c>
      <c r="I182">
        <v>0.28187257406382227</v>
      </c>
      <c r="J182">
        <v>3.5477023733908131</v>
      </c>
      <c r="K182">
        <v>1.7936507936507935</v>
      </c>
      <c r="L182">
        <v>-126</v>
      </c>
      <c r="M182">
        <v>0.5575221238938054</v>
      </c>
      <c r="P182">
        <v>-0.27564954982998313</v>
      </c>
      <c r="Q182">
        <v>0</v>
      </c>
      <c r="R182">
        <v>0</v>
      </c>
      <c r="S182" t="s">
        <v>195</v>
      </c>
      <c r="T182">
        <f>IF(AND(S182="BET",D182&gt;D181),(Q182*K182)-Q182,-Q182)</f>
        <v>0</v>
      </c>
      <c r="U182">
        <f t="shared" ref="U182:U245" si="12">IF(AND(R182&gt;5,R182&lt;15),T182,0)</f>
        <v>0</v>
      </c>
    </row>
    <row r="183" spans="1:21" hidden="1" x14ac:dyDescent="0.35">
      <c r="A183" s="35">
        <v>1212</v>
      </c>
      <c r="B183" t="s">
        <v>151</v>
      </c>
      <c r="C183" s="1" t="s">
        <v>179</v>
      </c>
      <c r="D183">
        <v>0</v>
      </c>
      <c r="E183">
        <v>145</v>
      </c>
      <c r="F183" t="s">
        <v>131</v>
      </c>
      <c r="G183" t="s">
        <v>43</v>
      </c>
      <c r="H183">
        <v>2.1798583015794262</v>
      </c>
      <c r="I183">
        <v>0.4249218903329508</v>
      </c>
      <c r="J183">
        <v>2.3533736970256869</v>
      </c>
      <c r="K183">
        <v>2.4500000000000002</v>
      </c>
      <c r="L183">
        <v>145</v>
      </c>
      <c r="M183">
        <v>0.4081632653061224</v>
      </c>
      <c r="P183">
        <v>1.67586250268284E-2</v>
      </c>
      <c r="Q183">
        <v>1.4988793119673538</v>
      </c>
      <c r="R183">
        <v>1.5604212450241959</v>
      </c>
      <c r="S183" t="s">
        <v>193</v>
      </c>
      <c r="T183">
        <f>IF(AND(S183="BET",D183&gt;D184),(Q183*K183)-Q183,-Q183)</f>
        <v>-1.4988793119673538</v>
      </c>
      <c r="U183">
        <f t="shared" si="12"/>
        <v>0</v>
      </c>
    </row>
    <row r="184" spans="1:21" hidden="1" x14ac:dyDescent="0.35">
      <c r="A184" s="35">
        <v>1212</v>
      </c>
      <c r="B184" t="s">
        <v>153</v>
      </c>
      <c r="C184" s="1" t="s">
        <v>168</v>
      </c>
      <c r="D184">
        <v>1</v>
      </c>
      <c r="E184">
        <v>-160</v>
      </c>
      <c r="F184" t="s">
        <v>128</v>
      </c>
      <c r="G184" t="s">
        <v>60</v>
      </c>
      <c r="H184">
        <v>2.6051324863005232</v>
      </c>
      <c r="I184">
        <v>0.57497169040504392</v>
      </c>
      <c r="J184">
        <v>1.739216063482258</v>
      </c>
      <c r="K184">
        <v>1.625</v>
      </c>
      <c r="L184">
        <v>-160</v>
      </c>
      <c r="M184">
        <v>0.61538461538461542</v>
      </c>
      <c r="P184">
        <v>-4.0412924979571496E-2</v>
      </c>
      <c r="Q184">
        <v>0</v>
      </c>
      <c r="R184">
        <v>0</v>
      </c>
      <c r="S184" t="s">
        <v>195</v>
      </c>
      <c r="T184">
        <f>IF(AND(S184="BET",D184&gt;D183),(Q184*K184)-Q184,-Q184)</f>
        <v>0</v>
      </c>
      <c r="U184">
        <f t="shared" si="12"/>
        <v>0</v>
      </c>
    </row>
    <row r="185" spans="1:21" hidden="1" x14ac:dyDescent="0.35">
      <c r="A185" s="35">
        <v>1212</v>
      </c>
      <c r="B185" t="s">
        <v>151</v>
      </c>
      <c r="C185" s="1" t="s">
        <v>170</v>
      </c>
      <c r="D185">
        <v>3</v>
      </c>
      <c r="E185">
        <v>-140</v>
      </c>
      <c r="F185" t="s">
        <v>131</v>
      </c>
      <c r="G185" t="s">
        <v>55</v>
      </c>
      <c r="H185">
        <v>3.088004689060309</v>
      </c>
      <c r="I185">
        <v>0.54297252893715098</v>
      </c>
      <c r="J185">
        <v>1.8417138008021579</v>
      </c>
      <c r="K185">
        <v>1.7142857142857144</v>
      </c>
      <c r="L185">
        <v>-140</v>
      </c>
      <c r="M185">
        <v>0.58333333333333326</v>
      </c>
      <c r="P185">
        <v>-4.0360804396182282E-2</v>
      </c>
      <c r="Q185">
        <v>0</v>
      </c>
      <c r="R185">
        <v>0</v>
      </c>
      <c r="S185" t="s">
        <v>193</v>
      </c>
      <c r="T185">
        <f>IF(AND(S185="BET",D185&gt;D186),(Q185*K185)-Q185,-Q185)</f>
        <v>0</v>
      </c>
      <c r="U185">
        <f t="shared" si="12"/>
        <v>0</v>
      </c>
    </row>
    <row r="186" spans="1:21" hidden="1" x14ac:dyDescent="0.35">
      <c r="A186" s="35">
        <v>1212</v>
      </c>
      <c r="B186" t="s">
        <v>153</v>
      </c>
      <c r="C186" s="1" t="s">
        <v>167</v>
      </c>
      <c r="D186">
        <v>4</v>
      </c>
      <c r="E186">
        <v>130</v>
      </c>
      <c r="F186" t="s">
        <v>128</v>
      </c>
      <c r="G186" t="s">
        <v>41</v>
      </c>
      <c r="H186">
        <v>2.8175901260369076</v>
      </c>
      <c r="I186">
        <v>0.45648350799084703</v>
      </c>
      <c r="J186">
        <v>2.1906596459560399</v>
      </c>
      <c r="K186">
        <v>2.2999999999999998</v>
      </c>
      <c r="L186">
        <v>130</v>
      </c>
      <c r="M186">
        <v>0.43478260869565222</v>
      </c>
      <c r="P186">
        <v>2.1700899295194809E-2</v>
      </c>
      <c r="Q186">
        <v>2.0323215148368128</v>
      </c>
      <c r="R186">
        <v>2.1337588852533553</v>
      </c>
      <c r="S186" t="s">
        <v>195</v>
      </c>
      <c r="T186">
        <f>IF(AND(S186="BET",D186&gt;D185),(Q186*K186)-Q186,-Q186)</f>
        <v>-2.0323215148368128</v>
      </c>
      <c r="U186">
        <f t="shared" si="12"/>
        <v>0</v>
      </c>
    </row>
    <row r="187" spans="1:21" hidden="1" x14ac:dyDescent="0.35">
      <c r="A187" s="35">
        <v>1212</v>
      </c>
      <c r="B187" t="s">
        <v>151</v>
      </c>
      <c r="C187" s="1" t="s">
        <v>165</v>
      </c>
      <c r="D187">
        <v>2</v>
      </c>
      <c r="E187">
        <v>-200</v>
      </c>
      <c r="F187" t="s">
        <v>131</v>
      </c>
      <c r="G187" t="s">
        <v>66</v>
      </c>
      <c r="H187">
        <v>4.2109109765719177</v>
      </c>
      <c r="I187">
        <v>0.93697387382775799</v>
      </c>
      <c r="J187">
        <v>1.0672656174656883</v>
      </c>
      <c r="K187">
        <v>1.5</v>
      </c>
      <c r="L187">
        <v>-200</v>
      </c>
      <c r="M187">
        <v>0.66666666666666663</v>
      </c>
      <c r="P187">
        <v>0.27030720716109136</v>
      </c>
      <c r="Q187">
        <v>42.924878996729966</v>
      </c>
      <c r="R187">
        <v>60.329235235730756</v>
      </c>
      <c r="S187" t="s">
        <v>192</v>
      </c>
      <c r="T187">
        <f>IF(AND(S187="BET",D187&gt;D188),(Q187*K187)-Q187,-Q187)</f>
        <v>-42.924878996729966</v>
      </c>
      <c r="U187">
        <f t="shared" si="12"/>
        <v>0</v>
      </c>
    </row>
    <row r="188" spans="1:21" hidden="1" x14ac:dyDescent="0.35">
      <c r="A188" s="35">
        <v>1212</v>
      </c>
      <c r="B188" t="s">
        <v>153</v>
      </c>
      <c r="C188" s="1" t="s">
        <v>182</v>
      </c>
      <c r="D188">
        <v>5</v>
      </c>
      <c r="E188">
        <v>180</v>
      </c>
      <c r="F188" t="s">
        <v>128</v>
      </c>
      <c r="G188" t="s">
        <v>48</v>
      </c>
      <c r="H188">
        <v>0.82537503490755693</v>
      </c>
      <c r="I188">
        <v>5.8879727779985215E-2</v>
      </c>
      <c r="J188">
        <v>16.983774173289003</v>
      </c>
      <c r="K188">
        <v>2.8</v>
      </c>
      <c r="L188">
        <v>180</v>
      </c>
      <c r="M188">
        <v>0.35714285714285715</v>
      </c>
      <c r="P188">
        <v>-0.29826312936287191</v>
      </c>
      <c r="Q188">
        <v>0</v>
      </c>
      <c r="R188">
        <v>0</v>
      </c>
      <c r="S188" t="s">
        <v>195</v>
      </c>
      <c r="T188">
        <f>IF(AND(S188="BET",D188&gt;D187),(Q188*K188)-Q188,-Q188)</f>
        <v>0</v>
      </c>
      <c r="U188">
        <f t="shared" si="12"/>
        <v>0</v>
      </c>
    </row>
    <row r="189" spans="1:21" hidden="1" x14ac:dyDescent="0.35">
      <c r="A189" s="35">
        <v>1212</v>
      </c>
      <c r="B189" t="s">
        <v>151</v>
      </c>
      <c r="C189" s="1" t="s">
        <v>158</v>
      </c>
      <c r="D189">
        <v>5</v>
      </c>
      <c r="E189">
        <v>106</v>
      </c>
      <c r="F189" t="s">
        <v>131</v>
      </c>
      <c r="G189" t="s">
        <v>49</v>
      </c>
      <c r="H189">
        <v>2.6590260589930499</v>
      </c>
      <c r="I189">
        <v>0.55676465658355268</v>
      </c>
      <c r="J189">
        <v>1.7960910201021925</v>
      </c>
      <c r="K189">
        <v>2.06</v>
      </c>
      <c r="L189">
        <v>106</v>
      </c>
      <c r="M189">
        <v>0.4854368932038835</v>
      </c>
      <c r="P189">
        <v>7.1327763379669173E-2</v>
      </c>
      <c r="Q189">
        <v>7.3375345746819951</v>
      </c>
      <c r="R189">
        <v>8.4156766303440964</v>
      </c>
      <c r="S189" t="s">
        <v>192</v>
      </c>
      <c r="T189">
        <f>IF(AND(S189="BET",D189&gt;D190),(Q189*K189)-Q189,-Q189)</f>
        <v>-7.3375345746819951</v>
      </c>
      <c r="U189">
        <f t="shared" si="12"/>
        <v>-7.3375345746819951</v>
      </c>
    </row>
    <row r="190" spans="1:21" hidden="1" x14ac:dyDescent="0.35">
      <c r="A190" s="35">
        <v>1212</v>
      </c>
      <c r="B190" t="s">
        <v>153</v>
      </c>
      <c r="C190" s="1" t="s">
        <v>169</v>
      </c>
      <c r="D190">
        <v>6</v>
      </c>
      <c r="E190">
        <v>-116</v>
      </c>
      <c r="F190" t="s">
        <v>128</v>
      </c>
      <c r="G190" t="s">
        <v>52</v>
      </c>
      <c r="H190">
        <v>2.3310819430577459</v>
      </c>
      <c r="I190">
        <v>0.4430968427324769</v>
      </c>
      <c r="J190">
        <v>2.2568429822998257</v>
      </c>
      <c r="K190">
        <v>1.8620689655172413</v>
      </c>
      <c r="L190">
        <v>-116</v>
      </c>
      <c r="M190">
        <v>0.53703703703703709</v>
      </c>
      <c r="P190">
        <v>-9.3940194304560187E-2</v>
      </c>
      <c r="Q190">
        <v>0</v>
      </c>
      <c r="R190">
        <v>0</v>
      </c>
      <c r="S190" t="s">
        <v>195</v>
      </c>
      <c r="T190">
        <f>IF(AND(S190="BET",D190&gt;D189),(Q190*K190)-Q190,-Q190)</f>
        <v>0</v>
      </c>
      <c r="U190">
        <f t="shared" si="12"/>
        <v>0</v>
      </c>
    </row>
    <row r="191" spans="1:21" hidden="1" x14ac:dyDescent="0.35">
      <c r="A191" s="35">
        <v>1212</v>
      </c>
      <c r="B191" t="s">
        <v>151</v>
      </c>
      <c r="C191" s="1" t="s">
        <v>160</v>
      </c>
      <c r="D191">
        <v>2</v>
      </c>
      <c r="E191">
        <v>102</v>
      </c>
      <c r="F191" t="s">
        <v>131</v>
      </c>
      <c r="G191" t="s">
        <v>68</v>
      </c>
      <c r="H191">
        <v>2.1167994687706733</v>
      </c>
      <c r="I191">
        <v>0.48897985677038358</v>
      </c>
      <c r="J191">
        <v>2.0450740171687327</v>
      </c>
      <c r="K191">
        <v>2.02</v>
      </c>
      <c r="L191">
        <v>102</v>
      </c>
      <c r="M191">
        <v>0.49504950495049505</v>
      </c>
      <c r="P191">
        <v>-6.0696481801114643E-3</v>
      </c>
      <c r="Q191">
        <v>0</v>
      </c>
      <c r="R191">
        <v>0</v>
      </c>
      <c r="S191" t="s">
        <v>193</v>
      </c>
      <c r="T191">
        <f>IF(AND(S191="BET",D191&gt;D192),(Q191*K191)-Q191,-Q191)</f>
        <v>0</v>
      </c>
      <c r="U191">
        <f t="shared" si="12"/>
        <v>0</v>
      </c>
    </row>
    <row r="192" spans="1:21" hidden="1" x14ac:dyDescent="0.35">
      <c r="A192" s="35">
        <v>1212</v>
      </c>
      <c r="B192" t="s">
        <v>153</v>
      </c>
      <c r="C192" s="1" t="s">
        <v>156</v>
      </c>
      <c r="D192">
        <v>4</v>
      </c>
      <c r="E192">
        <v>-112</v>
      </c>
      <c r="F192" t="s">
        <v>128</v>
      </c>
      <c r="G192" t="s">
        <v>62</v>
      </c>
      <c r="H192">
        <v>2.1757728669265401</v>
      </c>
      <c r="I192">
        <v>0.51098827771410393</v>
      </c>
      <c r="J192">
        <v>1.9569920556171669</v>
      </c>
      <c r="K192">
        <v>1.8928571428571428</v>
      </c>
      <c r="L192">
        <v>-112</v>
      </c>
      <c r="M192">
        <v>0.52830188679245282</v>
      </c>
      <c r="P192">
        <v>-1.7313609078348891E-2</v>
      </c>
      <c r="Q192">
        <v>0</v>
      </c>
      <c r="R192">
        <v>0</v>
      </c>
      <c r="S192" t="s">
        <v>195</v>
      </c>
      <c r="T192">
        <f>IF(AND(S192="BET",D192&gt;D191),(Q192*K192)-Q192,-Q192)</f>
        <v>0</v>
      </c>
      <c r="U192">
        <f t="shared" si="12"/>
        <v>0</v>
      </c>
    </row>
    <row r="193" spans="1:21" hidden="1" x14ac:dyDescent="0.35">
      <c r="A193" s="35">
        <v>1212</v>
      </c>
      <c r="B193" t="s">
        <v>151</v>
      </c>
      <c r="C193" s="1" t="s">
        <v>177</v>
      </c>
      <c r="D193">
        <v>2</v>
      </c>
      <c r="E193">
        <v>135</v>
      </c>
      <c r="F193" t="s">
        <v>131</v>
      </c>
      <c r="G193" t="s">
        <v>45</v>
      </c>
      <c r="H193">
        <v>2.4395730154947275</v>
      </c>
      <c r="I193">
        <v>0.63315614131660347</v>
      </c>
      <c r="J193">
        <v>1.5793892449981937</v>
      </c>
      <c r="K193">
        <v>2.35</v>
      </c>
      <c r="L193">
        <v>135</v>
      </c>
      <c r="M193">
        <v>0.42553191489361702</v>
      </c>
      <c r="P193">
        <v>0.20762422642298645</v>
      </c>
      <c r="Q193">
        <v>19.131204788286059</v>
      </c>
      <c r="R193">
        <v>28.465643535848987</v>
      </c>
      <c r="S193" t="s">
        <v>192</v>
      </c>
      <c r="T193">
        <f>IF(AND(S193="BET",D193&gt;D194),(Q193*K193)-Q193,-Q193)</f>
        <v>-19.131204788286059</v>
      </c>
      <c r="U193">
        <f t="shared" si="12"/>
        <v>0</v>
      </c>
    </row>
    <row r="194" spans="1:21" hidden="1" x14ac:dyDescent="0.35">
      <c r="A194" s="35">
        <v>1212</v>
      </c>
      <c r="B194" t="s">
        <v>153</v>
      </c>
      <c r="C194" s="1" t="s">
        <v>175</v>
      </c>
      <c r="D194">
        <v>5</v>
      </c>
      <c r="E194">
        <v>-150</v>
      </c>
      <c r="F194" t="s">
        <v>128</v>
      </c>
      <c r="G194" t="s">
        <v>39</v>
      </c>
      <c r="H194">
        <v>1.7246915101367828</v>
      </c>
      <c r="I194">
        <v>0.3667920530531974</v>
      </c>
      <c r="J194">
        <v>2.7263404200716579</v>
      </c>
      <c r="K194">
        <v>1.6666666666666665</v>
      </c>
      <c r="L194">
        <v>-150</v>
      </c>
      <c r="M194">
        <v>0.60000000000000009</v>
      </c>
      <c r="P194">
        <v>-0.23320794694680269</v>
      </c>
      <c r="Q194">
        <v>0</v>
      </c>
      <c r="R194">
        <v>0</v>
      </c>
      <c r="S194" t="s">
        <v>195</v>
      </c>
      <c r="T194">
        <f>IF(AND(S194="BET",D194&gt;D193),(Q194*K194)-Q194,-Q194)</f>
        <v>0</v>
      </c>
      <c r="U194">
        <f t="shared" si="12"/>
        <v>0</v>
      </c>
    </row>
    <row r="195" spans="1:21" hidden="1" x14ac:dyDescent="0.35">
      <c r="A195" s="35">
        <v>1212</v>
      </c>
      <c r="B195" t="s">
        <v>151</v>
      </c>
      <c r="C195" s="1" t="s">
        <v>154</v>
      </c>
      <c r="D195">
        <v>2</v>
      </c>
      <c r="E195">
        <v>-128</v>
      </c>
      <c r="F195" t="s">
        <v>131</v>
      </c>
      <c r="G195" t="s">
        <v>64</v>
      </c>
      <c r="H195">
        <v>3.7966547592253281</v>
      </c>
      <c r="I195">
        <v>0.71063423865390307</v>
      </c>
      <c r="J195">
        <v>1.4071936667366591</v>
      </c>
      <c r="K195">
        <v>1.78125</v>
      </c>
      <c r="L195">
        <v>-128</v>
      </c>
      <c r="M195">
        <v>0.56140350877192979</v>
      </c>
      <c r="P195">
        <v>0.14923072988197328</v>
      </c>
      <c r="Q195">
        <v>18.010397978066131</v>
      </c>
      <c r="R195">
        <v>22.797872216713085</v>
      </c>
      <c r="S195" t="s">
        <v>192</v>
      </c>
      <c r="T195">
        <f>IF(AND(S195="BET",D195&gt;D196),(Q195*K195)-Q195,-Q195)</f>
        <v>-18.010397978066131</v>
      </c>
      <c r="U195">
        <f t="shared" si="12"/>
        <v>0</v>
      </c>
    </row>
    <row r="196" spans="1:21" hidden="1" x14ac:dyDescent="0.35">
      <c r="A196" s="35">
        <v>1212</v>
      </c>
      <c r="B196" t="s">
        <v>153</v>
      </c>
      <c r="C196" s="1" t="s">
        <v>173</v>
      </c>
      <c r="D196">
        <v>4</v>
      </c>
      <c r="E196">
        <v>118</v>
      </c>
      <c r="F196" t="s">
        <v>128</v>
      </c>
      <c r="G196" t="s">
        <v>44</v>
      </c>
      <c r="H196">
        <v>2.381651461440994</v>
      </c>
      <c r="I196">
        <v>0.28740964508139177</v>
      </c>
      <c r="J196">
        <v>3.4793543540155349</v>
      </c>
      <c r="K196">
        <v>2.1799999999999997</v>
      </c>
      <c r="L196">
        <v>118</v>
      </c>
      <c r="M196">
        <v>0.45871559633027531</v>
      </c>
      <c r="P196">
        <v>-0.17130595124888354</v>
      </c>
      <c r="Q196">
        <v>0</v>
      </c>
      <c r="R196">
        <v>0</v>
      </c>
      <c r="S196" t="s">
        <v>195</v>
      </c>
      <c r="T196">
        <f>IF(AND(S196="BET",D196&gt;D195),(Q196*K196)-Q196,-Q196)</f>
        <v>0</v>
      </c>
      <c r="U196">
        <f t="shared" si="12"/>
        <v>0</v>
      </c>
    </row>
    <row r="197" spans="1:21" hidden="1" x14ac:dyDescent="0.35">
      <c r="A197" s="35">
        <v>1212</v>
      </c>
      <c r="B197" t="s">
        <v>151</v>
      </c>
      <c r="C197" s="1" t="s">
        <v>164</v>
      </c>
      <c r="D197">
        <v>0</v>
      </c>
      <c r="E197">
        <v>-110</v>
      </c>
      <c r="F197" t="s">
        <v>131</v>
      </c>
      <c r="G197" t="s">
        <v>42</v>
      </c>
      <c r="H197">
        <v>3.048580897524547</v>
      </c>
      <c r="I197">
        <v>0.64285075488137489</v>
      </c>
      <c r="J197">
        <v>1.5555710130332348</v>
      </c>
      <c r="K197">
        <v>1.9090909090909092</v>
      </c>
      <c r="L197">
        <v>-110</v>
      </c>
      <c r="M197">
        <v>0.52380952380952384</v>
      </c>
      <c r="P197">
        <v>0.11904123107185105</v>
      </c>
      <c r="Q197">
        <v>13.232652377762983</v>
      </c>
      <c r="R197">
        <v>16.239911997516622</v>
      </c>
      <c r="S197" t="s">
        <v>192</v>
      </c>
      <c r="T197">
        <f>IF(AND(S197="BET",D197&gt;D198),(Q197*K197)-Q197,-Q197)</f>
        <v>-13.232652377762983</v>
      </c>
      <c r="U197">
        <f t="shared" si="12"/>
        <v>0</v>
      </c>
    </row>
    <row r="198" spans="1:21" hidden="1" x14ac:dyDescent="0.35">
      <c r="A198" s="35">
        <v>1212</v>
      </c>
      <c r="B198" t="s">
        <v>153</v>
      </c>
      <c r="C198" s="1" t="s">
        <v>157</v>
      </c>
      <c r="D198">
        <v>1</v>
      </c>
      <c r="E198">
        <v>100</v>
      </c>
      <c r="F198" t="s">
        <v>128</v>
      </c>
      <c r="G198" t="s">
        <v>65</v>
      </c>
      <c r="H198">
        <v>2.189910680474247</v>
      </c>
      <c r="I198">
        <v>0.35679627232520139</v>
      </c>
      <c r="J198">
        <v>2.8027198644288291</v>
      </c>
      <c r="K198">
        <v>2</v>
      </c>
      <c r="L198">
        <v>100</v>
      </c>
      <c r="M198">
        <v>0.5</v>
      </c>
      <c r="P198">
        <v>-0.14320372767479861</v>
      </c>
      <c r="Q198">
        <v>0</v>
      </c>
      <c r="R198">
        <v>0</v>
      </c>
      <c r="S198" t="s">
        <v>195</v>
      </c>
      <c r="T198">
        <f>IF(AND(S198="BET",D198&gt;D197),(Q198*K198)-Q198,-Q198)</f>
        <v>0</v>
      </c>
      <c r="U198">
        <f t="shared" si="12"/>
        <v>0</v>
      </c>
    </row>
    <row r="199" spans="1:21" hidden="1" x14ac:dyDescent="0.35">
      <c r="A199" s="35">
        <v>1212</v>
      </c>
      <c r="B199" t="s">
        <v>151</v>
      </c>
      <c r="C199" s="1" t="s">
        <v>183</v>
      </c>
      <c r="D199">
        <v>2</v>
      </c>
      <c r="E199">
        <v>130</v>
      </c>
      <c r="F199" t="s">
        <v>131</v>
      </c>
      <c r="G199" t="s">
        <v>51</v>
      </c>
      <c r="H199">
        <v>1.6524843878281306</v>
      </c>
      <c r="I199">
        <v>0.37925956667809746</v>
      </c>
      <c r="J199">
        <v>2.6367166127381192</v>
      </c>
      <c r="K199">
        <v>2.2999999999999998</v>
      </c>
      <c r="L199">
        <v>130</v>
      </c>
      <c r="M199">
        <v>0.43478260869565222</v>
      </c>
      <c r="P199">
        <v>-5.5523042017554758E-2</v>
      </c>
      <c r="Q199">
        <v>0</v>
      </c>
      <c r="R199">
        <v>0</v>
      </c>
      <c r="S199" t="s">
        <v>193</v>
      </c>
      <c r="T199">
        <f>IF(AND(S199="BET",D199&gt;D200),(Q199*K199)-Q199,-Q199)</f>
        <v>0</v>
      </c>
      <c r="U199">
        <f t="shared" si="12"/>
        <v>0</v>
      </c>
    </row>
    <row r="200" spans="1:21" hidden="1" x14ac:dyDescent="0.35">
      <c r="A200" s="35">
        <v>1212</v>
      </c>
      <c r="B200" t="s">
        <v>153</v>
      </c>
      <c r="C200" s="1" t="s">
        <v>176</v>
      </c>
      <c r="D200">
        <v>1</v>
      </c>
      <c r="E200">
        <v>-140</v>
      </c>
      <c r="F200" t="s">
        <v>128</v>
      </c>
      <c r="G200" t="s">
        <v>38</v>
      </c>
      <c r="H200">
        <v>2.2816829727359695</v>
      </c>
      <c r="I200">
        <v>0.62071158550599126</v>
      </c>
      <c r="J200">
        <v>1.6110541890156935</v>
      </c>
      <c r="K200">
        <v>1.7142857142857144</v>
      </c>
      <c r="L200">
        <v>-140</v>
      </c>
      <c r="M200">
        <v>0.58333333333333326</v>
      </c>
      <c r="P200">
        <v>3.7378252172658E-2</v>
      </c>
      <c r="Q200">
        <v>4.7485436099805272</v>
      </c>
      <c r="R200">
        <v>5.0528160565634685</v>
      </c>
      <c r="S200" t="s">
        <v>192</v>
      </c>
      <c r="T200">
        <f>IF(AND(S200="BET",D200&gt;D199),(Q200*K200)-Q200,-Q200)</f>
        <v>-4.7485436099805272</v>
      </c>
      <c r="U200">
        <f t="shared" si="12"/>
        <v>-4.7485436099805272</v>
      </c>
    </row>
    <row r="201" spans="1:21" hidden="1" x14ac:dyDescent="0.35">
      <c r="A201" s="35">
        <v>1212</v>
      </c>
      <c r="B201" t="s">
        <v>151</v>
      </c>
      <c r="C201" s="1" t="s">
        <v>166</v>
      </c>
      <c r="D201">
        <v>6</v>
      </c>
      <c r="E201">
        <v>140</v>
      </c>
      <c r="F201" t="s">
        <v>131</v>
      </c>
      <c r="G201" t="s">
        <v>57</v>
      </c>
      <c r="H201">
        <v>3.5631521528271559</v>
      </c>
      <c r="I201">
        <v>0.58794972855576444</v>
      </c>
      <c r="J201">
        <v>1.7008256853122339</v>
      </c>
      <c r="K201">
        <v>2.4</v>
      </c>
      <c r="L201">
        <v>140</v>
      </c>
      <c r="M201">
        <v>0.41666666666666669</v>
      </c>
      <c r="P201">
        <v>0.17128306188909775</v>
      </c>
      <c r="Q201">
        <v>15.542748633509483</v>
      </c>
      <c r="R201">
        <v>21.932051616197707</v>
      </c>
      <c r="S201" t="s">
        <v>192</v>
      </c>
      <c r="T201">
        <f>IF(AND(S201="BET",D201&gt;D202),(Q201*K201)-Q201,-Q201)</f>
        <v>21.759848086913273</v>
      </c>
      <c r="U201">
        <f t="shared" si="12"/>
        <v>0</v>
      </c>
    </row>
    <row r="202" spans="1:21" hidden="1" x14ac:dyDescent="0.35">
      <c r="A202" s="35">
        <v>1212</v>
      </c>
      <c r="B202" t="s">
        <v>153</v>
      </c>
      <c r="C202" s="1" t="s">
        <v>159</v>
      </c>
      <c r="D202">
        <v>3</v>
      </c>
      <c r="E202">
        <v>-155</v>
      </c>
      <c r="F202" t="s">
        <v>128</v>
      </c>
      <c r="G202" t="s">
        <v>61</v>
      </c>
      <c r="H202">
        <v>2.9760105579242104</v>
      </c>
      <c r="I202">
        <v>0.41060403268167833</v>
      </c>
      <c r="J202">
        <v>2.4354363825141778</v>
      </c>
      <c r="K202">
        <v>1.6451612903225805</v>
      </c>
      <c r="L202">
        <v>-155</v>
      </c>
      <c r="M202">
        <v>0.60784313725490202</v>
      </c>
      <c r="P202">
        <v>-0.19723910457322369</v>
      </c>
      <c r="Q202">
        <v>0</v>
      </c>
      <c r="R202">
        <v>0</v>
      </c>
      <c r="S202" t="s">
        <v>195</v>
      </c>
      <c r="T202">
        <f>IF(AND(S202="BET",D202&gt;D201),(Q202*K202)-Q202,-Q202)</f>
        <v>0</v>
      </c>
      <c r="U202">
        <f t="shared" si="12"/>
        <v>0</v>
      </c>
    </row>
    <row r="203" spans="1:21" hidden="1" x14ac:dyDescent="0.35">
      <c r="A203" s="34">
        <v>1213</v>
      </c>
      <c r="B203" t="s">
        <v>151</v>
      </c>
      <c r="C203" s="1" t="s">
        <v>160</v>
      </c>
      <c r="D203">
        <v>3</v>
      </c>
      <c r="E203">
        <v>145</v>
      </c>
      <c r="F203" t="s">
        <v>131</v>
      </c>
      <c r="G203" t="s">
        <v>68</v>
      </c>
      <c r="H203">
        <v>1.6218997435935996</v>
      </c>
      <c r="I203">
        <v>0.38174731687174501</v>
      </c>
      <c r="J203">
        <v>2.6195338010351183</v>
      </c>
      <c r="K203">
        <v>2.4500000000000002</v>
      </c>
      <c r="L203">
        <v>145</v>
      </c>
      <c r="M203">
        <v>0.4081632653061224</v>
      </c>
      <c r="P203">
        <v>-2.641594843437739E-2</v>
      </c>
      <c r="Q203">
        <v>0</v>
      </c>
      <c r="R203">
        <v>0</v>
      </c>
      <c r="S203" t="s">
        <v>193</v>
      </c>
      <c r="T203">
        <f>IF(AND(S203="BET",D203&gt;D204),(Q203*K203)-Q203,IF(S203="No BET",0,0))</f>
        <v>0</v>
      </c>
      <c r="U203">
        <f t="shared" si="12"/>
        <v>0</v>
      </c>
    </row>
    <row r="204" spans="1:21" hidden="1" x14ac:dyDescent="0.35">
      <c r="A204" s="34">
        <v>1213</v>
      </c>
      <c r="B204" t="s">
        <v>153</v>
      </c>
      <c r="C204" s="1" t="s">
        <v>172</v>
      </c>
      <c r="D204">
        <v>2</v>
      </c>
      <c r="E204">
        <v>-160</v>
      </c>
      <c r="F204" t="s">
        <v>128</v>
      </c>
      <c r="G204" t="s">
        <v>47</v>
      </c>
      <c r="H204">
        <v>2.2319297293614504</v>
      </c>
      <c r="I204">
        <v>0.61822898637913626</v>
      </c>
      <c r="J204">
        <v>1.617523639350579</v>
      </c>
      <c r="K204">
        <v>1.625</v>
      </c>
      <c r="L204">
        <v>-160</v>
      </c>
      <c r="M204">
        <v>0.61538461538461542</v>
      </c>
      <c r="P204">
        <v>2.8443709945208395E-3</v>
      </c>
      <c r="Q204">
        <v>0.24841957096899053</v>
      </c>
      <c r="R204">
        <v>0.24956779177996077</v>
      </c>
      <c r="T204">
        <f>IF(AND(S204="BET",D204&gt;D203),(Q204*K204)-Q204,IF(S204="No BET",0,0))</f>
        <v>0</v>
      </c>
      <c r="U204">
        <f t="shared" si="12"/>
        <v>0</v>
      </c>
    </row>
    <row r="205" spans="1:21" hidden="1" x14ac:dyDescent="0.35">
      <c r="A205" s="34">
        <v>1213</v>
      </c>
      <c r="B205" t="s">
        <v>151</v>
      </c>
      <c r="C205" s="1" t="s">
        <v>181</v>
      </c>
      <c r="D205">
        <v>1</v>
      </c>
      <c r="E205">
        <v>205</v>
      </c>
      <c r="F205" t="s">
        <v>131</v>
      </c>
      <c r="G205" t="s">
        <v>54</v>
      </c>
      <c r="H205">
        <v>2.2595573656771704</v>
      </c>
      <c r="I205">
        <v>0.28370495461516687</v>
      </c>
      <c r="J205">
        <v>3.5247886359843643</v>
      </c>
      <c r="K205">
        <v>3.05</v>
      </c>
      <c r="L205">
        <v>205</v>
      </c>
      <c r="M205">
        <v>0.32786885245901642</v>
      </c>
      <c r="P205">
        <v>-4.4163897843849553E-2</v>
      </c>
      <c r="Q205">
        <v>0</v>
      </c>
      <c r="R205">
        <v>0</v>
      </c>
      <c r="S205" t="s">
        <v>193</v>
      </c>
      <c r="T205">
        <f>IF(AND(S205="BET",D205&gt;D206),(Q205*K205)-Q205,IF(S205="No BET",0,-Q205))</f>
        <v>0</v>
      </c>
      <c r="U205">
        <f t="shared" si="12"/>
        <v>0</v>
      </c>
    </row>
    <row r="206" spans="1:21" hidden="1" x14ac:dyDescent="0.35">
      <c r="A206" s="34">
        <v>1213</v>
      </c>
      <c r="B206" t="s">
        <v>153</v>
      </c>
      <c r="C206" s="1" t="s">
        <v>174</v>
      </c>
      <c r="D206">
        <v>3</v>
      </c>
      <c r="E206">
        <v>-230</v>
      </c>
      <c r="F206" t="s">
        <v>128</v>
      </c>
      <c r="G206" t="s">
        <v>46</v>
      </c>
      <c r="H206">
        <v>3.6738801377009915</v>
      </c>
      <c r="I206">
        <v>0.71478143245400583</v>
      </c>
      <c r="J206">
        <v>1.399029066223467</v>
      </c>
      <c r="K206">
        <v>1.4347826086956521</v>
      </c>
      <c r="L206">
        <v>-230</v>
      </c>
      <c r="M206">
        <v>0.69696969696969702</v>
      </c>
      <c r="P206">
        <v>1.781173548430881E-2</v>
      </c>
      <c r="Q206">
        <v>1.9744511576846977</v>
      </c>
      <c r="R206">
        <v>2.024910168887442</v>
      </c>
      <c r="S206" t="s">
        <v>195</v>
      </c>
      <c r="T206">
        <f>IF(AND(S206="BET",D206&gt;D205),(Q206*K206)-Q206,IF(S206="No BET",0,-Q206))</f>
        <v>0</v>
      </c>
      <c r="U206">
        <f t="shared" si="12"/>
        <v>0</v>
      </c>
    </row>
    <row r="207" spans="1:21" hidden="1" x14ac:dyDescent="0.35">
      <c r="A207" s="39">
        <v>1214</v>
      </c>
      <c r="B207" t="s">
        <v>151</v>
      </c>
      <c r="C207" s="1" t="s">
        <v>167</v>
      </c>
      <c r="D207">
        <v>2</v>
      </c>
      <c r="E207">
        <v>150</v>
      </c>
      <c r="F207" t="s">
        <v>131</v>
      </c>
      <c r="G207" t="s">
        <v>41</v>
      </c>
      <c r="H207">
        <v>2.1389437385700703</v>
      </c>
      <c r="I207">
        <v>0.29121980339208936</v>
      </c>
      <c r="J207">
        <v>3.4338324123295654</v>
      </c>
      <c r="K207">
        <v>2.5</v>
      </c>
      <c r="L207">
        <v>150</v>
      </c>
      <c r="M207">
        <v>0.4</v>
      </c>
      <c r="P207">
        <v>-0.10878019660791066</v>
      </c>
      <c r="Q207">
        <v>0</v>
      </c>
      <c r="R207">
        <v>0</v>
      </c>
      <c r="S207" t="s">
        <v>193</v>
      </c>
      <c r="T207">
        <f>IF(AND(S207="BET",D207&gt;D208),(Q207*K207)-Q207,IF(S207="No BET",0,-Q207))</f>
        <v>0</v>
      </c>
      <c r="U207">
        <f t="shared" si="12"/>
        <v>0</v>
      </c>
    </row>
    <row r="208" spans="1:21" hidden="1" x14ac:dyDescent="0.35">
      <c r="A208" s="39">
        <v>1214</v>
      </c>
      <c r="B208" t="s">
        <v>153</v>
      </c>
      <c r="C208" s="1" t="s">
        <v>180</v>
      </c>
      <c r="D208">
        <v>3</v>
      </c>
      <c r="E208">
        <v>-165</v>
      </c>
      <c r="F208" t="s">
        <v>128</v>
      </c>
      <c r="G208" t="s">
        <v>56</v>
      </c>
      <c r="H208">
        <v>3.4622173093317277</v>
      </c>
      <c r="I208">
        <v>0.70782921721417813</v>
      </c>
      <c r="J208">
        <v>1.4127701650063642</v>
      </c>
      <c r="K208">
        <v>1.606060606060606</v>
      </c>
      <c r="L208">
        <v>-165</v>
      </c>
      <c r="M208">
        <v>0.62264150943396235</v>
      </c>
      <c r="P208">
        <v>8.5187707780215782E-2</v>
      </c>
      <c r="Q208">
        <v>7.5831391365475778</v>
      </c>
      <c r="R208">
        <v>8.6206386142296818</v>
      </c>
      <c r="S208" t="s">
        <v>192</v>
      </c>
      <c r="T208">
        <f>IF(AND(S208="BET",D208&gt;D207),(Q208*K208)-Q208,IF(S208="No BET",0,-Q208))</f>
        <v>4.5958419009379252</v>
      </c>
      <c r="U208">
        <f t="shared" si="12"/>
        <v>4.5958419009379252</v>
      </c>
    </row>
    <row r="209" spans="1:21" hidden="1" x14ac:dyDescent="0.35">
      <c r="A209" s="39">
        <v>1214</v>
      </c>
      <c r="B209" t="s">
        <v>151</v>
      </c>
      <c r="C209" s="1" t="s">
        <v>179</v>
      </c>
      <c r="D209">
        <v>3</v>
      </c>
      <c r="E209">
        <v>-102</v>
      </c>
      <c r="F209" t="s">
        <v>131</v>
      </c>
      <c r="G209" t="s">
        <v>43</v>
      </c>
      <c r="H209">
        <v>1.6181662843194951</v>
      </c>
      <c r="I209">
        <v>0.33530765720591948</v>
      </c>
      <c r="J209">
        <v>2.9823357102336585</v>
      </c>
      <c r="K209">
        <v>1.9803921568627452</v>
      </c>
      <c r="L209">
        <v>-102</v>
      </c>
      <c r="M209">
        <v>0.50495049504950495</v>
      </c>
      <c r="P209">
        <v>-0.16964283784358547</v>
      </c>
      <c r="Q209">
        <v>0</v>
      </c>
      <c r="R209">
        <v>0</v>
      </c>
      <c r="S209" t="s">
        <v>193</v>
      </c>
      <c r="T209">
        <f>IF(AND(S209="BET",D209&gt;D210),(Q209*K209)-Q209,IF(S209="No BET",0,-Q209))</f>
        <v>0</v>
      </c>
      <c r="U209">
        <f t="shared" si="12"/>
        <v>0</v>
      </c>
    </row>
    <row r="210" spans="1:21" hidden="1" x14ac:dyDescent="0.35">
      <c r="A210" s="39">
        <v>1214</v>
      </c>
      <c r="B210" t="s">
        <v>153</v>
      </c>
      <c r="C210" s="1" t="s">
        <v>152</v>
      </c>
      <c r="D210">
        <v>4</v>
      </c>
      <c r="E210">
        <v>-108</v>
      </c>
      <c r="F210" t="s">
        <v>128</v>
      </c>
      <c r="G210" t="s">
        <v>58</v>
      </c>
      <c r="H210">
        <v>2.5057157462340505</v>
      </c>
      <c r="I210">
        <v>0.66462833081788864</v>
      </c>
      <c r="J210">
        <v>1.5046003211590522</v>
      </c>
      <c r="K210">
        <v>1.925925925925926</v>
      </c>
      <c r="L210">
        <v>-108</v>
      </c>
      <c r="M210">
        <v>0.51923076923076916</v>
      </c>
      <c r="P210">
        <v>0.14539756158711947</v>
      </c>
      <c r="Q210">
        <v>10.158899788807252</v>
      </c>
      <c r="R210">
        <v>13.003645025860024</v>
      </c>
      <c r="S210" t="s">
        <v>192</v>
      </c>
      <c r="T210">
        <f>IF(AND(S210="BET",D210&gt;D209),(Q210*K210)-Q210,IF(S210="No BET",0,-Q210))</f>
        <v>9.40638869334005</v>
      </c>
      <c r="U210">
        <f t="shared" si="12"/>
        <v>9.40638869334005</v>
      </c>
    </row>
    <row r="211" spans="1:21" hidden="1" x14ac:dyDescent="0.35">
      <c r="A211" s="39">
        <v>1214</v>
      </c>
      <c r="B211" t="s">
        <v>151</v>
      </c>
      <c r="C211" s="1" t="s">
        <v>164</v>
      </c>
      <c r="D211">
        <v>4</v>
      </c>
      <c r="E211">
        <v>-110</v>
      </c>
      <c r="F211" t="s">
        <v>131</v>
      </c>
      <c r="G211" t="s">
        <v>42</v>
      </c>
      <c r="H211">
        <v>2.6326463954557089</v>
      </c>
      <c r="I211">
        <v>0.63334168857106921</v>
      </c>
      <c r="J211">
        <v>1.5789265384632689</v>
      </c>
      <c r="K211">
        <v>1.9090909090909092</v>
      </c>
      <c r="L211">
        <v>-110</v>
      </c>
      <c r="M211">
        <v>0.52380952380952384</v>
      </c>
      <c r="P211">
        <v>0.10953216476154537</v>
      </c>
      <c r="Q211">
        <v>7.7265778353298682</v>
      </c>
      <c r="R211">
        <v>9.3422582650159942</v>
      </c>
      <c r="S211" t="s">
        <v>192</v>
      </c>
      <c r="T211">
        <f>IF(AND(S211="BET",D211&gt;D212),(Q211*K211)-Q211,IF(S211="No BET",0,-Q211))</f>
        <v>7.0241616684816996</v>
      </c>
      <c r="U211">
        <f t="shared" si="12"/>
        <v>7.0241616684816996</v>
      </c>
    </row>
    <row r="212" spans="1:21" hidden="1" x14ac:dyDescent="0.35">
      <c r="A212" s="39">
        <v>1214</v>
      </c>
      <c r="B212" t="s">
        <v>153</v>
      </c>
      <c r="C212" s="1" t="s">
        <v>173</v>
      </c>
      <c r="D212">
        <v>0</v>
      </c>
      <c r="E212">
        <v>100</v>
      </c>
      <c r="F212" t="s">
        <v>128</v>
      </c>
      <c r="G212" t="s">
        <v>44</v>
      </c>
      <c r="H212">
        <v>1.8882883223854829</v>
      </c>
      <c r="I212">
        <v>0.36655683147519424</v>
      </c>
      <c r="J212">
        <v>2.7280899280352719</v>
      </c>
      <c r="K212">
        <v>2</v>
      </c>
      <c r="L212">
        <v>100</v>
      </c>
      <c r="M212">
        <v>0.5</v>
      </c>
      <c r="P212">
        <v>-0.13344316852480576</v>
      </c>
      <c r="Q212">
        <v>0</v>
      </c>
      <c r="R212">
        <v>0</v>
      </c>
      <c r="S212" t="s">
        <v>195</v>
      </c>
      <c r="T212">
        <f>IF(AND(S212="BET",D212&gt;D211),(Q212*K212)-Q212,IF(S212="No BET",0,-Q212))</f>
        <v>0</v>
      </c>
      <c r="U212">
        <f t="shared" si="12"/>
        <v>0</v>
      </c>
    </row>
    <row r="213" spans="1:21" hidden="1" x14ac:dyDescent="0.35">
      <c r="A213" s="39">
        <v>1214</v>
      </c>
      <c r="B213" t="s">
        <v>151</v>
      </c>
      <c r="C213" s="1" t="s">
        <v>166</v>
      </c>
      <c r="D213">
        <v>3</v>
      </c>
      <c r="E213">
        <v>125</v>
      </c>
      <c r="F213" t="s">
        <v>131</v>
      </c>
      <c r="G213" t="s">
        <v>57</v>
      </c>
      <c r="H213">
        <v>3.5459801255179091</v>
      </c>
      <c r="I213">
        <v>0.76169017755821011</v>
      </c>
      <c r="J213">
        <v>1.312869759205445</v>
      </c>
      <c r="K213">
        <v>2.25</v>
      </c>
      <c r="L213">
        <v>125</v>
      </c>
      <c r="M213">
        <v>0.44444444444444442</v>
      </c>
      <c r="P213">
        <v>0.31724573311376569</v>
      </c>
      <c r="Q213">
        <v>19.182027660220793</v>
      </c>
      <c r="R213">
        <v>32.874214622490165</v>
      </c>
      <c r="S213" t="s">
        <v>192</v>
      </c>
      <c r="T213">
        <f>IF(AND(S213="BET",D213&gt;D214),(Q213*K213)-Q213,IF(S213="No BET",0,-Q213))</f>
        <v>-19.182027660220793</v>
      </c>
      <c r="U213">
        <f t="shared" si="12"/>
        <v>0</v>
      </c>
    </row>
    <row r="214" spans="1:21" hidden="1" x14ac:dyDescent="0.35">
      <c r="A214" s="39">
        <v>1214</v>
      </c>
      <c r="B214" t="s">
        <v>153</v>
      </c>
      <c r="C214" s="1" t="s">
        <v>176</v>
      </c>
      <c r="D214">
        <v>4</v>
      </c>
      <c r="E214">
        <v>-135</v>
      </c>
      <c r="F214" t="s">
        <v>128</v>
      </c>
      <c r="G214" t="s">
        <v>38</v>
      </c>
      <c r="H214">
        <v>1.8611131661542215</v>
      </c>
      <c r="I214">
        <v>0.23717600996562616</v>
      </c>
      <c r="J214">
        <v>4.2162780297422566</v>
      </c>
      <c r="K214">
        <v>1.7407407407407407</v>
      </c>
      <c r="L214">
        <v>-135</v>
      </c>
      <c r="M214">
        <v>0.57446808510638303</v>
      </c>
      <c r="P214">
        <v>-0.33729207514075688</v>
      </c>
      <c r="Q214">
        <v>0</v>
      </c>
      <c r="R214">
        <v>0</v>
      </c>
      <c r="S214" t="s">
        <v>195</v>
      </c>
      <c r="T214">
        <f>IF(AND(S214="BET",D214&gt;D213),(Q214*K214)-Q214,IF(S214="No BET",0,-Q214))</f>
        <v>0</v>
      </c>
      <c r="U214">
        <f t="shared" si="12"/>
        <v>0</v>
      </c>
    </row>
    <row r="215" spans="1:21" hidden="1" x14ac:dyDescent="0.35">
      <c r="A215" s="39">
        <v>1214</v>
      </c>
      <c r="B215" t="s">
        <v>151</v>
      </c>
      <c r="C215" s="1" t="s">
        <v>172</v>
      </c>
      <c r="D215">
        <v>4</v>
      </c>
      <c r="E215">
        <v>135</v>
      </c>
      <c r="F215" t="s">
        <v>131</v>
      </c>
      <c r="G215" t="s">
        <v>47</v>
      </c>
      <c r="H215">
        <v>3.2895582445028668</v>
      </c>
      <c r="I215">
        <v>0.72685124332465689</v>
      </c>
      <c r="J215">
        <v>1.3757973301743915</v>
      </c>
      <c r="K215">
        <v>2.35</v>
      </c>
      <c r="L215">
        <v>135</v>
      </c>
      <c r="M215">
        <v>0.42553191489361702</v>
      </c>
      <c r="P215">
        <v>0.30131932843103987</v>
      </c>
      <c r="Q215">
        <v>17.619245331914556</v>
      </c>
      <c r="R215">
        <v>30.09544038346899</v>
      </c>
      <c r="S215" t="s">
        <v>192</v>
      </c>
      <c r="T215">
        <f>IF(AND(S215="BET",D215&gt;D216),(Q215*K215)-Q215,IF(S215="No BET",0,-Q215))</f>
        <v>23.785981198084649</v>
      </c>
      <c r="U215">
        <f t="shared" si="12"/>
        <v>0</v>
      </c>
    </row>
    <row r="216" spans="1:21" hidden="1" x14ac:dyDescent="0.35">
      <c r="A216" s="39">
        <v>1214</v>
      </c>
      <c r="B216" t="s">
        <v>153</v>
      </c>
      <c r="C216" s="1" t="s">
        <v>170</v>
      </c>
      <c r="D216">
        <v>1</v>
      </c>
      <c r="E216">
        <v>-150</v>
      </c>
      <c r="F216" t="s">
        <v>128</v>
      </c>
      <c r="G216" t="s">
        <v>55</v>
      </c>
      <c r="H216">
        <v>1.8889598836537538</v>
      </c>
      <c r="I216">
        <v>0.27252209828336965</v>
      </c>
      <c r="J216">
        <v>3.6694271998456274</v>
      </c>
      <c r="K216">
        <v>1.6666666666666665</v>
      </c>
      <c r="L216">
        <v>-150</v>
      </c>
      <c r="M216">
        <v>0.60000000000000009</v>
      </c>
      <c r="P216">
        <v>-0.32747790171663044</v>
      </c>
      <c r="Q216">
        <v>0</v>
      </c>
      <c r="R216">
        <v>0</v>
      </c>
      <c r="S216" t="s">
        <v>195</v>
      </c>
      <c r="T216">
        <f>IF(AND(S216="BET",D216&gt;D215),(Q216*K216)-Q216,IF(S216="No BET",0,-Q216))</f>
        <v>0</v>
      </c>
      <c r="U216">
        <f t="shared" si="12"/>
        <v>0</v>
      </c>
    </row>
    <row r="217" spans="1:21" hidden="1" x14ac:dyDescent="0.35">
      <c r="A217" s="39">
        <v>1214</v>
      </c>
      <c r="B217" t="s">
        <v>151</v>
      </c>
      <c r="C217" s="1" t="s">
        <v>183</v>
      </c>
      <c r="D217">
        <v>4</v>
      </c>
      <c r="E217">
        <v>180</v>
      </c>
      <c r="F217" t="s">
        <v>131</v>
      </c>
      <c r="G217" t="s">
        <v>51</v>
      </c>
      <c r="H217">
        <v>1.1807980604202259</v>
      </c>
      <c r="I217">
        <v>0.23426506183312451</v>
      </c>
      <c r="J217">
        <v>4.2686689691369182</v>
      </c>
      <c r="K217">
        <v>2.8</v>
      </c>
      <c r="L217">
        <v>180</v>
      </c>
      <c r="M217">
        <v>0.35714285714285715</v>
      </c>
      <c r="P217">
        <v>-0.12287779530973264</v>
      </c>
      <c r="Q217">
        <v>0</v>
      </c>
      <c r="R217">
        <v>0</v>
      </c>
      <c r="S217" t="s">
        <v>193</v>
      </c>
      <c r="T217">
        <f>IF(AND(S217="BET",D217&gt;D218),(Q217*K217)-Q217,IF(S217="No BET",0,-Q217))</f>
        <v>0</v>
      </c>
      <c r="U217">
        <f t="shared" si="12"/>
        <v>0</v>
      </c>
    </row>
    <row r="218" spans="1:21" hidden="1" x14ac:dyDescent="0.35">
      <c r="A218" s="39">
        <v>1214</v>
      </c>
      <c r="B218" t="s">
        <v>153</v>
      </c>
      <c r="C218" s="1" t="s">
        <v>168</v>
      </c>
      <c r="D218">
        <v>5</v>
      </c>
      <c r="E218">
        <v>-200</v>
      </c>
      <c r="F218" t="s">
        <v>128</v>
      </c>
      <c r="G218" t="s">
        <v>60</v>
      </c>
      <c r="H218">
        <v>2.6211825302569389</v>
      </c>
      <c r="I218">
        <v>0.76564186300845849</v>
      </c>
      <c r="J218">
        <v>1.30609368206523</v>
      </c>
      <c r="K218">
        <v>1.5</v>
      </c>
      <c r="L218">
        <v>-200</v>
      </c>
      <c r="M218">
        <v>0.66666666666666663</v>
      </c>
      <c r="P218">
        <v>9.897519634179186E-2</v>
      </c>
      <c r="Q218">
        <v>9.9741029100156506</v>
      </c>
      <c r="R218">
        <v>11.454886100793704</v>
      </c>
      <c r="S218" t="s">
        <v>192</v>
      </c>
      <c r="T218">
        <f>IF(AND(S218="BET",D218&gt;D217),(Q218*K218)-Q218,IF(S218="No BET",0,-Q218))</f>
        <v>4.9870514550078244</v>
      </c>
      <c r="U218">
        <f t="shared" si="12"/>
        <v>4.9870514550078244</v>
      </c>
    </row>
    <row r="219" spans="1:21" hidden="1" x14ac:dyDescent="0.35">
      <c r="A219" s="39">
        <v>1214</v>
      </c>
      <c r="B219" t="s">
        <v>151</v>
      </c>
      <c r="C219" s="1" t="s">
        <v>178</v>
      </c>
      <c r="D219">
        <v>1</v>
      </c>
      <c r="E219">
        <v>108</v>
      </c>
      <c r="F219" t="s">
        <v>131</v>
      </c>
      <c r="G219" t="s">
        <v>59</v>
      </c>
      <c r="H219">
        <v>2.0702395861586171</v>
      </c>
      <c r="I219">
        <v>0.33935917451308467</v>
      </c>
      <c r="J219">
        <v>2.9467304116201021</v>
      </c>
      <c r="K219">
        <v>2.08</v>
      </c>
      <c r="L219">
        <v>108</v>
      </c>
      <c r="M219">
        <v>0.48076923076923073</v>
      </c>
      <c r="P219">
        <v>-0.14141005625614606</v>
      </c>
      <c r="Q219">
        <v>0</v>
      </c>
      <c r="R219">
        <v>0</v>
      </c>
      <c r="S219" t="s">
        <v>193</v>
      </c>
      <c r="T219">
        <f>IF(AND(S219="BET",D219&gt;D220),(Q219*K219)-Q219,IF(S219="No BET",0,-Q219))</f>
        <v>0</v>
      </c>
      <c r="U219">
        <f t="shared" si="12"/>
        <v>0</v>
      </c>
    </row>
    <row r="220" spans="1:21" hidden="1" x14ac:dyDescent="0.35">
      <c r="A220" s="39">
        <v>1214</v>
      </c>
      <c r="B220" t="s">
        <v>153</v>
      </c>
      <c r="C220" s="1" t="s">
        <v>169</v>
      </c>
      <c r="D220">
        <v>4</v>
      </c>
      <c r="E220">
        <v>-118</v>
      </c>
      <c r="F220" t="s">
        <v>128</v>
      </c>
      <c r="G220" t="s">
        <v>52</v>
      </c>
      <c r="H220">
        <v>3.0258749179262252</v>
      </c>
      <c r="I220">
        <v>0.66031548777105908</v>
      </c>
      <c r="J220">
        <v>1.5144276009268989</v>
      </c>
      <c r="K220">
        <v>1.847457627118644</v>
      </c>
      <c r="L220">
        <v>-118</v>
      </c>
      <c r="M220">
        <v>0.54128440366972475</v>
      </c>
      <c r="P220">
        <v>0.11903108410133434</v>
      </c>
      <c r="Q220">
        <v>8.7165193944629173</v>
      </c>
      <c r="R220">
        <v>10.633324582417861</v>
      </c>
      <c r="S220" t="s">
        <v>192</v>
      </c>
      <c r="T220">
        <f>IF(AND(S220="BET",D220&gt;D219),(Q220*K220)-Q220,IF(S220="No BET",0,-Q220))</f>
        <v>7.3868808427651835</v>
      </c>
      <c r="U220">
        <f t="shared" si="12"/>
        <v>7.3868808427651835</v>
      </c>
    </row>
    <row r="221" spans="1:21" hidden="1" x14ac:dyDescent="0.35">
      <c r="A221" s="39">
        <v>1214</v>
      </c>
      <c r="B221" t="s">
        <v>151</v>
      </c>
      <c r="C221" s="1" t="s">
        <v>154</v>
      </c>
      <c r="D221">
        <v>4</v>
      </c>
      <c r="E221">
        <v>-135</v>
      </c>
      <c r="F221" t="s">
        <v>131</v>
      </c>
      <c r="G221" t="s">
        <v>64</v>
      </c>
      <c r="H221">
        <v>3.6424896820172199</v>
      </c>
      <c r="I221">
        <v>0.78261838649724191</v>
      </c>
      <c r="J221">
        <v>1.2777619555754256</v>
      </c>
      <c r="K221">
        <v>1.7407407407407407</v>
      </c>
      <c r="L221">
        <v>-135</v>
      </c>
      <c r="M221">
        <v>0.57446808510638303</v>
      </c>
      <c r="P221">
        <v>0.20815030139085888</v>
      </c>
      <c r="Q221">
        <v>16.431269713226268</v>
      </c>
      <c r="R221">
        <v>22.384905488152171</v>
      </c>
      <c r="S221" t="s">
        <v>192</v>
      </c>
      <c r="T221">
        <f>IF(AND(S221="BET",D221&gt;D222),(Q221*K221)-Q221,IF(S221="No BET",0,-Q221))</f>
        <v>12.171310898686123</v>
      </c>
      <c r="U221">
        <f t="shared" si="12"/>
        <v>0</v>
      </c>
    </row>
    <row r="222" spans="1:21" hidden="1" x14ac:dyDescent="0.35">
      <c r="A222" s="39">
        <v>1214</v>
      </c>
      <c r="B222" t="s">
        <v>153</v>
      </c>
      <c r="C222" s="1" t="s">
        <v>158</v>
      </c>
      <c r="D222">
        <v>1</v>
      </c>
      <c r="E222">
        <v>125</v>
      </c>
      <c r="F222" t="s">
        <v>128</v>
      </c>
      <c r="G222" t="s">
        <v>49</v>
      </c>
      <c r="H222">
        <v>1.7917697459306801</v>
      </c>
      <c r="I222">
        <v>0.21598585475802939</v>
      </c>
      <c r="J222">
        <v>4.629932831112054</v>
      </c>
      <c r="K222">
        <v>2.25</v>
      </c>
      <c r="L222">
        <v>125</v>
      </c>
      <c r="M222">
        <v>0.44444444444444442</v>
      </c>
      <c r="P222">
        <v>-0.22845858968641503</v>
      </c>
      <c r="Q222">
        <v>0</v>
      </c>
      <c r="R222">
        <v>0</v>
      </c>
      <c r="S222" t="s">
        <v>195</v>
      </c>
      <c r="T222">
        <f>IF(AND(S222="BET",D222&gt;D221),(Q222*K222)-Q222,IF(S222="No BET",0,-Q222))</f>
        <v>0</v>
      </c>
      <c r="U222">
        <f t="shared" si="12"/>
        <v>0</v>
      </c>
    </row>
    <row r="223" spans="1:21" hidden="1" x14ac:dyDescent="0.35">
      <c r="A223" s="39">
        <v>1214</v>
      </c>
      <c r="B223" t="s">
        <v>151</v>
      </c>
      <c r="C223" s="1" t="s">
        <v>171</v>
      </c>
      <c r="D223">
        <v>4</v>
      </c>
      <c r="E223">
        <v>-115</v>
      </c>
      <c r="F223" t="s">
        <v>131</v>
      </c>
      <c r="G223" t="s">
        <v>40</v>
      </c>
      <c r="H223">
        <v>3.5007774697236687</v>
      </c>
      <c r="I223">
        <v>0.69383438943063325</v>
      </c>
      <c r="J223">
        <v>1.4412661223388035</v>
      </c>
      <c r="K223">
        <v>1.8695652173913042</v>
      </c>
      <c r="L223">
        <v>-115</v>
      </c>
      <c r="M223">
        <v>0.53488372093023262</v>
      </c>
      <c r="P223">
        <v>0.15895066850040063</v>
      </c>
      <c r="Q223">
        <v>11.479607434481085</v>
      </c>
      <c r="R223">
        <v>14.890986776255708</v>
      </c>
      <c r="S223" t="s">
        <v>192</v>
      </c>
      <c r="T223">
        <f>IF(AND(S223="BET",D223&gt;D224),(Q223*K223)-Q223,IF(S223="No BET",0,-Q223))</f>
        <v>9.9822673343313788</v>
      </c>
      <c r="U223">
        <f t="shared" si="12"/>
        <v>9.9822673343313788</v>
      </c>
    </row>
    <row r="224" spans="1:21" hidden="1" x14ac:dyDescent="0.35">
      <c r="A224" s="39">
        <v>1214</v>
      </c>
      <c r="B224" t="s">
        <v>153</v>
      </c>
      <c r="C224" s="1" t="s">
        <v>161</v>
      </c>
      <c r="D224">
        <v>2</v>
      </c>
      <c r="E224">
        <v>105</v>
      </c>
      <c r="F224" t="s">
        <v>128</v>
      </c>
      <c r="G224" t="s">
        <v>50</v>
      </c>
      <c r="H224">
        <v>2.2565716634938298</v>
      </c>
      <c r="I224">
        <v>0.30511959174627523</v>
      </c>
      <c r="J224">
        <v>3.2774034413088704</v>
      </c>
      <c r="K224">
        <v>2.0499999999999998</v>
      </c>
      <c r="L224">
        <v>105</v>
      </c>
      <c r="M224">
        <v>0.48780487804878053</v>
      </c>
      <c r="P224">
        <v>-0.1826852863025053</v>
      </c>
      <c r="Q224">
        <v>0</v>
      </c>
      <c r="R224">
        <v>0</v>
      </c>
      <c r="S224" t="s">
        <v>195</v>
      </c>
      <c r="T224">
        <f>IF(AND(S224="BET",D224&gt;D223),(Q224*K224)-Q224,IF(S224="No BET",0,-Q224))</f>
        <v>0</v>
      </c>
      <c r="U224">
        <f t="shared" si="12"/>
        <v>0</v>
      </c>
    </row>
    <row r="225" spans="1:21" hidden="1" x14ac:dyDescent="0.35">
      <c r="A225" s="39">
        <v>1214</v>
      </c>
      <c r="B225" t="s">
        <v>151</v>
      </c>
      <c r="C225" s="1" t="s">
        <v>155</v>
      </c>
      <c r="D225">
        <v>5</v>
      </c>
      <c r="E225">
        <v>132</v>
      </c>
      <c r="F225" t="s">
        <v>131</v>
      </c>
      <c r="G225" t="s">
        <v>67</v>
      </c>
      <c r="H225">
        <v>3.4693996731199297</v>
      </c>
      <c r="I225">
        <v>0.7183650252967283</v>
      </c>
      <c r="J225">
        <v>1.392049953416008</v>
      </c>
      <c r="K225">
        <v>2.3200000000000003</v>
      </c>
      <c r="L225">
        <v>132</v>
      </c>
      <c r="M225">
        <v>0.43103448275862066</v>
      </c>
      <c r="P225">
        <v>0.28733054253810764</v>
      </c>
      <c r="Q225">
        <v>16.963757860315166</v>
      </c>
      <c r="R225">
        <v>28.271915199130682</v>
      </c>
      <c r="S225" t="s">
        <v>192</v>
      </c>
      <c r="T225">
        <f>IF(AND(S225="BET",D225&gt;D226),(Q225*K225)-Q225,IF(S225="No BET",0,-Q225))</f>
        <v>22.392160375616026</v>
      </c>
      <c r="U225">
        <f t="shared" si="12"/>
        <v>0</v>
      </c>
    </row>
    <row r="226" spans="1:21" hidden="1" x14ac:dyDescent="0.35">
      <c r="A226" s="39">
        <v>1214</v>
      </c>
      <c r="B226" t="s">
        <v>153</v>
      </c>
      <c r="C226" s="1" t="s">
        <v>162</v>
      </c>
      <c r="D226">
        <v>2</v>
      </c>
      <c r="E226">
        <v>-145</v>
      </c>
      <c r="F226" t="s">
        <v>128</v>
      </c>
      <c r="G226" t="s">
        <v>63</v>
      </c>
      <c r="H226">
        <v>2.078887793657715</v>
      </c>
      <c r="I226">
        <v>0.28067202802335234</v>
      </c>
      <c r="J226">
        <v>3.5628773093013688</v>
      </c>
      <c r="K226">
        <v>1.6896551724137931</v>
      </c>
      <c r="L226">
        <v>-145</v>
      </c>
      <c r="M226">
        <v>0.59183673469387754</v>
      </c>
      <c r="P226">
        <v>-0.3111647066705252</v>
      </c>
      <c r="Q226">
        <v>0</v>
      </c>
      <c r="R226">
        <v>0</v>
      </c>
      <c r="S226" t="s">
        <v>195</v>
      </c>
      <c r="T226">
        <f>IF(AND(S226="BET",D226&gt;D225),(Q226*K226)-Q226,IF(S226="No BET",0,-Q226))</f>
        <v>0</v>
      </c>
      <c r="U226">
        <f t="shared" si="12"/>
        <v>0</v>
      </c>
    </row>
    <row r="227" spans="1:21" hidden="1" x14ac:dyDescent="0.35">
      <c r="A227" s="39">
        <v>1214</v>
      </c>
      <c r="B227" t="s">
        <v>151</v>
      </c>
      <c r="C227" s="1" t="s">
        <v>182</v>
      </c>
      <c r="D227">
        <v>2</v>
      </c>
      <c r="E227">
        <v>200</v>
      </c>
      <c r="F227" t="s">
        <v>131</v>
      </c>
      <c r="G227" t="s">
        <v>48</v>
      </c>
      <c r="H227">
        <v>2.516212634628209</v>
      </c>
      <c r="I227">
        <v>0.37541430303925538</v>
      </c>
      <c r="J227">
        <v>2.6637237630646013</v>
      </c>
      <c r="K227">
        <v>3</v>
      </c>
      <c r="L227">
        <v>200</v>
      </c>
      <c r="M227">
        <v>0.33333333333333331</v>
      </c>
      <c r="P227">
        <v>4.2080969705922067E-2</v>
      </c>
      <c r="Q227">
        <v>2.1203288193068865</v>
      </c>
      <c r="R227">
        <v>2.3880052977424264</v>
      </c>
      <c r="S227" t="s">
        <v>193</v>
      </c>
      <c r="T227">
        <v>0</v>
      </c>
      <c r="U227">
        <f t="shared" si="12"/>
        <v>0</v>
      </c>
    </row>
    <row r="228" spans="1:21" hidden="1" x14ac:dyDescent="0.35">
      <c r="A228" s="39">
        <v>1214</v>
      </c>
      <c r="B228" t="s">
        <v>153</v>
      </c>
      <c r="C228" s="1" t="s">
        <v>163</v>
      </c>
      <c r="D228">
        <v>1</v>
      </c>
      <c r="E228">
        <v>-220</v>
      </c>
      <c r="F228" t="s">
        <v>128</v>
      </c>
      <c r="G228" t="s">
        <v>53</v>
      </c>
      <c r="H228">
        <v>3.297236948688048</v>
      </c>
      <c r="I228">
        <v>0.62388697231905355</v>
      </c>
      <c r="J228">
        <v>1.6028544341660071</v>
      </c>
      <c r="K228">
        <v>1.4545454545454546</v>
      </c>
      <c r="L228">
        <v>-220</v>
      </c>
      <c r="M228">
        <v>0.6875</v>
      </c>
      <c r="P228">
        <v>-6.3613027680946455E-2</v>
      </c>
      <c r="Q228">
        <v>0</v>
      </c>
      <c r="R228">
        <v>0</v>
      </c>
      <c r="S228" t="s">
        <v>195</v>
      </c>
      <c r="T228">
        <f>IF(AND(S228="BET",D228&gt;D227),(Q228*K228)-Q228,IF(S228="No BET",0,-Q228))</f>
        <v>0</v>
      </c>
      <c r="U228">
        <f t="shared" si="12"/>
        <v>0</v>
      </c>
    </row>
    <row r="229" spans="1:21" hidden="1" x14ac:dyDescent="0.35">
      <c r="A229" s="39">
        <v>1214</v>
      </c>
      <c r="B229" t="s">
        <v>151</v>
      </c>
      <c r="C229" s="1" t="s">
        <v>177</v>
      </c>
      <c r="D229">
        <v>3</v>
      </c>
      <c r="E229">
        <v>170</v>
      </c>
      <c r="F229" t="s">
        <v>131</v>
      </c>
      <c r="G229" t="s">
        <v>45</v>
      </c>
      <c r="H229">
        <v>2.1354013319630849</v>
      </c>
      <c r="I229">
        <v>0.42785462195342927</v>
      </c>
      <c r="J229">
        <v>2.3372424853899254</v>
      </c>
      <c r="K229">
        <v>2.7</v>
      </c>
      <c r="L229">
        <v>170</v>
      </c>
      <c r="M229">
        <v>0.37037037037037035</v>
      </c>
      <c r="P229">
        <v>5.7484251583058921E-2</v>
      </c>
      <c r="Q229">
        <v>3.0668316909790261</v>
      </c>
      <c r="R229">
        <v>3.5428269070942942</v>
      </c>
      <c r="S229" t="s">
        <v>192</v>
      </c>
      <c r="T229">
        <f>IF(AND(S229="BET",D229&gt;D230),(Q229*K229)-Q229,IF(S229="No BET",0,-Q229))</f>
        <v>-3.0668316909790261</v>
      </c>
      <c r="U229">
        <f t="shared" si="12"/>
        <v>0</v>
      </c>
    </row>
    <row r="230" spans="1:21" hidden="1" x14ac:dyDescent="0.35">
      <c r="A230" s="39">
        <v>1214</v>
      </c>
      <c r="B230" t="s">
        <v>153</v>
      </c>
      <c r="C230" s="1" t="s">
        <v>156</v>
      </c>
      <c r="D230">
        <v>4</v>
      </c>
      <c r="E230">
        <v>-190</v>
      </c>
      <c r="F230" t="s">
        <v>128</v>
      </c>
      <c r="G230" t="s">
        <v>62</v>
      </c>
      <c r="H230">
        <v>2.5394640143739649</v>
      </c>
      <c r="I230">
        <v>0.57205960484008134</v>
      </c>
      <c r="J230">
        <v>1.7480695919432188</v>
      </c>
      <c r="K230">
        <v>1.5263157894736841</v>
      </c>
      <c r="L230">
        <v>-190</v>
      </c>
      <c r="M230">
        <v>0.65517241379310354</v>
      </c>
      <c r="P230">
        <v>-8.3112808953022199E-2</v>
      </c>
      <c r="Q230">
        <v>0</v>
      </c>
      <c r="R230">
        <v>0</v>
      </c>
      <c r="S230" t="s">
        <v>195</v>
      </c>
      <c r="T230">
        <f>IF(AND(S230="BET",D230&gt;D229),(Q230*K230)-Q230,IF(S230="No BET",0,-Q230))</f>
        <v>0</v>
      </c>
      <c r="U230">
        <f t="shared" si="12"/>
        <v>0</v>
      </c>
    </row>
    <row r="231" spans="1:21" hidden="1" x14ac:dyDescent="0.35">
      <c r="A231" s="39">
        <v>1214</v>
      </c>
      <c r="B231" t="s">
        <v>151</v>
      </c>
      <c r="C231" s="1" t="s">
        <v>181</v>
      </c>
      <c r="D231">
        <v>2</v>
      </c>
      <c r="E231">
        <v>195</v>
      </c>
      <c r="F231" t="s">
        <v>131</v>
      </c>
      <c r="G231" t="s">
        <v>54</v>
      </c>
      <c r="H231">
        <v>1.9508670335135252</v>
      </c>
      <c r="I231">
        <v>0.37383576468175139</v>
      </c>
      <c r="J231">
        <v>2.6749714566537151</v>
      </c>
      <c r="K231">
        <v>2.95</v>
      </c>
      <c r="L231">
        <v>195</v>
      </c>
      <c r="M231">
        <v>0.33898305084745761</v>
      </c>
      <c r="P231">
        <v>3.485271383429378E-2</v>
      </c>
      <c r="Q231">
        <v>1.7711291185728923</v>
      </c>
      <c r="R231">
        <v>1.9532286547558499</v>
      </c>
      <c r="S231" t="s">
        <v>193</v>
      </c>
      <c r="T231">
        <v>0</v>
      </c>
      <c r="U231">
        <f t="shared" si="12"/>
        <v>0</v>
      </c>
    </row>
    <row r="232" spans="1:21" ht="14" hidden="1" customHeight="1" x14ac:dyDescent="0.35">
      <c r="A232" s="39">
        <v>1214</v>
      </c>
      <c r="B232" t="s">
        <v>153</v>
      </c>
      <c r="C232" s="1" t="s">
        <v>175</v>
      </c>
      <c r="D232">
        <v>1</v>
      </c>
      <c r="E232">
        <v>-215</v>
      </c>
      <c r="F232" t="s">
        <v>128</v>
      </c>
      <c r="G232" t="s">
        <v>39</v>
      </c>
      <c r="H232">
        <v>2.6599216824065155</v>
      </c>
      <c r="I232">
        <v>0.62605205504714734</v>
      </c>
      <c r="J232">
        <v>1.5973112649948749</v>
      </c>
      <c r="K232">
        <v>1.4651162790697674</v>
      </c>
      <c r="L232">
        <v>-215</v>
      </c>
      <c r="M232">
        <v>0.68253968253968256</v>
      </c>
      <c r="P232">
        <v>-5.648762749253522E-2</v>
      </c>
      <c r="Q232">
        <v>0</v>
      </c>
      <c r="R232">
        <v>0</v>
      </c>
      <c r="S232" t="s">
        <v>195</v>
      </c>
      <c r="T232">
        <f>IF(AND(S232="BET",D232&gt;D231),(Q232*K232)-Q232,IF(S232="No BET",0,-Q232))</f>
        <v>0</v>
      </c>
      <c r="U232">
        <f t="shared" si="12"/>
        <v>0</v>
      </c>
    </row>
    <row r="233" spans="1:21" hidden="1" x14ac:dyDescent="0.35">
      <c r="A233" s="39">
        <v>1214</v>
      </c>
      <c r="B233" t="s">
        <v>151</v>
      </c>
      <c r="C233" s="1" t="s">
        <v>157</v>
      </c>
      <c r="D233">
        <v>2</v>
      </c>
      <c r="E233">
        <v>118</v>
      </c>
      <c r="F233" t="s">
        <v>131</v>
      </c>
      <c r="G233" t="s">
        <v>65</v>
      </c>
      <c r="H233">
        <v>3.5401825280557362</v>
      </c>
      <c r="I233">
        <v>0.61019800500110699</v>
      </c>
      <c r="J233">
        <v>1.6388123065039943</v>
      </c>
      <c r="K233">
        <v>2.1799999999999997</v>
      </c>
      <c r="L233">
        <v>118</v>
      </c>
      <c r="M233">
        <v>0.45871559633027531</v>
      </c>
      <c r="P233">
        <v>0.15148240867083168</v>
      </c>
      <c r="Q233">
        <v>9.4007587268034438</v>
      </c>
      <c r="R233">
        <v>12.505186800891011</v>
      </c>
      <c r="S233" t="s">
        <v>192</v>
      </c>
      <c r="T233">
        <f t="shared" ref="T233:T273" si="13">IF(AND(S233="BET",D233&gt;D234),(Q233*K233)-Q233,IF(S233="No BET",0,-Q233))</f>
        <v>-9.4007587268034438</v>
      </c>
      <c r="U233">
        <f t="shared" si="12"/>
        <v>-9.4007587268034438</v>
      </c>
    </row>
    <row r="234" spans="1:21" hidden="1" x14ac:dyDescent="0.35">
      <c r="A234" s="39">
        <v>1214</v>
      </c>
      <c r="B234" t="s">
        <v>153</v>
      </c>
      <c r="C234" s="1" t="s">
        <v>159</v>
      </c>
      <c r="D234">
        <v>4</v>
      </c>
      <c r="E234">
        <v>-128</v>
      </c>
      <c r="F234" t="s">
        <v>128</v>
      </c>
      <c r="G234" t="s">
        <v>61</v>
      </c>
      <c r="H234">
        <v>2.8137992797042473</v>
      </c>
      <c r="I234">
        <v>0.38851633853735268</v>
      </c>
      <c r="J234">
        <v>2.5738943277513107</v>
      </c>
      <c r="K234">
        <v>1.78125</v>
      </c>
      <c r="L234">
        <v>-128</v>
      </c>
      <c r="M234">
        <v>0.56140350877192979</v>
      </c>
      <c r="P234">
        <v>-0.17288717023457711</v>
      </c>
      <c r="Q234">
        <v>0</v>
      </c>
      <c r="R234">
        <v>0</v>
      </c>
      <c r="S234" t="s">
        <v>195</v>
      </c>
      <c r="T234">
        <f t="shared" ref="T234:T274" si="14">IF(AND(S234="BET",D234&gt;D233),(Q234*K234)-Q234,IF(S234="No BET",0,-Q234))</f>
        <v>0</v>
      </c>
      <c r="U234">
        <f t="shared" si="12"/>
        <v>0</v>
      </c>
    </row>
    <row r="235" spans="1:21" hidden="1" x14ac:dyDescent="0.35">
      <c r="A235" s="40">
        <v>1215</v>
      </c>
      <c r="B235" t="s">
        <v>151</v>
      </c>
      <c r="C235" s="1" t="s">
        <v>178</v>
      </c>
      <c r="D235">
        <v>3</v>
      </c>
      <c r="E235">
        <v>137</v>
      </c>
      <c r="F235" t="s">
        <v>131</v>
      </c>
      <c r="G235" t="s">
        <v>59</v>
      </c>
      <c r="H235">
        <v>1.6142578785415203</v>
      </c>
      <c r="I235">
        <v>0.38981169968699247</v>
      </c>
      <c r="J235">
        <v>2.5653411654985501</v>
      </c>
      <c r="K235">
        <v>2.37</v>
      </c>
      <c r="L235">
        <v>137</v>
      </c>
      <c r="M235">
        <v>0.42194092827004215</v>
      </c>
      <c r="P235">
        <v>-3.2129228583049674E-2</v>
      </c>
      <c r="Q235">
        <v>0</v>
      </c>
      <c r="R235">
        <v>0</v>
      </c>
      <c r="S235" t="s">
        <v>193</v>
      </c>
      <c r="T235">
        <f t="shared" si="13"/>
        <v>0</v>
      </c>
      <c r="U235">
        <f t="shared" si="12"/>
        <v>0</v>
      </c>
    </row>
    <row r="236" spans="1:21" hidden="1" x14ac:dyDescent="0.35">
      <c r="A236" s="40">
        <v>1215</v>
      </c>
      <c r="B236" t="s">
        <v>153</v>
      </c>
      <c r="C236" s="1" t="s">
        <v>165</v>
      </c>
      <c r="D236">
        <v>7</v>
      </c>
      <c r="E236">
        <v>-152</v>
      </c>
      <c r="F236" t="s">
        <v>128</v>
      </c>
      <c r="G236" t="s">
        <v>66</v>
      </c>
      <c r="H236">
        <v>2.1774995843858593</v>
      </c>
      <c r="I236">
        <v>0.61016914925672538</v>
      </c>
      <c r="J236">
        <v>1.638889808208339</v>
      </c>
      <c r="K236">
        <v>1.6578947368421053</v>
      </c>
      <c r="L236">
        <v>-152</v>
      </c>
      <c r="M236">
        <v>0.60317460317460314</v>
      </c>
      <c r="P236">
        <v>6.9945460821222438E-3</v>
      </c>
      <c r="Q236">
        <v>0.81444039164714577</v>
      </c>
      <c r="R236">
        <v>0.82388482253089868</v>
      </c>
      <c r="S236" t="s">
        <v>195</v>
      </c>
      <c r="T236">
        <f t="shared" si="14"/>
        <v>0</v>
      </c>
      <c r="U236">
        <f t="shared" si="12"/>
        <v>0</v>
      </c>
    </row>
    <row r="237" spans="1:21" hidden="1" x14ac:dyDescent="0.35">
      <c r="A237" s="40">
        <v>1215</v>
      </c>
      <c r="B237" t="s">
        <v>151</v>
      </c>
      <c r="C237" s="1" t="s">
        <v>183</v>
      </c>
      <c r="D237">
        <v>4</v>
      </c>
      <c r="E237">
        <v>-124</v>
      </c>
      <c r="F237" t="s">
        <v>131</v>
      </c>
      <c r="G237" t="s">
        <v>51</v>
      </c>
      <c r="H237">
        <v>2.4694796491440325</v>
      </c>
      <c r="I237">
        <v>0.73737993791102274</v>
      </c>
      <c r="J237">
        <v>1.356152979741994</v>
      </c>
      <c r="K237">
        <v>1.8064516129032258</v>
      </c>
      <c r="L237">
        <v>-124</v>
      </c>
      <c r="M237">
        <v>0.5535714285714286</v>
      </c>
      <c r="P237">
        <v>0.18380850933959414</v>
      </c>
      <c r="Q237">
        <v>19.024482799661047</v>
      </c>
      <c r="R237">
        <v>25.341394482380306</v>
      </c>
      <c r="S237" t="s">
        <v>192</v>
      </c>
      <c r="T237">
        <f t="shared" si="13"/>
        <v>15.34232483843633</v>
      </c>
      <c r="U237">
        <f t="shared" si="12"/>
        <v>0</v>
      </c>
    </row>
    <row r="238" spans="1:21" hidden="1" x14ac:dyDescent="0.35">
      <c r="A238" s="40">
        <v>1215</v>
      </c>
      <c r="B238" t="s">
        <v>153</v>
      </c>
      <c r="C238" s="1" t="s">
        <v>182</v>
      </c>
      <c r="D238">
        <v>2</v>
      </c>
      <c r="E238">
        <v>114</v>
      </c>
      <c r="F238" t="s">
        <v>128</v>
      </c>
      <c r="G238" t="s">
        <v>48</v>
      </c>
      <c r="H238">
        <v>1.2197297467974504</v>
      </c>
      <c r="I238">
        <v>0.26256465208747054</v>
      </c>
      <c r="J238">
        <v>3.8085857789679203</v>
      </c>
      <c r="K238">
        <v>2.1399999999999997</v>
      </c>
      <c r="L238">
        <v>114</v>
      </c>
      <c r="M238">
        <v>0.46728971962616828</v>
      </c>
      <c r="P238">
        <v>-0.20472506753869774</v>
      </c>
      <c r="Q238">
        <v>0</v>
      </c>
      <c r="R238">
        <v>0</v>
      </c>
      <c r="S238" t="s">
        <v>195</v>
      </c>
      <c r="T238">
        <f t="shared" si="14"/>
        <v>0</v>
      </c>
      <c r="U238">
        <f t="shared" si="12"/>
        <v>0</v>
      </c>
    </row>
    <row r="239" spans="1:21" hidden="1" x14ac:dyDescent="0.35">
      <c r="A239" s="40">
        <v>1215</v>
      </c>
      <c r="B239" t="s">
        <v>151</v>
      </c>
      <c r="C239" s="1" t="s">
        <v>169</v>
      </c>
      <c r="D239">
        <v>3</v>
      </c>
      <c r="E239">
        <v>-105</v>
      </c>
      <c r="F239" t="s">
        <v>131</v>
      </c>
      <c r="G239" t="s">
        <v>52</v>
      </c>
      <c r="H239">
        <v>3.7294816620459046</v>
      </c>
      <c r="I239">
        <v>0.65868300358051513</v>
      </c>
      <c r="J239">
        <v>1.5181809680288243</v>
      </c>
      <c r="K239">
        <v>1.9523809523809523</v>
      </c>
      <c r="L239">
        <v>-105</v>
      </c>
      <c r="M239">
        <v>0.51219512195121952</v>
      </c>
      <c r="P239">
        <v>0.1464878816292956</v>
      </c>
      <c r="Q239">
        <v>13.875696347213088</v>
      </c>
      <c r="R239">
        <v>17.844147581756832</v>
      </c>
      <c r="S239" t="s">
        <v>192</v>
      </c>
      <c r="T239">
        <f t="shared" si="13"/>
        <v>-13.875696347213088</v>
      </c>
      <c r="U239">
        <f t="shared" si="12"/>
        <v>0</v>
      </c>
    </row>
    <row r="240" spans="1:21" hidden="1" x14ac:dyDescent="0.35">
      <c r="A240" s="40">
        <v>1215</v>
      </c>
      <c r="B240" t="s">
        <v>153</v>
      </c>
      <c r="C240" s="1" t="s">
        <v>177</v>
      </c>
      <c r="D240">
        <v>5</v>
      </c>
      <c r="E240">
        <v>-105</v>
      </c>
      <c r="F240" t="s">
        <v>128</v>
      </c>
      <c r="G240" t="s">
        <v>45</v>
      </c>
      <c r="H240">
        <v>2.6658940378395468</v>
      </c>
      <c r="I240">
        <v>0.3395383213241932</v>
      </c>
      <c r="J240">
        <v>2.9451756611743218</v>
      </c>
      <c r="K240">
        <v>1.9523809523809523</v>
      </c>
      <c r="L240">
        <v>-105</v>
      </c>
      <c r="M240">
        <v>0.51219512195121952</v>
      </c>
      <c r="P240">
        <v>-0.17265680062702632</v>
      </c>
      <c r="Q240">
        <v>0</v>
      </c>
      <c r="R240">
        <v>0</v>
      </c>
      <c r="S240" t="s">
        <v>195</v>
      </c>
      <c r="T240">
        <f t="shared" si="14"/>
        <v>0</v>
      </c>
      <c r="U240">
        <f t="shared" si="12"/>
        <v>0</v>
      </c>
    </row>
    <row r="241" spans="1:21" hidden="1" x14ac:dyDescent="0.35">
      <c r="A241" s="40">
        <v>1215</v>
      </c>
      <c r="B241" t="s">
        <v>151</v>
      </c>
      <c r="C241" s="1" t="s">
        <v>157</v>
      </c>
      <c r="D241">
        <v>3</v>
      </c>
      <c r="E241">
        <v>170</v>
      </c>
      <c r="F241" t="s">
        <v>131</v>
      </c>
      <c r="G241" t="s">
        <v>65</v>
      </c>
      <c r="H241">
        <v>2.8928007900932386</v>
      </c>
      <c r="I241">
        <v>0.56135065546382379</v>
      </c>
      <c r="J241">
        <v>1.7814177114903982</v>
      </c>
      <c r="K241">
        <v>2.7</v>
      </c>
      <c r="L241">
        <v>170</v>
      </c>
      <c r="M241">
        <v>0.37037037037037035</v>
      </c>
      <c r="P241">
        <v>0.19098028509345344</v>
      </c>
      <c r="Q241">
        <v>14.01530675347594</v>
      </c>
      <c r="R241">
        <v>21.242254407993745</v>
      </c>
      <c r="S241" t="s">
        <v>192</v>
      </c>
      <c r="T241">
        <f t="shared" si="13"/>
        <v>-14.01530675347594</v>
      </c>
      <c r="U241">
        <f t="shared" si="12"/>
        <v>0</v>
      </c>
    </row>
    <row r="242" spans="1:21" hidden="1" x14ac:dyDescent="0.35">
      <c r="A242" s="40">
        <v>1215</v>
      </c>
      <c r="B242" t="s">
        <v>153</v>
      </c>
      <c r="C242" s="1" t="s">
        <v>160</v>
      </c>
      <c r="D242">
        <v>6</v>
      </c>
      <c r="E242">
        <v>-190</v>
      </c>
      <c r="F242" t="s">
        <v>128</v>
      </c>
      <c r="G242" t="s">
        <v>68</v>
      </c>
      <c r="H242">
        <v>2.5235368076597542</v>
      </c>
      <c r="I242">
        <v>0.43836681660840704</v>
      </c>
      <c r="J242">
        <v>2.2811945660871036</v>
      </c>
      <c r="K242">
        <v>1.5263157894736841</v>
      </c>
      <c r="L242">
        <v>-190</v>
      </c>
      <c r="M242">
        <v>0.65517241379310354</v>
      </c>
      <c r="P242">
        <v>-0.2168055971846965</v>
      </c>
      <c r="Q242">
        <v>0</v>
      </c>
      <c r="R242">
        <v>0</v>
      </c>
      <c r="S242" t="s">
        <v>195</v>
      </c>
      <c r="T242">
        <f t="shared" si="14"/>
        <v>0</v>
      </c>
      <c r="U242">
        <f t="shared" si="12"/>
        <v>0</v>
      </c>
    </row>
    <row r="243" spans="1:21" hidden="1" x14ac:dyDescent="0.35">
      <c r="A243" s="18">
        <v>1216</v>
      </c>
      <c r="B243" t="s">
        <v>151</v>
      </c>
      <c r="C243" s="1" t="s">
        <v>152</v>
      </c>
      <c r="D243">
        <v>1</v>
      </c>
      <c r="E243">
        <v>165</v>
      </c>
      <c r="F243" t="s">
        <v>131</v>
      </c>
      <c r="G243" t="s">
        <v>58</v>
      </c>
      <c r="H243">
        <v>2.2037773294768148</v>
      </c>
      <c r="I243">
        <v>0.42046084596985051</v>
      </c>
      <c r="J243">
        <v>2.378342738890141</v>
      </c>
      <c r="K243">
        <v>2.65</v>
      </c>
      <c r="L243">
        <v>165</v>
      </c>
      <c r="M243">
        <v>0.37735849056603776</v>
      </c>
      <c r="P243">
        <v>4.3102355403812742E-2</v>
      </c>
      <c r="Q243">
        <v>3.0422536145568593</v>
      </c>
      <c r="R243">
        <v>3.3897436003432428</v>
      </c>
      <c r="S243" t="s">
        <v>193</v>
      </c>
      <c r="T243">
        <f t="shared" si="13"/>
        <v>-3.0422536145568593</v>
      </c>
      <c r="U243">
        <f t="shared" si="12"/>
        <v>0</v>
      </c>
    </row>
    <row r="244" spans="1:21" hidden="1" x14ac:dyDescent="0.35">
      <c r="A244" s="18">
        <v>1216</v>
      </c>
      <c r="B244" t="s">
        <v>153</v>
      </c>
      <c r="C244" s="1" t="s">
        <v>161</v>
      </c>
      <c r="D244">
        <v>6</v>
      </c>
      <c r="E244">
        <v>-185</v>
      </c>
      <c r="F244" t="s">
        <v>128</v>
      </c>
      <c r="G244" t="s">
        <v>50</v>
      </c>
      <c r="H244">
        <v>2.6579949912603587</v>
      </c>
      <c r="I244">
        <v>0.5794141406967076</v>
      </c>
      <c r="J244">
        <v>1.7258812475607954</v>
      </c>
      <c r="K244">
        <v>1.5405405405405406</v>
      </c>
      <c r="L244">
        <v>-185</v>
      </c>
      <c r="M244">
        <v>0.64912280701754388</v>
      </c>
      <c r="P244">
        <v>-6.9708666320836277E-2</v>
      </c>
      <c r="Q244">
        <v>0</v>
      </c>
      <c r="R244">
        <v>0</v>
      </c>
      <c r="S244" t="s">
        <v>195</v>
      </c>
      <c r="T244">
        <f t="shared" si="14"/>
        <v>0</v>
      </c>
      <c r="U244">
        <f t="shared" si="12"/>
        <v>0</v>
      </c>
    </row>
    <row r="245" spans="1:21" hidden="1" x14ac:dyDescent="0.35">
      <c r="A245" s="18">
        <v>1216</v>
      </c>
      <c r="B245" t="s">
        <v>151</v>
      </c>
      <c r="C245" s="1" t="s">
        <v>170</v>
      </c>
      <c r="D245">
        <v>5</v>
      </c>
      <c r="E245">
        <v>-130</v>
      </c>
      <c r="F245" t="s">
        <v>131</v>
      </c>
      <c r="G245" t="s">
        <v>55</v>
      </c>
      <c r="H245">
        <v>2.7705458362021576</v>
      </c>
      <c r="I245">
        <v>0.62713933744334038</v>
      </c>
      <c r="J245">
        <v>1.5945419786242419</v>
      </c>
      <c r="K245">
        <v>1.7692307692307692</v>
      </c>
      <c r="L245">
        <v>-130</v>
      </c>
      <c r="M245">
        <v>0.56521739130434789</v>
      </c>
      <c r="P245">
        <v>6.192194613899249E-2</v>
      </c>
      <c r="Q245">
        <v>6.2589994841615564</v>
      </c>
      <c r="R245">
        <v>6.9446992430593548</v>
      </c>
      <c r="S245" t="s">
        <v>192</v>
      </c>
      <c r="T245">
        <f t="shared" si="13"/>
        <v>4.8146149878165811</v>
      </c>
      <c r="U245">
        <f t="shared" si="12"/>
        <v>4.8146149878165811</v>
      </c>
    </row>
    <row r="246" spans="1:21" hidden="1" x14ac:dyDescent="0.35">
      <c r="A246" s="18">
        <v>1216</v>
      </c>
      <c r="B246" t="s">
        <v>153</v>
      </c>
      <c r="C246" s="1" t="s">
        <v>166</v>
      </c>
      <c r="D246">
        <v>2</v>
      </c>
      <c r="E246">
        <v>120</v>
      </c>
      <c r="F246" t="s">
        <v>128</v>
      </c>
      <c r="G246" t="s">
        <v>57</v>
      </c>
      <c r="H246">
        <v>2.0404296466080072</v>
      </c>
      <c r="I246">
        <v>0.3727010266884952</v>
      </c>
      <c r="J246">
        <v>2.6831157640888481</v>
      </c>
      <c r="K246">
        <v>2.2000000000000002</v>
      </c>
      <c r="L246">
        <v>120</v>
      </c>
      <c r="M246">
        <v>0.45454545454545453</v>
      </c>
      <c r="P246">
        <v>-8.1844427856959334E-2</v>
      </c>
      <c r="Q246">
        <v>0</v>
      </c>
      <c r="R246">
        <v>0</v>
      </c>
      <c r="S246" t="s">
        <v>195</v>
      </c>
      <c r="T246">
        <f t="shared" si="14"/>
        <v>0</v>
      </c>
      <c r="U246">
        <f t="shared" ref="U246:U274" si="15">IF(AND(R246&gt;5,R246&lt;15),T246,0)</f>
        <v>0</v>
      </c>
    </row>
    <row r="247" spans="1:21" hidden="1" x14ac:dyDescent="0.35">
      <c r="A247" s="18">
        <v>1216</v>
      </c>
      <c r="B247" t="s">
        <v>151</v>
      </c>
      <c r="C247" s="1" t="s">
        <v>155</v>
      </c>
      <c r="D247">
        <v>0</v>
      </c>
      <c r="E247">
        <v>-160</v>
      </c>
      <c r="F247" t="s">
        <v>131</v>
      </c>
      <c r="G247" t="s">
        <v>67</v>
      </c>
      <c r="H247">
        <v>2.9535576957093417</v>
      </c>
      <c r="I247">
        <v>0.7516822233313728</v>
      </c>
      <c r="J247">
        <v>1.3303494069184052</v>
      </c>
      <c r="K247">
        <v>1.625</v>
      </c>
      <c r="L247">
        <v>-160</v>
      </c>
      <c r="M247">
        <v>0.61538461538461542</v>
      </c>
      <c r="P247">
        <v>0.13629760794675738</v>
      </c>
      <c r="Q247">
        <v>15.573781037617298</v>
      </c>
      <c r="R247">
        <v>19.023118328552236</v>
      </c>
      <c r="S247" t="s">
        <v>192</v>
      </c>
      <c r="T247">
        <f t="shared" si="13"/>
        <v>-15.573781037617298</v>
      </c>
      <c r="U247">
        <f t="shared" si="15"/>
        <v>0</v>
      </c>
    </row>
    <row r="248" spans="1:21" hidden="1" x14ac:dyDescent="0.35">
      <c r="A248" s="18">
        <v>1216</v>
      </c>
      <c r="B248" t="s">
        <v>153</v>
      </c>
      <c r="C248" s="1" t="s">
        <v>179</v>
      </c>
      <c r="D248">
        <v>3</v>
      </c>
      <c r="E248">
        <v>145</v>
      </c>
      <c r="F248" t="s">
        <v>128</v>
      </c>
      <c r="G248" t="s">
        <v>43</v>
      </c>
      <c r="H248">
        <v>1.493233736366429</v>
      </c>
      <c r="I248">
        <v>0.24806055601098193</v>
      </c>
      <c r="J248">
        <v>4.0312737183243632</v>
      </c>
      <c r="K248">
        <v>2.4500000000000002</v>
      </c>
      <c r="L248">
        <v>145</v>
      </c>
      <c r="M248">
        <v>0.4081632653061224</v>
      </c>
      <c r="P248">
        <v>-0.16010270929514048</v>
      </c>
      <c r="Q248">
        <v>0</v>
      </c>
      <c r="R248">
        <v>0</v>
      </c>
      <c r="S248" t="s">
        <v>195</v>
      </c>
      <c r="T248">
        <f t="shared" si="14"/>
        <v>0</v>
      </c>
      <c r="U248">
        <f t="shared" si="15"/>
        <v>0</v>
      </c>
    </row>
    <row r="249" spans="1:21" hidden="1" x14ac:dyDescent="0.35">
      <c r="A249" s="18">
        <v>1216</v>
      </c>
      <c r="B249" t="s">
        <v>151</v>
      </c>
      <c r="C249" s="1" t="s">
        <v>174</v>
      </c>
      <c r="D249">
        <v>2</v>
      </c>
      <c r="E249">
        <v>104</v>
      </c>
      <c r="F249" t="s">
        <v>131</v>
      </c>
      <c r="G249" t="s">
        <v>46</v>
      </c>
      <c r="H249">
        <v>2.7377170286231265</v>
      </c>
      <c r="I249">
        <v>0.58422810962613059</v>
      </c>
      <c r="J249">
        <v>1.7116601949193053</v>
      </c>
      <c r="K249">
        <v>2.04</v>
      </c>
      <c r="L249">
        <v>104</v>
      </c>
      <c r="M249">
        <v>0.49019607843137253</v>
      </c>
      <c r="P249">
        <v>9.4032031194758059E-2</v>
      </c>
      <c r="Q249">
        <v>8.1059725371154343</v>
      </c>
      <c r="R249">
        <v>9.660903504562171</v>
      </c>
      <c r="S249" t="s">
        <v>192</v>
      </c>
      <c r="T249">
        <f t="shared" si="13"/>
        <v>-8.1059725371154343</v>
      </c>
      <c r="U249">
        <f t="shared" si="15"/>
        <v>-8.1059725371154343</v>
      </c>
    </row>
    <row r="250" spans="1:21" hidden="1" x14ac:dyDescent="0.35">
      <c r="A250" s="18">
        <v>1216</v>
      </c>
      <c r="B250" t="s">
        <v>153</v>
      </c>
      <c r="C250" s="1" t="s">
        <v>156</v>
      </c>
      <c r="D250">
        <v>5</v>
      </c>
      <c r="E250">
        <v>-114</v>
      </c>
      <c r="F250" t="s">
        <v>128</v>
      </c>
      <c r="G250" t="s">
        <v>62</v>
      </c>
      <c r="H250">
        <v>2.2496354416591764</v>
      </c>
      <c r="I250">
        <v>0.41561251839800906</v>
      </c>
      <c r="J250">
        <v>2.4060872946140557</v>
      </c>
      <c r="K250">
        <v>1.8771929824561404</v>
      </c>
      <c r="L250">
        <v>-114</v>
      </c>
      <c r="M250">
        <v>0.53271028037383172</v>
      </c>
      <c r="P250">
        <v>-0.11709776197582267</v>
      </c>
      <c r="Q250">
        <v>0</v>
      </c>
      <c r="R250">
        <v>0</v>
      </c>
      <c r="S250" t="s">
        <v>195</v>
      </c>
      <c r="T250">
        <f t="shared" si="14"/>
        <v>0</v>
      </c>
      <c r="U250">
        <f t="shared" si="15"/>
        <v>0</v>
      </c>
    </row>
    <row r="251" spans="1:21" ht="14.5" hidden="1" customHeight="1" x14ac:dyDescent="0.35">
      <c r="A251" s="18">
        <v>1216</v>
      </c>
      <c r="B251" t="s">
        <v>151</v>
      </c>
      <c r="C251" s="1" t="s">
        <v>158</v>
      </c>
      <c r="D251">
        <v>2</v>
      </c>
      <c r="E251">
        <v>160</v>
      </c>
      <c r="F251" t="s">
        <v>131</v>
      </c>
      <c r="G251" t="s">
        <v>49</v>
      </c>
      <c r="H251">
        <v>2.2288663957050874</v>
      </c>
      <c r="I251">
        <v>0.4426602509146666</v>
      </c>
      <c r="J251">
        <v>2.2590688862026918</v>
      </c>
      <c r="K251">
        <v>2.04</v>
      </c>
      <c r="L251">
        <v>104</v>
      </c>
      <c r="M251">
        <v>0.49019607843137253</v>
      </c>
      <c r="P251">
        <v>-4.7535827516705931E-2</v>
      </c>
      <c r="Q251">
        <v>0</v>
      </c>
      <c r="R251">
        <v>0</v>
      </c>
      <c r="S251" t="s">
        <v>193</v>
      </c>
      <c r="T251">
        <f t="shared" si="13"/>
        <v>0</v>
      </c>
      <c r="U251">
        <f t="shared" si="15"/>
        <v>0</v>
      </c>
    </row>
    <row r="252" spans="1:21" ht="14.5" hidden="1" customHeight="1" x14ac:dyDescent="0.35">
      <c r="A252" s="18">
        <v>1216</v>
      </c>
      <c r="B252" t="s">
        <v>153</v>
      </c>
      <c r="C252" s="1" t="s">
        <v>172</v>
      </c>
      <c r="D252">
        <v>1</v>
      </c>
      <c r="E252">
        <v>-180</v>
      </c>
      <c r="F252" t="s">
        <v>128</v>
      </c>
      <c r="G252" t="s">
        <v>47</v>
      </c>
      <c r="H252">
        <v>2.5528232338358978</v>
      </c>
      <c r="I252">
        <v>0.55724353192288578</v>
      </c>
      <c r="J252">
        <v>1.7945475231435888</v>
      </c>
      <c r="K252">
        <v>1.8771929824561404</v>
      </c>
      <c r="L252">
        <v>-114</v>
      </c>
      <c r="M252">
        <v>0.53271028037383172</v>
      </c>
      <c r="P252">
        <v>2.4533251549054058E-2</v>
      </c>
      <c r="Q252">
        <v>2.3072856640022388</v>
      </c>
      <c r="R252">
        <v>2.4135445849879016</v>
      </c>
      <c r="S252" t="s">
        <v>195</v>
      </c>
      <c r="T252">
        <f t="shared" si="14"/>
        <v>0</v>
      </c>
      <c r="U252">
        <f t="shared" si="15"/>
        <v>0</v>
      </c>
    </row>
    <row r="253" spans="1:21" hidden="1" x14ac:dyDescent="0.35">
      <c r="A253" s="13">
        <v>1217</v>
      </c>
      <c r="B253" t="s">
        <v>151</v>
      </c>
      <c r="C253" s="1" t="s">
        <v>176</v>
      </c>
      <c r="D253">
        <v>1</v>
      </c>
      <c r="E253">
        <v>125</v>
      </c>
      <c r="F253" t="s">
        <v>131</v>
      </c>
      <c r="G253" t="s">
        <v>38</v>
      </c>
      <c r="H253">
        <v>1.7238217929937214</v>
      </c>
      <c r="I253">
        <v>0.3274583044919166</v>
      </c>
      <c r="J253">
        <v>3.0538239106551206</v>
      </c>
      <c r="K253">
        <v>2.25</v>
      </c>
      <c r="L253">
        <v>125</v>
      </c>
      <c r="M253">
        <v>0.44444444444444442</v>
      </c>
      <c r="P253">
        <v>-0.11698613995252782</v>
      </c>
      <c r="Q253">
        <v>0</v>
      </c>
      <c r="R253">
        <v>0</v>
      </c>
      <c r="S253" t="s">
        <v>193</v>
      </c>
      <c r="T253">
        <f t="shared" si="13"/>
        <v>0</v>
      </c>
      <c r="U253">
        <f t="shared" si="15"/>
        <v>0</v>
      </c>
    </row>
    <row r="254" spans="1:21" hidden="1" x14ac:dyDescent="0.35">
      <c r="A254" s="13">
        <v>1217</v>
      </c>
      <c r="B254" t="s">
        <v>153</v>
      </c>
      <c r="C254" s="1" t="s">
        <v>178</v>
      </c>
      <c r="D254">
        <v>4</v>
      </c>
      <c r="E254">
        <v>-135</v>
      </c>
      <c r="F254" t="s">
        <v>128</v>
      </c>
      <c r="G254" t="s">
        <v>59</v>
      </c>
      <c r="H254">
        <v>2.6859271891587055</v>
      </c>
      <c r="I254">
        <v>0.67242482797872083</v>
      </c>
      <c r="J254">
        <v>1.4871550817151644</v>
      </c>
      <c r="K254">
        <v>1.7407407407407407</v>
      </c>
      <c r="L254">
        <v>-135</v>
      </c>
      <c r="M254">
        <v>0.57446808510638303</v>
      </c>
      <c r="P254">
        <v>9.7956742872337799E-2</v>
      </c>
      <c r="Q254">
        <v>9.2088541974030846</v>
      </c>
      <c r="R254">
        <v>10.77912308814018</v>
      </c>
      <c r="S254" t="s">
        <v>192</v>
      </c>
      <c r="T254">
        <f t="shared" si="14"/>
        <v>6.8213734795578418</v>
      </c>
      <c r="U254">
        <f t="shared" si="15"/>
        <v>6.8213734795578418</v>
      </c>
    </row>
    <row r="255" spans="1:21" hidden="1" x14ac:dyDescent="0.35">
      <c r="A255" s="13">
        <v>1217</v>
      </c>
      <c r="B255" t="s">
        <v>151</v>
      </c>
      <c r="C255" s="1" t="s">
        <v>183</v>
      </c>
      <c r="D255">
        <v>4</v>
      </c>
      <c r="E255">
        <v>237</v>
      </c>
      <c r="F255" t="s">
        <v>131</v>
      </c>
      <c r="G255" t="s">
        <v>51</v>
      </c>
      <c r="H255">
        <v>1.794212765301245</v>
      </c>
      <c r="I255">
        <v>0.31065652075317718</v>
      </c>
      <c r="J255">
        <v>3.218989247595804</v>
      </c>
      <c r="K255">
        <v>3.37</v>
      </c>
      <c r="L255">
        <v>237</v>
      </c>
      <c r="M255">
        <v>0.29673590504451036</v>
      </c>
      <c r="P255">
        <v>1.3920615708666817E-2</v>
      </c>
      <c r="Q255">
        <v>0.79185086945864258</v>
      </c>
      <c r="R255">
        <v>0.82899855352691865</v>
      </c>
      <c r="S255" t="s">
        <v>193</v>
      </c>
      <c r="T255">
        <v>0</v>
      </c>
      <c r="U255">
        <f t="shared" si="15"/>
        <v>0</v>
      </c>
    </row>
    <row r="256" spans="1:21" hidden="1" x14ac:dyDescent="0.35">
      <c r="A256" s="13">
        <v>1217</v>
      </c>
      <c r="B256" t="s">
        <v>153</v>
      </c>
      <c r="C256" s="1" t="s">
        <v>171</v>
      </c>
      <c r="D256">
        <v>3</v>
      </c>
      <c r="E256">
        <v>-257</v>
      </c>
      <c r="F256" t="s">
        <v>128</v>
      </c>
      <c r="G256" t="s">
        <v>40</v>
      </c>
      <c r="H256">
        <v>2.8868246942787699</v>
      </c>
      <c r="I256">
        <v>0.68912851176098533</v>
      </c>
      <c r="J256">
        <v>1.4511081502702883</v>
      </c>
      <c r="K256">
        <v>1.3891050583657587</v>
      </c>
      <c r="L256">
        <v>-257</v>
      </c>
      <c r="M256">
        <v>0.71988795518207283</v>
      </c>
      <c r="P256">
        <v>-3.0759443421087496E-2</v>
      </c>
      <c r="Q256">
        <v>0</v>
      </c>
      <c r="R256">
        <v>0</v>
      </c>
      <c r="S256" t="s">
        <v>195</v>
      </c>
      <c r="T256">
        <f t="shared" si="14"/>
        <v>0</v>
      </c>
      <c r="U256">
        <f t="shared" si="15"/>
        <v>0</v>
      </c>
    </row>
    <row r="257" spans="1:21" hidden="1" x14ac:dyDescent="0.35">
      <c r="A257" s="13">
        <v>1217</v>
      </c>
      <c r="B257" t="s">
        <v>151</v>
      </c>
      <c r="C257" s="1" t="s">
        <v>170</v>
      </c>
      <c r="D257">
        <v>8</v>
      </c>
      <c r="E257">
        <v>131</v>
      </c>
      <c r="F257" t="s">
        <v>131</v>
      </c>
      <c r="G257" t="s">
        <v>55</v>
      </c>
      <c r="H257">
        <v>2.6984324292095194</v>
      </c>
      <c r="I257">
        <v>0.47719853061494399</v>
      </c>
      <c r="J257">
        <v>2.0955638708932014</v>
      </c>
      <c r="K257">
        <v>2.31</v>
      </c>
      <c r="L257">
        <v>131</v>
      </c>
      <c r="M257">
        <v>0.4329004329004329</v>
      </c>
      <c r="P257">
        <v>4.4298097714511098E-2</v>
      </c>
      <c r="Q257">
        <v>3.124849888462347</v>
      </c>
      <c r="R257">
        <v>3.4446114206346237</v>
      </c>
      <c r="S257" t="s">
        <v>193</v>
      </c>
      <c r="T257">
        <f t="shared" si="13"/>
        <v>-3.124849888462347</v>
      </c>
      <c r="U257">
        <f t="shared" si="15"/>
        <v>0</v>
      </c>
    </row>
    <row r="258" spans="1:21" hidden="1" x14ac:dyDescent="0.35">
      <c r="A258" s="13">
        <v>1217</v>
      </c>
      <c r="B258" t="s">
        <v>153</v>
      </c>
      <c r="C258" s="1" t="s">
        <v>180</v>
      </c>
      <c r="D258">
        <v>3</v>
      </c>
      <c r="E258">
        <v>-141</v>
      </c>
      <c r="F258" t="s">
        <v>128</v>
      </c>
      <c r="G258" t="s">
        <v>56</v>
      </c>
      <c r="H258">
        <v>2.8354584188161254</v>
      </c>
      <c r="I258">
        <v>0.52249988080013676</v>
      </c>
      <c r="J258">
        <v>1.9138760347057637</v>
      </c>
      <c r="K258">
        <v>1.7092198581560285</v>
      </c>
      <c r="L258">
        <v>-141</v>
      </c>
      <c r="M258">
        <v>0.58506224066390033</v>
      </c>
      <c r="P258">
        <v>-6.2562359863763572E-2</v>
      </c>
      <c r="Q258">
        <v>0</v>
      </c>
      <c r="R258">
        <v>0</v>
      </c>
      <c r="S258" t="s">
        <v>195</v>
      </c>
      <c r="T258">
        <f t="shared" si="14"/>
        <v>0</v>
      </c>
      <c r="U258">
        <f t="shared" si="15"/>
        <v>0</v>
      </c>
    </row>
    <row r="259" spans="1:21" hidden="1" x14ac:dyDescent="0.35">
      <c r="A259" s="13">
        <v>1217</v>
      </c>
      <c r="B259" t="s">
        <v>151</v>
      </c>
      <c r="C259" s="1" t="s">
        <v>167</v>
      </c>
      <c r="D259">
        <v>3</v>
      </c>
      <c r="E259">
        <v>175</v>
      </c>
      <c r="F259" t="s">
        <v>131</v>
      </c>
      <c r="G259" t="s">
        <v>41</v>
      </c>
      <c r="H259">
        <v>2.5937419593042654</v>
      </c>
      <c r="I259">
        <v>0.53233170408647701</v>
      </c>
      <c r="J259">
        <v>1.8785279785581783</v>
      </c>
      <c r="K259">
        <v>2.75</v>
      </c>
      <c r="L259">
        <v>175</v>
      </c>
      <c r="M259">
        <v>0.36363636363636365</v>
      </c>
      <c r="P259">
        <v>0.16869534045011336</v>
      </c>
      <c r="Q259">
        <v>10.604766994167255</v>
      </c>
      <c r="R259">
        <v>15.524447634973974</v>
      </c>
      <c r="S259" t="s">
        <v>192</v>
      </c>
      <c r="T259">
        <f t="shared" si="13"/>
        <v>-10.604766994167255</v>
      </c>
      <c r="U259">
        <f t="shared" si="15"/>
        <v>0</v>
      </c>
    </row>
    <row r="260" spans="1:21" hidden="1" x14ac:dyDescent="0.35">
      <c r="A260" s="13">
        <v>1217</v>
      </c>
      <c r="B260" t="s">
        <v>153</v>
      </c>
      <c r="C260" s="1" t="s">
        <v>154</v>
      </c>
      <c r="D260">
        <v>5</v>
      </c>
      <c r="E260">
        <v>-190</v>
      </c>
      <c r="F260" t="s">
        <v>128</v>
      </c>
      <c r="G260" t="s">
        <v>64</v>
      </c>
      <c r="H260">
        <v>2.4069896135807971</v>
      </c>
      <c r="I260">
        <v>0.46753922107255053</v>
      </c>
      <c r="J260">
        <v>2.1388579929315163</v>
      </c>
      <c r="K260">
        <v>1.5263157894736841</v>
      </c>
      <c r="L260">
        <v>-190</v>
      </c>
      <c r="M260">
        <v>0.65517241379310354</v>
      </c>
      <c r="P260">
        <v>-0.18763319272055301</v>
      </c>
      <c r="Q260">
        <v>0</v>
      </c>
      <c r="R260">
        <v>0</v>
      </c>
      <c r="S260" t="s">
        <v>195</v>
      </c>
      <c r="T260">
        <f t="shared" si="14"/>
        <v>0</v>
      </c>
      <c r="U260">
        <f t="shared" si="15"/>
        <v>0</v>
      </c>
    </row>
    <row r="261" spans="1:21" hidden="1" x14ac:dyDescent="0.35">
      <c r="A261" s="13">
        <v>1217</v>
      </c>
      <c r="B261" t="s">
        <v>151</v>
      </c>
      <c r="C261" s="1" t="s">
        <v>152</v>
      </c>
      <c r="D261">
        <v>3</v>
      </c>
      <c r="E261">
        <v>350</v>
      </c>
      <c r="F261" t="s">
        <v>131</v>
      </c>
      <c r="G261" t="s">
        <v>58</v>
      </c>
      <c r="H261">
        <v>2.5254388045617837</v>
      </c>
      <c r="I261">
        <v>0.46626323866340758</v>
      </c>
      <c r="J261">
        <v>2.1447112212118733</v>
      </c>
      <c r="K261">
        <v>4.5</v>
      </c>
      <c r="L261">
        <v>350</v>
      </c>
      <c r="M261">
        <v>0.22222222222222221</v>
      </c>
      <c r="P261">
        <v>0.24404101644118537</v>
      </c>
      <c r="Q261">
        <v>12.551935333008588</v>
      </c>
      <c r="R261">
        <v>26.336277089380086</v>
      </c>
      <c r="S261" t="s">
        <v>192</v>
      </c>
      <c r="T261">
        <f t="shared" si="13"/>
        <v>-12.551935333008588</v>
      </c>
      <c r="U261">
        <f t="shared" si="15"/>
        <v>0</v>
      </c>
    </row>
    <row r="262" spans="1:21" hidden="1" x14ac:dyDescent="0.35">
      <c r="A262" s="13">
        <v>1217</v>
      </c>
      <c r="B262" t="s">
        <v>153</v>
      </c>
      <c r="C262" s="1" t="s">
        <v>162</v>
      </c>
      <c r="D262">
        <v>4</v>
      </c>
      <c r="E262">
        <v>-395</v>
      </c>
      <c r="F262" t="s">
        <v>128</v>
      </c>
      <c r="G262" t="s">
        <v>63</v>
      </c>
      <c r="H262">
        <v>2.7239245555572804</v>
      </c>
      <c r="I262">
        <v>0.53353996573033913</v>
      </c>
      <c r="J262">
        <v>1.8742738393198801</v>
      </c>
      <c r="K262">
        <v>1.2531645569620253</v>
      </c>
      <c r="L262">
        <v>-395</v>
      </c>
      <c r="M262">
        <v>0.79797979797979801</v>
      </c>
      <c r="P262">
        <v>-0.26443983224945888</v>
      </c>
      <c r="Q262">
        <v>0</v>
      </c>
      <c r="R262">
        <v>0</v>
      </c>
      <c r="S262" t="s">
        <v>195</v>
      </c>
      <c r="T262">
        <f t="shared" si="14"/>
        <v>0</v>
      </c>
      <c r="U262">
        <f t="shared" si="15"/>
        <v>0</v>
      </c>
    </row>
    <row r="263" spans="1:21" hidden="1" x14ac:dyDescent="0.35">
      <c r="A263" s="13">
        <v>1217</v>
      </c>
      <c r="B263" t="s">
        <v>151</v>
      </c>
      <c r="C263" s="1" t="s">
        <v>179</v>
      </c>
      <c r="D263">
        <v>5</v>
      </c>
      <c r="E263">
        <v>-135</v>
      </c>
      <c r="F263" t="s">
        <v>131</v>
      </c>
      <c r="G263" t="s">
        <v>43</v>
      </c>
      <c r="H263">
        <v>3.1974755694724015</v>
      </c>
      <c r="I263">
        <v>0.78826784840820352</v>
      </c>
      <c r="J263">
        <v>1.2686043227810953</v>
      </c>
      <c r="K263">
        <v>1.7407407407407407</v>
      </c>
      <c r="L263">
        <v>-135</v>
      </c>
      <c r="M263">
        <v>0.57446808510638303</v>
      </c>
      <c r="P263">
        <v>0.21379976330182049</v>
      </c>
      <c r="Q263">
        <v>20.099186538405654</v>
      </c>
      <c r="R263">
        <v>27.579499955076116</v>
      </c>
      <c r="S263" t="s">
        <v>192</v>
      </c>
      <c r="T263">
        <f t="shared" si="13"/>
        <v>14.888286324744925</v>
      </c>
      <c r="U263">
        <f t="shared" si="15"/>
        <v>0</v>
      </c>
    </row>
    <row r="264" spans="1:21" hidden="1" x14ac:dyDescent="0.35">
      <c r="A264" s="13">
        <v>1217</v>
      </c>
      <c r="B264" t="s">
        <v>153</v>
      </c>
      <c r="C264" s="1" t="s">
        <v>182</v>
      </c>
      <c r="D264">
        <v>3</v>
      </c>
      <c r="E264">
        <v>125</v>
      </c>
      <c r="F264" t="s">
        <v>128</v>
      </c>
      <c r="G264" t="s">
        <v>48</v>
      </c>
      <c r="H264">
        <v>1.448250873121919</v>
      </c>
      <c r="I264">
        <v>0.21123777511070779</v>
      </c>
      <c r="J264">
        <v>4.7340017640117118</v>
      </c>
      <c r="K264">
        <v>2.25</v>
      </c>
      <c r="L264">
        <v>125</v>
      </c>
      <c r="M264">
        <v>0.44444444444444442</v>
      </c>
      <c r="P264">
        <v>-0.23320666933373663</v>
      </c>
      <c r="Q264">
        <v>0</v>
      </c>
      <c r="R264">
        <v>0</v>
      </c>
      <c r="S264" t="s">
        <v>195</v>
      </c>
      <c r="T264">
        <f t="shared" si="14"/>
        <v>0</v>
      </c>
      <c r="U264">
        <f t="shared" si="15"/>
        <v>0</v>
      </c>
    </row>
    <row r="265" spans="1:21" hidden="1" x14ac:dyDescent="0.35">
      <c r="A265" s="13">
        <v>1217</v>
      </c>
      <c r="B265" t="s">
        <v>151</v>
      </c>
      <c r="C265" s="1" t="s">
        <v>164</v>
      </c>
      <c r="D265">
        <v>6</v>
      </c>
      <c r="E265">
        <v>-110</v>
      </c>
      <c r="F265" t="s">
        <v>131</v>
      </c>
      <c r="G265" t="s">
        <v>42</v>
      </c>
      <c r="H265">
        <v>2.1381644188356934</v>
      </c>
      <c r="I265">
        <v>0.59208072253866084</v>
      </c>
      <c r="J265">
        <v>1.6889588901194186</v>
      </c>
      <c r="K265">
        <v>1.9090909090909092</v>
      </c>
      <c r="L265">
        <v>-110</v>
      </c>
      <c r="M265">
        <v>0.52380952380952384</v>
      </c>
      <c r="P265">
        <v>6.8271198729137006E-2</v>
      </c>
      <c r="Q265">
        <v>5.7353539060130183</v>
      </c>
      <c r="R265">
        <v>6.4828765616754085</v>
      </c>
      <c r="S265" t="s">
        <v>192</v>
      </c>
      <c r="T265">
        <f t="shared" si="13"/>
        <v>5.2139580963754719</v>
      </c>
      <c r="U265">
        <f t="shared" si="15"/>
        <v>5.2139580963754719</v>
      </c>
    </row>
    <row r="266" spans="1:21" hidden="1" x14ac:dyDescent="0.35">
      <c r="A266" s="13">
        <v>1217</v>
      </c>
      <c r="B266" t="s">
        <v>153</v>
      </c>
      <c r="C266" s="1" t="s">
        <v>165</v>
      </c>
      <c r="D266">
        <v>3</v>
      </c>
      <c r="E266">
        <v>100</v>
      </c>
      <c r="F266" t="s">
        <v>128</v>
      </c>
      <c r="G266" t="s">
        <v>66</v>
      </c>
      <c r="H266">
        <v>1.6680824315895817</v>
      </c>
      <c r="I266">
        <v>0.40790246183872214</v>
      </c>
      <c r="J266">
        <v>2.451566473740439</v>
      </c>
      <c r="K266">
        <v>2</v>
      </c>
      <c r="L266">
        <v>100</v>
      </c>
      <c r="M266">
        <v>0.5</v>
      </c>
      <c r="P266">
        <v>-9.2097538161277859E-2</v>
      </c>
      <c r="Q266">
        <v>0</v>
      </c>
      <c r="R266">
        <v>0</v>
      </c>
      <c r="S266" t="s">
        <v>195</v>
      </c>
      <c r="T266">
        <f t="shared" si="14"/>
        <v>0</v>
      </c>
      <c r="U266">
        <f t="shared" si="15"/>
        <v>0</v>
      </c>
    </row>
    <row r="267" spans="1:21" hidden="1" x14ac:dyDescent="0.35">
      <c r="A267" s="13">
        <v>1217</v>
      </c>
      <c r="B267" t="s">
        <v>151</v>
      </c>
      <c r="C267" s="1" t="s">
        <v>168</v>
      </c>
      <c r="D267">
        <v>4</v>
      </c>
      <c r="E267">
        <v>102</v>
      </c>
      <c r="F267" t="s">
        <v>131</v>
      </c>
      <c r="G267" t="s">
        <v>60</v>
      </c>
      <c r="H267">
        <v>3.1338823722603935</v>
      </c>
      <c r="I267">
        <v>0.59151673494153056</v>
      </c>
      <c r="J267">
        <v>1.6905692450085061</v>
      </c>
      <c r="K267">
        <v>2.02</v>
      </c>
      <c r="L267">
        <v>102</v>
      </c>
      <c r="M267">
        <v>0.49504950495049505</v>
      </c>
      <c r="P267">
        <v>9.6467229991035519E-2</v>
      </c>
      <c r="Q267">
        <v>7.6424816450005251</v>
      </c>
      <c r="R267">
        <v>9.1317246947926023</v>
      </c>
      <c r="S267" t="s">
        <v>192</v>
      </c>
      <c r="T267">
        <f t="shared" si="13"/>
        <v>7.7953312779005364</v>
      </c>
      <c r="U267">
        <f t="shared" si="15"/>
        <v>7.7953312779005364</v>
      </c>
    </row>
    <row r="268" spans="1:21" hidden="1" x14ac:dyDescent="0.35">
      <c r="A268" s="13">
        <v>1217</v>
      </c>
      <c r="B268" t="s">
        <v>153</v>
      </c>
      <c r="C268" s="1" t="s">
        <v>173</v>
      </c>
      <c r="D268">
        <v>1</v>
      </c>
      <c r="E268">
        <v>-112</v>
      </c>
      <c r="F268" t="s">
        <v>128</v>
      </c>
      <c r="G268" t="s">
        <v>44</v>
      </c>
      <c r="H268">
        <v>2.5664431772065526</v>
      </c>
      <c r="I268">
        <v>0.40798661789407081</v>
      </c>
      <c r="J268">
        <v>2.4510607851839858</v>
      </c>
      <c r="K268">
        <v>1.8928571428571428</v>
      </c>
      <c r="L268">
        <v>-112</v>
      </c>
      <c r="M268">
        <v>0.52830188679245282</v>
      </c>
      <c r="P268">
        <v>-0.12031526889838201</v>
      </c>
      <c r="Q268">
        <v>0</v>
      </c>
      <c r="R268">
        <v>0</v>
      </c>
      <c r="S268" t="s">
        <v>195</v>
      </c>
      <c r="T268">
        <f t="shared" si="14"/>
        <v>0</v>
      </c>
      <c r="U268">
        <f t="shared" si="15"/>
        <v>0</v>
      </c>
    </row>
    <row r="269" spans="1:21" hidden="1" x14ac:dyDescent="0.35">
      <c r="A269" s="13">
        <v>1217</v>
      </c>
      <c r="B269" t="s">
        <v>151</v>
      </c>
      <c r="C269" s="1" t="s">
        <v>163</v>
      </c>
      <c r="D269">
        <v>3</v>
      </c>
      <c r="E269">
        <v>105</v>
      </c>
      <c r="F269" t="s">
        <v>131</v>
      </c>
      <c r="G269" t="s">
        <v>53</v>
      </c>
      <c r="H269">
        <v>3.1162190751268204</v>
      </c>
      <c r="I269">
        <v>0.5829193578063796</v>
      </c>
      <c r="J269">
        <v>1.7155031594132724</v>
      </c>
      <c r="K269">
        <v>2.0499999999999998</v>
      </c>
      <c r="L269">
        <v>105</v>
      </c>
      <c r="M269">
        <v>0.48780487804878053</v>
      </c>
      <c r="P269">
        <v>9.5114479757599069E-2</v>
      </c>
      <c r="Q269">
        <v>7.4287303981333244</v>
      </c>
      <c r="R269">
        <v>8.8772190436430449</v>
      </c>
      <c r="S269" t="s">
        <v>192</v>
      </c>
      <c r="T269">
        <f t="shared" si="13"/>
        <v>7.8001669180399889</v>
      </c>
      <c r="U269">
        <f t="shared" si="15"/>
        <v>7.8001669180399889</v>
      </c>
    </row>
    <row r="270" spans="1:21" hidden="1" x14ac:dyDescent="0.35">
      <c r="A270" s="13">
        <v>1217</v>
      </c>
      <c r="B270" t="s">
        <v>153</v>
      </c>
      <c r="C270" s="1" t="s">
        <v>157</v>
      </c>
      <c r="D270">
        <v>1</v>
      </c>
      <c r="E270">
        <v>-115</v>
      </c>
      <c r="F270" t="s">
        <v>128</v>
      </c>
      <c r="G270" t="s">
        <v>65</v>
      </c>
      <c r="H270">
        <v>2.6019234209225104</v>
      </c>
      <c r="I270">
        <v>0.41659319354056634</v>
      </c>
      <c r="J270">
        <v>2.4004232798456022</v>
      </c>
      <c r="K270">
        <v>1.8695652173913042</v>
      </c>
      <c r="L270">
        <v>-115</v>
      </c>
      <c r="M270">
        <v>0.53488372093023262</v>
      </c>
      <c r="P270">
        <v>-0.11829052738966628</v>
      </c>
      <c r="Q270">
        <v>0</v>
      </c>
      <c r="R270">
        <v>0</v>
      </c>
      <c r="S270" t="s">
        <v>195</v>
      </c>
      <c r="T270">
        <f t="shared" si="14"/>
        <v>0</v>
      </c>
      <c r="U270">
        <f t="shared" si="15"/>
        <v>0</v>
      </c>
    </row>
    <row r="271" spans="1:21" hidden="1" x14ac:dyDescent="0.35">
      <c r="A271" s="13">
        <v>1217</v>
      </c>
      <c r="B271" t="s">
        <v>151</v>
      </c>
      <c r="C271" s="1" t="s">
        <v>169</v>
      </c>
      <c r="D271">
        <v>2</v>
      </c>
      <c r="E271">
        <v>185</v>
      </c>
      <c r="F271" t="s">
        <v>131</v>
      </c>
      <c r="G271" t="s">
        <v>52</v>
      </c>
      <c r="H271">
        <v>2.9006304737130177</v>
      </c>
      <c r="I271">
        <v>0.56096360887326513</v>
      </c>
      <c r="J271">
        <v>1.7826468315985244</v>
      </c>
      <c r="K271">
        <v>2.85</v>
      </c>
      <c r="L271">
        <v>185</v>
      </c>
      <c r="M271">
        <v>0.35087719298245612</v>
      </c>
      <c r="P271">
        <v>0.21008641589080901</v>
      </c>
      <c r="Q271">
        <v>12.947159615524079</v>
      </c>
      <c r="R271">
        <v>20.699223340360362</v>
      </c>
      <c r="S271" t="s">
        <v>192</v>
      </c>
      <c r="T271">
        <f t="shared" si="13"/>
        <v>-12.947159615524079</v>
      </c>
      <c r="U271">
        <f t="shared" si="15"/>
        <v>0</v>
      </c>
    </row>
    <row r="272" spans="1:21" hidden="1" x14ac:dyDescent="0.35">
      <c r="A272" s="13">
        <v>1217</v>
      </c>
      <c r="B272" t="s">
        <v>153</v>
      </c>
      <c r="C272" s="1" t="s">
        <v>160</v>
      </c>
      <c r="D272">
        <v>3</v>
      </c>
      <c r="E272">
        <v>-200</v>
      </c>
      <c r="F272" t="s">
        <v>128</v>
      </c>
      <c r="G272" t="s">
        <v>68</v>
      </c>
      <c r="H272">
        <v>2.5331144691593277</v>
      </c>
      <c r="I272">
        <v>0.43874666130221163</v>
      </c>
      <c r="J272">
        <v>2.2792196230780966</v>
      </c>
      <c r="K272">
        <v>1.5</v>
      </c>
      <c r="L272">
        <v>-200</v>
      </c>
      <c r="M272">
        <v>0.66666666666666663</v>
      </c>
      <c r="P272">
        <v>-0.227920005364455</v>
      </c>
      <c r="Q272">
        <v>0</v>
      </c>
      <c r="R272">
        <v>0</v>
      </c>
      <c r="S272" t="s">
        <v>195</v>
      </c>
      <c r="T272">
        <f t="shared" si="14"/>
        <v>0</v>
      </c>
      <c r="U272">
        <f t="shared" si="15"/>
        <v>0</v>
      </c>
    </row>
    <row r="273" spans="1:21" x14ac:dyDescent="0.35">
      <c r="A273" s="13">
        <v>1217</v>
      </c>
      <c r="B273" t="s">
        <v>151</v>
      </c>
      <c r="C273" s="1" t="s">
        <v>175</v>
      </c>
      <c r="D273">
        <v>3</v>
      </c>
      <c r="E273">
        <v>-111</v>
      </c>
      <c r="F273" t="s">
        <v>131</v>
      </c>
      <c r="G273" t="s">
        <v>39</v>
      </c>
      <c r="H273">
        <v>2.9698877948526365</v>
      </c>
      <c r="I273">
        <v>0.69501210959199422</v>
      </c>
      <c r="J273">
        <v>1.4388238509787239</v>
      </c>
      <c r="K273">
        <v>1.900900900900901</v>
      </c>
      <c r="L273">
        <v>-111</v>
      </c>
      <c r="M273">
        <v>0.52606635071090047</v>
      </c>
      <c r="P273">
        <v>0.16894575888109375</v>
      </c>
      <c r="Q273">
        <v>14.260447292114932</v>
      </c>
      <c r="R273">
        <v>18.840177751009449</v>
      </c>
      <c r="S273" t="s">
        <v>192</v>
      </c>
      <c r="T273">
        <f t="shared" si="13"/>
        <v>12.847249812716157</v>
      </c>
      <c r="U273">
        <f t="shared" si="15"/>
        <v>0</v>
      </c>
    </row>
    <row r="274" spans="1:21" x14ac:dyDescent="0.35">
      <c r="A274" s="13">
        <v>1217</v>
      </c>
      <c r="B274" t="s">
        <v>153</v>
      </c>
      <c r="C274" s="1" t="s">
        <v>159</v>
      </c>
      <c r="D274">
        <v>2</v>
      </c>
      <c r="E274">
        <v>101</v>
      </c>
      <c r="F274" t="s">
        <v>128</v>
      </c>
      <c r="G274" t="s">
        <v>61</v>
      </c>
      <c r="H274">
        <v>1.8271592024210963</v>
      </c>
      <c r="I274">
        <v>0.30471551465522018</v>
      </c>
      <c r="J274">
        <v>3.2817495398338381</v>
      </c>
      <c r="K274">
        <v>2.0099999999999998</v>
      </c>
      <c r="L274">
        <v>101</v>
      </c>
      <c r="M274">
        <v>0.49751243781094534</v>
      </c>
      <c r="P274">
        <v>-0.19279692315572516</v>
      </c>
      <c r="Q274">
        <v>0</v>
      </c>
      <c r="R274">
        <v>0</v>
      </c>
      <c r="S274" t="s">
        <v>195</v>
      </c>
      <c r="T274">
        <f t="shared" si="14"/>
        <v>0</v>
      </c>
      <c r="U274">
        <f t="shared" si="15"/>
        <v>0</v>
      </c>
    </row>
    <row r="275" spans="1:21" hidden="1" x14ac:dyDescent="0.35">
      <c r="A275" s="37">
        <v>1218</v>
      </c>
      <c r="B275" t="s">
        <v>151</v>
      </c>
      <c r="C275" s="1" t="s">
        <v>176</v>
      </c>
      <c r="D275">
        <v>1</v>
      </c>
      <c r="E275">
        <v>107</v>
      </c>
    </row>
    <row r="276" spans="1:21" hidden="1" x14ac:dyDescent="0.35">
      <c r="A276" s="37">
        <v>1218</v>
      </c>
      <c r="B276" t="s">
        <v>153</v>
      </c>
      <c r="C276" s="1" t="s">
        <v>181</v>
      </c>
      <c r="D276">
        <v>3</v>
      </c>
      <c r="E276">
        <v>-117</v>
      </c>
    </row>
    <row r="277" spans="1:21" hidden="1" x14ac:dyDescent="0.35">
      <c r="A277" s="37">
        <v>1218</v>
      </c>
      <c r="B277" t="s">
        <v>151</v>
      </c>
      <c r="C277" s="1" t="s">
        <v>174</v>
      </c>
      <c r="D277">
        <v>4</v>
      </c>
      <c r="E277">
        <v>-140</v>
      </c>
    </row>
    <row r="278" spans="1:21" hidden="1" x14ac:dyDescent="0.35">
      <c r="A278" s="37">
        <v>1218</v>
      </c>
      <c r="B278" t="s">
        <v>153</v>
      </c>
      <c r="C278" s="1" t="s">
        <v>177</v>
      </c>
      <c r="D278">
        <v>1</v>
      </c>
      <c r="E278">
        <v>130</v>
      </c>
    </row>
    <row r="279" spans="1:21" hidden="1" x14ac:dyDescent="0.35">
      <c r="A279" s="37">
        <v>1218</v>
      </c>
      <c r="B279" t="s">
        <v>151</v>
      </c>
      <c r="C279" s="1" t="s">
        <v>158</v>
      </c>
      <c r="D279">
        <v>1</v>
      </c>
      <c r="E279">
        <v>145</v>
      </c>
    </row>
    <row r="280" spans="1:21" hidden="1" x14ac:dyDescent="0.35">
      <c r="A280" s="37">
        <v>1218</v>
      </c>
      <c r="B280" t="s">
        <v>153</v>
      </c>
      <c r="C280" s="1" t="s">
        <v>156</v>
      </c>
      <c r="D280">
        <v>2</v>
      </c>
      <c r="E280">
        <v>-160</v>
      </c>
    </row>
    <row r="281" spans="1:21" hidden="1" x14ac:dyDescent="0.35">
      <c r="A281" s="7">
        <v>1219</v>
      </c>
      <c r="B281" t="s">
        <v>151</v>
      </c>
      <c r="C281" s="1" t="s">
        <v>172</v>
      </c>
      <c r="D281">
        <v>4</v>
      </c>
      <c r="E281">
        <v>150</v>
      </c>
    </row>
    <row r="282" spans="1:21" hidden="1" x14ac:dyDescent="0.35">
      <c r="A282" s="7">
        <v>1219</v>
      </c>
      <c r="B282" t="s">
        <v>153</v>
      </c>
      <c r="C282" s="1" t="s">
        <v>162</v>
      </c>
      <c r="D282">
        <v>3</v>
      </c>
      <c r="E282">
        <v>-165</v>
      </c>
    </row>
    <row r="283" spans="1:21" hidden="1" x14ac:dyDescent="0.35">
      <c r="A283" s="7">
        <v>1219</v>
      </c>
      <c r="B283" t="s">
        <v>151</v>
      </c>
      <c r="C283" s="1" t="s">
        <v>183</v>
      </c>
      <c r="D283">
        <v>2</v>
      </c>
      <c r="E283">
        <v>130</v>
      </c>
    </row>
    <row r="284" spans="1:21" hidden="1" x14ac:dyDescent="0.35">
      <c r="A284" s="7">
        <v>1219</v>
      </c>
      <c r="B284" t="s">
        <v>153</v>
      </c>
      <c r="C284" s="1" t="s">
        <v>179</v>
      </c>
      <c r="D284">
        <v>3</v>
      </c>
      <c r="E284">
        <v>-140</v>
      </c>
    </row>
    <row r="285" spans="1:21" hidden="1" x14ac:dyDescent="0.35">
      <c r="A285" s="7">
        <v>1219</v>
      </c>
      <c r="B285" t="s">
        <v>151</v>
      </c>
      <c r="C285" s="1" t="s">
        <v>167</v>
      </c>
      <c r="D285">
        <v>1</v>
      </c>
      <c r="E285">
        <v>130</v>
      </c>
    </row>
    <row r="286" spans="1:21" hidden="1" x14ac:dyDescent="0.35">
      <c r="A286" s="7">
        <v>1219</v>
      </c>
      <c r="B286" t="s">
        <v>153</v>
      </c>
      <c r="C286" s="1" t="s">
        <v>178</v>
      </c>
      <c r="D286">
        <v>6</v>
      </c>
      <c r="E286">
        <v>-140</v>
      </c>
    </row>
    <row r="287" spans="1:21" hidden="1" x14ac:dyDescent="0.35">
      <c r="A287" s="7">
        <v>1219</v>
      </c>
      <c r="B287" t="s">
        <v>151</v>
      </c>
      <c r="C287" s="1" t="s">
        <v>180</v>
      </c>
      <c r="D287">
        <v>3</v>
      </c>
      <c r="E287">
        <v>165</v>
      </c>
    </row>
    <row r="288" spans="1:21" hidden="1" x14ac:dyDescent="0.35">
      <c r="A288" s="7">
        <v>1219</v>
      </c>
      <c r="B288" t="s">
        <v>153</v>
      </c>
      <c r="C288" s="1" t="s">
        <v>171</v>
      </c>
      <c r="D288">
        <v>2</v>
      </c>
      <c r="E288">
        <v>-185</v>
      </c>
    </row>
    <row r="289" spans="1:5" hidden="1" x14ac:dyDescent="0.35">
      <c r="A289" s="7">
        <v>1219</v>
      </c>
      <c r="B289" t="s">
        <v>151</v>
      </c>
      <c r="C289" s="1" t="s">
        <v>170</v>
      </c>
      <c r="D289">
        <v>4</v>
      </c>
      <c r="E289">
        <v>-142</v>
      </c>
    </row>
    <row r="290" spans="1:5" hidden="1" x14ac:dyDescent="0.35">
      <c r="A290" s="7">
        <v>1219</v>
      </c>
      <c r="B290" t="s">
        <v>153</v>
      </c>
      <c r="C290" s="1" t="s">
        <v>152</v>
      </c>
      <c r="D290">
        <v>5</v>
      </c>
      <c r="E290">
        <v>131</v>
      </c>
    </row>
    <row r="291" spans="1:5" hidden="1" x14ac:dyDescent="0.35">
      <c r="A291" s="7">
        <v>1219</v>
      </c>
      <c r="B291" t="s">
        <v>151</v>
      </c>
      <c r="C291" s="1" t="s">
        <v>177</v>
      </c>
      <c r="D291">
        <v>4</v>
      </c>
      <c r="E291">
        <v>140</v>
      </c>
    </row>
    <row r="292" spans="1:5" hidden="1" x14ac:dyDescent="0.35">
      <c r="A292" s="7">
        <v>1219</v>
      </c>
      <c r="B292" t="s">
        <v>153</v>
      </c>
      <c r="C292" s="1" t="s">
        <v>165</v>
      </c>
      <c r="D292">
        <v>1</v>
      </c>
      <c r="E292">
        <v>-155</v>
      </c>
    </row>
    <row r="293" spans="1:5" hidden="1" x14ac:dyDescent="0.35">
      <c r="A293" s="7">
        <v>1219</v>
      </c>
      <c r="B293" t="s">
        <v>151</v>
      </c>
      <c r="C293" s="1" t="s">
        <v>164</v>
      </c>
      <c r="D293">
        <v>3</v>
      </c>
      <c r="E293">
        <v>100</v>
      </c>
    </row>
    <row r="294" spans="1:5" hidden="1" x14ac:dyDescent="0.35">
      <c r="A294" s="7">
        <v>1219</v>
      </c>
      <c r="B294" t="s">
        <v>153</v>
      </c>
      <c r="C294" s="1" t="s">
        <v>174</v>
      </c>
      <c r="D294">
        <v>1</v>
      </c>
      <c r="E294">
        <v>-110</v>
      </c>
    </row>
    <row r="295" spans="1:5" hidden="1" x14ac:dyDescent="0.35">
      <c r="A295" s="7">
        <v>1219</v>
      </c>
      <c r="B295" t="s">
        <v>151</v>
      </c>
      <c r="C295" s="1" t="s">
        <v>163</v>
      </c>
      <c r="D295">
        <v>4</v>
      </c>
      <c r="E295">
        <v>114</v>
      </c>
    </row>
    <row r="296" spans="1:5" hidden="1" x14ac:dyDescent="0.35">
      <c r="A296" s="7">
        <v>1219</v>
      </c>
      <c r="B296" t="s">
        <v>153</v>
      </c>
      <c r="C296" s="1" t="s">
        <v>173</v>
      </c>
      <c r="D296">
        <v>3</v>
      </c>
      <c r="E296">
        <v>-124</v>
      </c>
    </row>
    <row r="297" spans="1:5" hidden="1" x14ac:dyDescent="0.35">
      <c r="A297" s="7">
        <v>1219</v>
      </c>
      <c r="B297" t="s">
        <v>151</v>
      </c>
      <c r="C297" s="1" t="s">
        <v>169</v>
      </c>
      <c r="D297">
        <v>8</v>
      </c>
      <c r="E297">
        <v>145</v>
      </c>
    </row>
    <row r="298" spans="1:5" hidden="1" x14ac:dyDescent="0.35">
      <c r="A298" s="7">
        <v>1219</v>
      </c>
      <c r="B298" t="s">
        <v>153</v>
      </c>
      <c r="C298" s="1" t="s">
        <v>175</v>
      </c>
      <c r="D298">
        <v>5</v>
      </c>
      <c r="E298">
        <v>-160</v>
      </c>
    </row>
    <row r="299" spans="1:5" hidden="1" x14ac:dyDescent="0.35">
      <c r="A299" s="7">
        <v>1219</v>
      </c>
      <c r="B299" t="s">
        <v>151</v>
      </c>
      <c r="C299" s="1" t="s">
        <v>160</v>
      </c>
      <c r="D299">
        <v>4</v>
      </c>
      <c r="E299">
        <v>-132</v>
      </c>
    </row>
    <row r="300" spans="1:5" hidden="1" x14ac:dyDescent="0.35">
      <c r="A300" s="7">
        <v>1219</v>
      </c>
      <c r="B300" t="s">
        <v>153</v>
      </c>
      <c r="C300" s="1" t="s">
        <v>157</v>
      </c>
      <c r="D300">
        <v>5</v>
      </c>
      <c r="E300">
        <v>122</v>
      </c>
    </row>
    <row r="301" spans="1:5" hidden="1" x14ac:dyDescent="0.35">
      <c r="A301">
        <v>1220</v>
      </c>
      <c r="B301" t="s">
        <v>151</v>
      </c>
      <c r="C301" s="1" t="s">
        <v>172</v>
      </c>
      <c r="D301">
        <v>4</v>
      </c>
      <c r="E301">
        <v>110</v>
      </c>
    </row>
    <row r="302" spans="1:5" hidden="1" x14ac:dyDescent="0.35">
      <c r="A302">
        <v>1220</v>
      </c>
      <c r="B302" t="s">
        <v>153</v>
      </c>
      <c r="C302" s="1" t="s">
        <v>161</v>
      </c>
      <c r="D302">
        <v>7</v>
      </c>
      <c r="E302">
        <v>-120</v>
      </c>
    </row>
    <row r="303" spans="1:5" hidden="1" x14ac:dyDescent="0.35">
      <c r="A303">
        <v>1220</v>
      </c>
      <c r="B303" t="s">
        <v>151</v>
      </c>
      <c r="C303" s="1" t="s">
        <v>154</v>
      </c>
      <c r="D303">
        <v>6</v>
      </c>
      <c r="E303">
        <v>-154</v>
      </c>
    </row>
    <row r="304" spans="1:5" hidden="1" x14ac:dyDescent="0.35">
      <c r="A304">
        <v>1220</v>
      </c>
      <c r="B304" t="s">
        <v>153</v>
      </c>
      <c r="C304" s="1" t="s">
        <v>166</v>
      </c>
      <c r="D304">
        <v>3</v>
      </c>
      <c r="E304">
        <v>144</v>
      </c>
    </row>
    <row r="305" spans="1:5" hidden="1" x14ac:dyDescent="0.35">
      <c r="A305">
        <v>1220</v>
      </c>
      <c r="B305" t="s">
        <v>151</v>
      </c>
      <c r="C305" s="1" t="s">
        <v>155</v>
      </c>
      <c r="D305">
        <v>6</v>
      </c>
      <c r="E305">
        <v>-176</v>
      </c>
    </row>
    <row r="306" spans="1:5" hidden="1" x14ac:dyDescent="0.35">
      <c r="A306">
        <v>1220</v>
      </c>
      <c r="B306" t="s">
        <v>153</v>
      </c>
      <c r="C306" s="1" t="s">
        <v>181</v>
      </c>
      <c r="D306">
        <v>3</v>
      </c>
      <c r="E306">
        <v>166</v>
      </c>
    </row>
    <row r="307" spans="1:5" hidden="1" x14ac:dyDescent="0.35">
      <c r="A307">
        <v>1220</v>
      </c>
      <c r="B307" t="s">
        <v>151</v>
      </c>
      <c r="C307" s="1" t="s">
        <v>168</v>
      </c>
      <c r="D307">
        <v>5</v>
      </c>
      <c r="E307">
        <v>-117</v>
      </c>
    </row>
    <row r="308" spans="1:5" hidden="1" x14ac:dyDescent="0.35">
      <c r="A308">
        <v>1220</v>
      </c>
      <c r="B308" t="s">
        <v>153</v>
      </c>
      <c r="C308" s="1" t="s">
        <v>158</v>
      </c>
      <c r="D308">
        <v>2</v>
      </c>
      <c r="E308">
        <v>107</v>
      </c>
    </row>
    <row r="309" spans="1:5" hidden="1" x14ac:dyDescent="0.35">
      <c r="A309">
        <v>1221</v>
      </c>
      <c r="B309" t="s">
        <v>151</v>
      </c>
      <c r="C309" s="1" t="s">
        <v>176</v>
      </c>
      <c r="D309">
        <v>6</v>
      </c>
      <c r="E309">
        <v>150</v>
      </c>
    </row>
    <row r="310" spans="1:5" hidden="1" x14ac:dyDescent="0.35">
      <c r="A310">
        <v>1221</v>
      </c>
      <c r="B310" t="s">
        <v>153</v>
      </c>
      <c r="C310" s="1" t="s">
        <v>180</v>
      </c>
      <c r="D310">
        <v>5</v>
      </c>
      <c r="E310">
        <v>-165</v>
      </c>
    </row>
    <row r="311" spans="1:5" hidden="1" x14ac:dyDescent="0.35">
      <c r="A311">
        <v>1221</v>
      </c>
      <c r="B311" t="s">
        <v>151</v>
      </c>
      <c r="C311" s="1" t="s">
        <v>183</v>
      </c>
      <c r="D311">
        <v>2</v>
      </c>
      <c r="E311">
        <v>125</v>
      </c>
    </row>
    <row r="312" spans="1:5" hidden="1" x14ac:dyDescent="0.35">
      <c r="A312">
        <v>1221</v>
      </c>
      <c r="B312" t="s">
        <v>153</v>
      </c>
      <c r="C312" s="1" t="s">
        <v>167</v>
      </c>
      <c r="D312">
        <v>3</v>
      </c>
      <c r="E312">
        <v>-135</v>
      </c>
    </row>
    <row r="313" spans="1:5" hidden="1" x14ac:dyDescent="0.35">
      <c r="A313">
        <v>1221</v>
      </c>
      <c r="B313" t="s">
        <v>151</v>
      </c>
      <c r="C313" s="1" t="s">
        <v>165</v>
      </c>
      <c r="D313">
        <v>6</v>
      </c>
      <c r="E313">
        <v>115</v>
      </c>
    </row>
    <row r="314" spans="1:5" hidden="1" x14ac:dyDescent="0.35">
      <c r="A314">
        <v>1221</v>
      </c>
      <c r="B314" t="s">
        <v>153</v>
      </c>
      <c r="C314" s="1" t="s">
        <v>169</v>
      </c>
      <c r="D314">
        <v>0</v>
      </c>
      <c r="E314">
        <v>-125</v>
      </c>
    </row>
    <row r="315" spans="1:5" hidden="1" x14ac:dyDescent="0.35">
      <c r="A315">
        <v>1221</v>
      </c>
      <c r="B315" t="s">
        <v>151</v>
      </c>
      <c r="C315" s="1" t="s">
        <v>161</v>
      </c>
      <c r="D315">
        <v>4</v>
      </c>
      <c r="E315">
        <v>160</v>
      </c>
    </row>
    <row r="316" spans="1:5" hidden="1" x14ac:dyDescent="0.35">
      <c r="A316">
        <v>1221</v>
      </c>
      <c r="B316" t="s">
        <v>153</v>
      </c>
      <c r="C316" s="1" t="s">
        <v>164</v>
      </c>
      <c r="D316">
        <v>2</v>
      </c>
      <c r="E316">
        <v>-180</v>
      </c>
    </row>
    <row r="317" spans="1:5" hidden="1" x14ac:dyDescent="0.35">
      <c r="A317">
        <v>1221</v>
      </c>
      <c r="B317" t="s">
        <v>151</v>
      </c>
      <c r="C317" s="1" t="s">
        <v>162</v>
      </c>
      <c r="D317">
        <v>1</v>
      </c>
      <c r="E317">
        <v>-108</v>
      </c>
    </row>
    <row r="318" spans="1:5" hidden="1" x14ac:dyDescent="0.35">
      <c r="A318">
        <v>1221</v>
      </c>
      <c r="B318" t="s">
        <v>153</v>
      </c>
      <c r="C318" s="1" t="s">
        <v>155</v>
      </c>
      <c r="D318">
        <v>3</v>
      </c>
      <c r="E318">
        <v>-102</v>
      </c>
    </row>
    <row r="319" spans="1:5" hidden="1" x14ac:dyDescent="0.35">
      <c r="A319">
        <v>1221</v>
      </c>
      <c r="B319" t="s">
        <v>151</v>
      </c>
      <c r="C319" s="1" t="s">
        <v>182</v>
      </c>
      <c r="D319">
        <v>1</v>
      </c>
      <c r="E319">
        <v>230</v>
      </c>
    </row>
    <row r="320" spans="1:5" hidden="1" x14ac:dyDescent="0.35">
      <c r="A320">
        <v>1221</v>
      </c>
      <c r="B320" t="s">
        <v>153</v>
      </c>
      <c r="C320" s="1" t="s">
        <v>154</v>
      </c>
      <c r="D320">
        <v>4</v>
      </c>
      <c r="E320">
        <v>-260</v>
      </c>
    </row>
    <row r="321" spans="1:5" hidden="1" x14ac:dyDescent="0.35">
      <c r="A321">
        <v>1221</v>
      </c>
      <c r="B321" t="s">
        <v>151</v>
      </c>
      <c r="C321" s="1" t="s">
        <v>163</v>
      </c>
      <c r="D321">
        <v>3</v>
      </c>
      <c r="E321">
        <v>-122</v>
      </c>
    </row>
    <row r="322" spans="1:5" hidden="1" x14ac:dyDescent="0.35">
      <c r="A322">
        <v>1221</v>
      </c>
      <c r="B322" t="s">
        <v>153</v>
      </c>
      <c r="C322" s="1" t="s">
        <v>158</v>
      </c>
      <c r="D322">
        <v>4</v>
      </c>
      <c r="E322">
        <v>112</v>
      </c>
    </row>
    <row r="323" spans="1:5" hidden="1" x14ac:dyDescent="0.35">
      <c r="A323">
        <v>1221</v>
      </c>
      <c r="B323" t="s">
        <v>151</v>
      </c>
      <c r="C323" s="1" t="s">
        <v>178</v>
      </c>
      <c r="D323">
        <v>5</v>
      </c>
      <c r="E323">
        <v>-136</v>
      </c>
    </row>
    <row r="324" spans="1:5" hidden="1" x14ac:dyDescent="0.35">
      <c r="A324">
        <v>1221</v>
      </c>
      <c r="B324" t="s">
        <v>153</v>
      </c>
      <c r="C324" s="1" t="s">
        <v>152</v>
      </c>
      <c r="D324">
        <v>4</v>
      </c>
      <c r="E324">
        <v>126</v>
      </c>
    </row>
    <row r="325" spans="1:5" hidden="1" x14ac:dyDescent="0.35">
      <c r="A325">
        <v>1221</v>
      </c>
      <c r="B325" t="s">
        <v>151</v>
      </c>
      <c r="C325" s="1" t="s">
        <v>181</v>
      </c>
      <c r="D325">
        <v>1</v>
      </c>
      <c r="E325">
        <v>170</v>
      </c>
    </row>
    <row r="326" spans="1:5" hidden="1" x14ac:dyDescent="0.35">
      <c r="A326">
        <v>1221</v>
      </c>
      <c r="B326" t="s">
        <v>153</v>
      </c>
      <c r="C326" s="1" t="s">
        <v>179</v>
      </c>
      <c r="D326">
        <v>5</v>
      </c>
      <c r="E326">
        <v>-190</v>
      </c>
    </row>
    <row r="327" spans="1:5" hidden="1" x14ac:dyDescent="0.35">
      <c r="A327">
        <v>1221</v>
      </c>
      <c r="B327" t="s">
        <v>151</v>
      </c>
      <c r="C327" s="1" t="s">
        <v>170</v>
      </c>
      <c r="D327">
        <v>4</v>
      </c>
      <c r="E327">
        <v>135</v>
      </c>
    </row>
    <row r="328" spans="1:5" hidden="1" x14ac:dyDescent="0.35">
      <c r="A328">
        <v>1221</v>
      </c>
      <c r="B328" t="s">
        <v>153</v>
      </c>
      <c r="C328" s="1" t="s">
        <v>171</v>
      </c>
      <c r="D328">
        <v>3</v>
      </c>
      <c r="E328">
        <v>-150</v>
      </c>
    </row>
    <row r="329" spans="1:5" hidden="1" x14ac:dyDescent="0.35">
      <c r="A329">
        <v>1221</v>
      </c>
      <c r="B329" t="s">
        <v>151</v>
      </c>
      <c r="C329" s="1" t="s">
        <v>177</v>
      </c>
      <c r="D329">
        <v>5</v>
      </c>
      <c r="E329">
        <v>190</v>
      </c>
    </row>
    <row r="330" spans="1:5" hidden="1" x14ac:dyDescent="0.35">
      <c r="A330">
        <v>1221</v>
      </c>
      <c r="B330" t="s">
        <v>153</v>
      </c>
      <c r="C330" s="1" t="s">
        <v>174</v>
      </c>
      <c r="D330">
        <v>3</v>
      </c>
      <c r="E330">
        <v>-210</v>
      </c>
    </row>
    <row r="331" spans="1:5" hidden="1" x14ac:dyDescent="0.35">
      <c r="A331">
        <v>1221</v>
      </c>
      <c r="B331" t="s">
        <v>151</v>
      </c>
      <c r="C331" s="1" t="s">
        <v>168</v>
      </c>
      <c r="D331">
        <v>1</v>
      </c>
      <c r="E331">
        <v>106</v>
      </c>
    </row>
    <row r="332" spans="1:5" hidden="1" x14ac:dyDescent="0.35">
      <c r="A332">
        <v>1221</v>
      </c>
      <c r="B332" t="s">
        <v>153</v>
      </c>
      <c r="C332" s="1" t="s">
        <v>157</v>
      </c>
      <c r="D332">
        <v>4</v>
      </c>
      <c r="E332">
        <v>-116</v>
      </c>
    </row>
    <row r="333" spans="1:5" hidden="1" x14ac:dyDescent="0.35">
      <c r="A333">
        <v>1221</v>
      </c>
      <c r="B333" t="s">
        <v>151</v>
      </c>
      <c r="C333" s="1" t="s">
        <v>156</v>
      </c>
      <c r="D333">
        <v>5</v>
      </c>
      <c r="E333">
        <v>-112</v>
      </c>
    </row>
    <row r="334" spans="1:5" hidden="1" x14ac:dyDescent="0.35">
      <c r="A334">
        <v>1221</v>
      </c>
      <c r="B334" t="s">
        <v>153</v>
      </c>
      <c r="C334" s="1" t="s">
        <v>159</v>
      </c>
      <c r="D334">
        <v>2</v>
      </c>
      <c r="E334">
        <v>102</v>
      </c>
    </row>
    <row r="335" spans="1:5" hidden="1" x14ac:dyDescent="0.35">
      <c r="A335">
        <v>1222</v>
      </c>
      <c r="B335" t="s">
        <v>151</v>
      </c>
      <c r="C335" s="1" t="s">
        <v>176</v>
      </c>
      <c r="D335">
        <v>1</v>
      </c>
      <c r="E335">
        <v>155</v>
      </c>
    </row>
    <row r="336" spans="1:5" hidden="1" x14ac:dyDescent="0.35">
      <c r="A336">
        <v>1222</v>
      </c>
      <c r="B336" t="s">
        <v>153</v>
      </c>
      <c r="C336" s="1" t="s">
        <v>166</v>
      </c>
      <c r="D336">
        <v>5</v>
      </c>
      <c r="E336">
        <v>-170</v>
      </c>
    </row>
    <row r="337" spans="1:5" hidden="1" x14ac:dyDescent="0.35">
      <c r="A337">
        <v>1222</v>
      </c>
      <c r="B337" t="s">
        <v>151</v>
      </c>
      <c r="C337" s="1" t="s">
        <v>175</v>
      </c>
      <c r="D337">
        <v>5</v>
      </c>
      <c r="E337">
        <v>-220</v>
      </c>
    </row>
    <row r="338" spans="1:5" hidden="1" x14ac:dyDescent="0.35">
      <c r="A338">
        <v>1222</v>
      </c>
      <c r="B338" t="s">
        <v>153</v>
      </c>
      <c r="C338" s="1" t="s">
        <v>182</v>
      </c>
      <c r="D338">
        <v>2</v>
      </c>
      <c r="E338">
        <v>200</v>
      </c>
    </row>
    <row r="339" spans="1:5" hidden="1" x14ac:dyDescent="0.35">
      <c r="A339">
        <v>1222</v>
      </c>
      <c r="B339" t="s">
        <v>151</v>
      </c>
      <c r="C339" s="1" t="s">
        <v>173</v>
      </c>
      <c r="D339">
        <v>5</v>
      </c>
      <c r="E339">
        <v>122</v>
      </c>
    </row>
    <row r="340" spans="1:5" hidden="1" x14ac:dyDescent="0.35">
      <c r="A340">
        <v>1222</v>
      </c>
      <c r="B340" t="s">
        <v>153</v>
      </c>
      <c r="C340" s="1" t="s">
        <v>172</v>
      </c>
      <c r="D340">
        <v>1</v>
      </c>
      <c r="E340">
        <v>-132</v>
      </c>
    </row>
    <row r="341" spans="1:5" hidden="1" x14ac:dyDescent="0.35">
      <c r="A341">
        <v>1222</v>
      </c>
      <c r="B341" t="s">
        <v>151</v>
      </c>
      <c r="C341" s="1" t="s">
        <v>160</v>
      </c>
      <c r="D341">
        <v>3</v>
      </c>
      <c r="E341">
        <v>-140</v>
      </c>
    </row>
    <row r="342" spans="1:5" hidden="1" x14ac:dyDescent="0.35">
      <c r="A342">
        <v>1222</v>
      </c>
      <c r="B342" t="s">
        <v>153</v>
      </c>
      <c r="C342" s="1" t="s">
        <v>159</v>
      </c>
      <c r="D342">
        <v>1</v>
      </c>
      <c r="E342">
        <v>130</v>
      </c>
    </row>
    <row r="343" spans="1:5" hidden="1" x14ac:dyDescent="0.35">
      <c r="A343">
        <v>1223</v>
      </c>
      <c r="B343" t="s">
        <v>151</v>
      </c>
      <c r="C343" s="1" t="s">
        <v>164</v>
      </c>
      <c r="D343">
        <v>6</v>
      </c>
      <c r="E343">
        <v>112</v>
      </c>
    </row>
    <row r="344" spans="1:5" hidden="1" x14ac:dyDescent="0.35">
      <c r="A344">
        <v>1223</v>
      </c>
      <c r="B344" t="s">
        <v>153</v>
      </c>
      <c r="C344" s="1" t="s">
        <v>154</v>
      </c>
      <c r="D344">
        <v>8</v>
      </c>
      <c r="E344">
        <v>-122</v>
      </c>
    </row>
    <row r="345" spans="1:5" hidden="1" x14ac:dyDescent="0.35">
      <c r="A345">
        <v>1223</v>
      </c>
      <c r="B345" t="s">
        <v>151</v>
      </c>
      <c r="C345" s="1" t="s">
        <v>173</v>
      </c>
      <c r="D345">
        <v>0</v>
      </c>
      <c r="E345">
        <v>116</v>
      </c>
    </row>
    <row r="346" spans="1:5" hidden="1" x14ac:dyDescent="0.35">
      <c r="A346">
        <v>1223</v>
      </c>
      <c r="B346" t="s">
        <v>153</v>
      </c>
      <c r="C346" s="1" t="s">
        <v>169</v>
      </c>
      <c r="D346">
        <v>3</v>
      </c>
      <c r="E346">
        <v>-126</v>
      </c>
    </row>
    <row r="347" spans="1:5" hidden="1" x14ac:dyDescent="0.35">
      <c r="A347">
        <v>1223</v>
      </c>
      <c r="B347" t="s">
        <v>151</v>
      </c>
      <c r="C347" s="1" t="s">
        <v>161</v>
      </c>
      <c r="D347">
        <v>1</v>
      </c>
      <c r="E347">
        <v>158</v>
      </c>
    </row>
    <row r="348" spans="1:5" hidden="1" x14ac:dyDescent="0.35">
      <c r="A348">
        <v>1223</v>
      </c>
      <c r="B348" t="s">
        <v>153</v>
      </c>
      <c r="C348" s="1" t="s">
        <v>162</v>
      </c>
      <c r="D348">
        <v>6</v>
      </c>
      <c r="E348">
        <v>-176</v>
      </c>
    </row>
    <row r="349" spans="1:5" hidden="1" x14ac:dyDescent="0.35">
      <c r="A349">
        <v>1223</v>
      </c>
      <c r="B349" t="s">
        <v>151</v>
      </c>
      <c r="C349" s="1" t="s">
        <v>155</v>
      </c>
      <c r="D349">
        <v>3</v>
      </c>
      <c r="E349">
        <v>115</v>
      </c>
    </row>
    <row r="350" spans="1:5" hidden="1" x14ac:dyDescent="0.35">
      <c r="A350">
        <v>1223</v>
      </c>
      <c r="B350" t="s">
        <v>153</v>
      </c>
      <c r="C350" s="1" t="s">
        <v>171</v>
      </c>
      <c r="D350">
        <v>7</v>
      </c>
      <c r="E350">
        <v>-125</v>
      </c>
    </row>
    <row r="351" spans="1:5" hidden="1" x14ac:dyDescent="0.35">
      <c r="A351">
        <v>1223</v>
      </c>
      <c r="B351" t="s">
        <v>151</v>
      </c>
      <c r="C351" s="1" t="s">
        <v>179</v>
      </c>
      <c r="D351">
        <v>3</v>
      </c>
      <c r="E351">
        <v>143</v>
      </c>
    </row>
    <row r="352" spans="1:5" hidden="1" x14ac:dyDescent="0.35">
      <c r="A352">
        <v>1223</v>
      </c>
      <c r="B352" t="s">
        <v>153</v>
      </c>
      <c r="C352" s="1" t="s">
        <v>180</v>
      </c>
      <c r="D352">
        <v>2</v>
      </c>
      <c r="E352">
        <v>-158</v>
      </c>
    </row>
    <row r="353" spans="1:5" hidden="1" x14ac:dyDescent="0.35">
      <c r="A353">
        <v>1223</v>
      </c>
      <c r="B353" t="s">
        <v>151</v>
      </c>
      <c r="C353" s="1" t="s">
        <v>166</v>
      </c>
      <c r="D353">
        <v>1</v>
      </c>
      <c r="E353">
        <v>155</v>
      </c>
    </row>
    <row r="354" spans="1:5" hidden="1" x14ac:dyDescent="0.35">
      <c r="A354">
        <v>1223</v>
      </c>
      <c r="B354" t="s">
        <v>153</v>
      </c>
      <c r="C354" s="1" t="s">
        <v>178</v>
      </c>
      <c r="D354">
        <v>5</v>
      </c>
      <c r="E354">
        <v>-170</v>
      </c>
    </row>
    <row r="355" spans="1:5" hidden="1" x14ac:dyDescent="0.35">
      <c r="A355">
        <v>1223</v>
      </c>
      <c r="B355" t="s">
        <v>151</v>
      </c>
      <c r="C355" s="1" t="s">
        <v>167</v>
      </c>
      <c r="D355">
        <v>1</v>
      </c>
      <c r="E355">
        <v>-116</v>
      </c>
    </row>
    <row r="356" spans="1:5" hidden="1" x14ac:dyDescent="0.35">
      <c r="A356">
        <v>1223</v>
      </c>
      <c r="B356" t="s">
        <v>153</v>
      </c>
      <c r="C356" s="1" t="s">
        <v>152</v>
      </c>
      <c r="D356">
        <v>3</v>
      </c>
      <c r="E356">
        <v>106</v>
      </c>
    </row>
    <row r="357" spans="1:5" hidden="1" x14ac:dyDescent="0.35">
      <c r="A357">
        <v>1223</v>
      </c>
      <c r="B357" t="s">
        <v>151</v>
      </c>
      <c r="C357" s="1" t="s">
        <v>163</v>
      </c>
      <c r="D357">
        <v>6</v>
      </c>
      <c r="E357">
        <v>-105</v>
      </c>
    </row>
    <row r="358" spans="1:5" hidden="1" x14ac:dyDescent="0.35">
      <c r="A358">
        <v>1223</v>
      </c>
      <c r="B358" t="s">
        <v>153</v>
      </c>
      <c r="C358" s="1" t="s">
        <v>165</v>
      </c>
      <c r="D358">
        <v>2</v>
      </c>
      <c r="E358">
        <v>-105</v>
      </c>
    </row>
    <row r="359" spans="1:5" hidden="1" x14ac:dyDescent="0.35">
      <c r="A359">
        <v>1223</v>
      </c>
      <c r="B359" t="s">
        <v>151</v>
      </c>
      <c r="C359" s="1" t="s">
        <v>175</v>
      </c>
      <c r="D359">
        <v>2</v>
      </c>
      <c r="E359">
        <v>130</v>
      </c>
    </row>
    <row r="360" spans="1:5" hidden="1" x14ac:dyDescent="0.35">
      <c r="A360">
        <v>1223</v>
      </c>
      <c r="B360" t="s">
        <v>153</v>
      </c>
      <c r="C360" s="1" t="s">
        <v>170</v>
      </c>
      <c r="D360">
        <v>3</v>
      </c>
      <c r="E360">
        <v>-140</v>
      </c>
    </row>
    <row r="361" spans="1:5" hidden="1" x14ac:dyDescent="0.35">
      <c r="A361">
        <v>1223</v>
      </c>
      <c r="B361" t="s">
        <v>151</v>
      </c>
      <c r="C361" s="1" t="s">
        <v>181</v>
      </c>
      <c r="D361">
        <v>7</v>
      </c>
      <c r="E361">
        <v>135</v>
      </c>
    </row>
    <row r="362" spans="1:5" hidden="1" x14ac:dyDescent="0.35">
      <c r="A362">
        <v>1223</v>
      </c>
      <c r="B362" t="s">
        <v>153</v>
      </c>
      <c r="C362" s="1" t="s">
        <v>177</v>
      </c>
      <c r="D362">
        <v>1</v>
      </c>
      <c r="E362">
        <v>-150</v>
      </c>
    </row>
    <row r="363" spans="1:5" hidden="1" x14ac:dyDescent="0.35">
      <c r="A363">
        <v>1223</v>
      </c>
      <c r="B363" t="s">
        <v>151</v>
      </c>
      <c r="C363" s="1" t="s">
        <v>174</v>
      </c>
      <c r="D363">
        <v>7</v>
      </c>
      <c r="E363">
        <v>120</v>
      </c>
    </row>
    <row r="364" spans="1:5" hidden="1" x14ac:dyDescent="0.35">
      <c r="A364">
        <v>1223</v>
      </c>
      <c r="B364" t="s">
        <v>153</v>
      </c>
      <c r="C364" s="1" t="s">
        <v>160</v>
      </c>
      <c r="D364">
        <v>3</v>
      </c>
      <c r="E364">
        <v>-130</v>
      </c>
    </row>
    <row r="365" spans="1:5" hidden="1" x14ac:dyDescent="0.35">
      <c r="A365">
        <v>1223</v>
      </c>
      <c r="B365" t="s">
        <v>151</v>
      </c>
      <c r="C365" s="1" t="s">
        <v>156</v>
      </c>
      <c r="D365">
        <v>4</v>
      </c>
      <c r="E365">
        <v>-140</v>
      </c>
    </row>
    <row r="366" spans="1:5" hidden="1" x14ac:dyDescent="0.35">
      <c r="A366">
        <v>1223</v>
      </c>
      <c r="B366" t="s">
        <v>153</v>
      </c>
      <c r="C366" s="1" t="s">
        <v>183</v>
      </c>
      <c r="D366">
        <v>1</v>
      </c>
      <c r="E366">
        <v>130</v>
      </c>
    </row>
    <row r="367" spans="1:5" hidden="1" x14ac:dyDescent="0.35">
      <c r="A367">
        <v>1223</v>
      </c>
      <c r="B367" t="s">
        <v>151</v>
      </c>
      <c r="C367" s="1" t="s">
        <v>158</v>
      </c>
      <c r="D367">
        <v>2</v>
      </c>
      <c r="E367">
        <v>128</v>
      </c>
    </row>
    <row r="368" spans="1:5" hidden="1" x14ac:dyDescent="0.35">
      <c r="A368">
        <v>1223</v>
      </c>
      <c r="B368" t="s">
        <v>153</v>
      </c>
      <c r="C368" s="1" t="s">
        <v>157</v>
      </c>
      <c r="D368">
        <v>4</v>
      </c>
      <c r="E368">
        <v>-138</v>
      </c>
    </row>
    <row r="369" spans="1:5" hidden="1" x14ac:dyDescent="0.35">
      <c r="A369">
        <v>1227</v>
      </c>
      <c r="B369" t="s">
        <v>151</v>
      </c>
      <c r="C369" s="1" t="s">
        <v>179</v>
      </c>
      <c r="D369">
        <v>1</v>
      </c>
      <c r="E369">
        <v>190</v>
      </c>
    </row>
    <row r="370" spans="1:5" hidden="1" x14ac:dyDescent="0.35">
      <c r="A370">
        <v>1227</v>
      </c>
      <c r="B370" t="s">
        <v>153</v>
      </c>
      <c r="C370" s="1" t="s">
        <v>155</v>
      </c>
      <c r="D370">
        <v>2</v>
      </c>
      <c r="E370">
        <v>-210</v>
      </c>
    </row>
    <row r="371" spans="1:5" hidden="1" x14ac:dyDescent="0.35">
      <c r="A371">
        <v>1227</v>
      </c>
      <c r="B371" t="s">
        <v>151</v>
      </c>
      <c r="C371" s="1" t="s">
        <v>164</v>
      </c>
      <c r="D371">
        <v>3</v>
      </c>
      <c r="E371">
        <v>-150</v>
      </c>
    </row>
    <row r="372" spans="1:5" hidden="1" x14ac:dyDescent="0.35">
      <c r="A372">
        <v>1227</v>
      </c>
      <c r="B372" t="s">
        <v>153</v>
      </c>
      <c r="C372" s="1" t="s">
        <v>166</v>
      </c>
      <c r="D372">
        <v>5</v>
      </c>
      <c r="E372">
        <v>135</v>
      </c>
    </row>
    <row r="373" spans="1:5" hidden="1" x14ac:dyDescent="0.35">
      <c r="A373">
        <v>1227</v>
      </c>
      <c r="B373" t="s">
        <v>151</v>
      </c>
      <c r="C373" s="1" t="s">
        <v>154</v>
      </c>
      <c r="D373">
        <v>5</v>
      </c>
      <c r="E373">
        <v>-165</v>
      </c>
    </row>
    <row r="374" spans="1:5" hidden="1" x14ac:dyDescent="0.35">
      <c r="A374">
        <v>1227</v>
      </c>
      <c r="B374" t="s">
        <v>153</v>
      </c>
      <c r="C374" s="1" t="s">
        <v>181</v>
      </c>
      <c r="D374">
        <v>4</v>
      </c>
      <c r="E374">
        <v>150</v>
      </c>
    </row>
    <row r="375" spans="1:5" hidden="1" x14ac:dyDescent="0.35">
      <c r="A375">
        <v>1227</v>
      </c>
      <c r="B375" t="s">
        <v>151</v>
      </c>
      <c r="C375" s="1" t="s">
        <v>171</v>
      </c>
      <c r="D375">
        <v>3</v>
      </c>
      <c r="E375">
        <v>-145</v>
      </c>
    </row>
    <row r="376" spans="1:5" hidden="1" x14ac:dyDescent="0.35">
      <c r="A376">
        <v>1227</v>
      </c>
      <c r="B376" t="s">
        <v>153</v>
      </c>
      <c r="C376" s="1" t="s">
        <v>167</v>
      </c>
      <c r="D376">
        <v>0</v>
      </c>
      <c r="E376">
        <v>132</v>
      </c>
    </row>
    <row r="377" spans="1:5" hidden="1" x14ac:dyDescent="0.35">
      <c r="A377">
        <v>1227</v>
      </c>
      <c r="B377" t="s">
        <v>151</v>
      </c>
      <c r="C377" s="1" t="s">
        <v>168</v>
      </c>
      <c r="D377">
        <v>5</v>
      </c>
      <c r="E377">
        <v>128</v>
      </c>
    </row>
    <row r="378" spans="1:5" hidden="1" x14ac:dyDescent="0.35">
      <c r="A378">
        <v>1227</v>
      </c>
      <c r="B378" t="s">
        <v>153</v>
      </c>
      <c r="C378" s="1" t="s">
        <v>170</v>
      </c>
      <c r="D378">
        <v>2</v>
      </c>
      <c r="E378">
        <v>-138</v>
      </c>
    </row>
    <row r="379" spans="1:5" hidden="1" x14ac:dyDescent="0.35">
      <c r="A379">
        <v>1227</v>
      </c>
      <c r="B379" t="s">
        <v>151</v>
      </c>
      <c r="C379" s="1" t="s">
        <v>156</v>
      </c>
      <c r="D379">
        <v>5</v>
      </c>
      <c r="E379">
        <v>-125</v>
      </c>
    </row>
    <row r="380" spans="1:5" hidden="1" x14ac:dyDescent="0.35">
      <c r="A380">
        <v>1227</v>
      </c>
      <c r="B380" t="s">
        <v>153</v>
      </c>
      <c r="C380" s="1" t="s">
        <v>165</v>
      </c>
      <c r="D380">
        <v>4</v>
      </c>
      <c r="E380">
        <v>115</v>
      </c>
    </row>
    <row r="381" spans="1:5" hidden="1" x14ac:dyDescent="0.35">
      <c r="A381">
        <v>1227</v>
      </c>
      <c r="B381" t="s">
        <v>151</v>
      </c>
      <c r="C381" s="1" t="s">
        <v>169</v>
      </c>
      <c r="D381">
        <v>6</v>
      </c>
      <c r="E381">
        <v>180</v>
      </c>
    </row>
    <row r="382" spans="1:5" hidden="1" x14ac:dyDescent="0.35">
      <c r="A382">
        <v>1227</v>
      </c>
      <c r="B382" t="s">
        <v>153</v>
      </c>
      <c r="C382" s="1" t="s">
        <v>174</v>
      </c>
      <c r="D382">
        <v>4</v>
      </c>
      <c r="E382">
        <v>-200</v>
      </c>
    </row>
    <row r="383" spans="1:5" hidden="1" x14ac:dyDescent="0.35">
      <c r="A383">
        <v>1227</v>
      </c>
      <c r="B383" t="s">
        <v>151</v>
      </c>
      <c r="C383" s="1" t="s">
        <v>180</v>
      </c>
      <c r="D383">
        <v>2</v>
      </c>
      <c r="E383">
        <v>-130</v>
      </c>
    </row>
    <row r="384" spans="1:5" hidden="1" x14ac:dyDescent="0.35">
      <c r="A384">
        <v>1227</v>
      </c>
      <c r="B384" t="s">
        <v>153</v>
      </c>
      <c r="C384" s="1" t="s">
        <v>177</v>
      </c>
      <c r="D384">
        <v>5</v>
      </c>
      <c r="E384">
        <v>120</v>
      </c>
    </row>
    <row r="385" spans="1:5" hidden="1" x14ac:dyDescent="0.35">
      <c r="A385">
        <v>1227</v>
      </c>
      <c r="B385" t="s">
        <v>151</v>
      </c>
      <c r="C385" s="1" t="s">
        <v>173</v>
      </c>
      <c r="D385">
        <v>5</v>
      </c>
      <c r="E385">
        <v>-110</v>
      </c>
    </row>
    <row r="386" spans="1:5" hidden="1" x14ac:dyDescent="0.35">
      <c r="A386">
        <v>1227</v>
      </c>
      <c r="B386" t="s">
        <v>153</v>
      </c>
      <c r="C386" s="1" t="s">
        <v>158</v>
      </c>
      <c r="D386">
        <v>1</v>
      </c>
      <c r="E386">
        <v>100</v>
      </c>
    </row>
    <row r="387" spans="1:5" hidden="1" x14ac:dyDescent="0.35">
      <c r="A387">
        <v>1227</v>
      </c>
      <c r="B387" t="s">
        <v>151</v>
      </c>
      <c r="C387" s="1" t="s">
        <v>183</v>
      </c>
      <c r="D387">
        <v>3</v>
      </c>
      <c r="E387">
        <v>135</v>
      </c>
    </row>
    <row r="388" spans="1:5" hidden="1" x14ac:dyDescent="0.35">
      <c r="A388">
        <v>1227</v>
      </c>
      <c r="B388" t="s">
        <v>153</v>
      </c>
      <c r="C388" s="1" t="s">
        <v>159</v>
      </c>
      <c r="D388">
        <v>2</v>
      </c>
      <c r="E388">
        <v>-150</v>
      </c>
    </row>
    <row r="389" spans="1:5" hidden="1" x14ac:dyDescent="0.35">
      <c r="A389">
        <v>1227</v>
      </c>
      <c r="B389" t="s">
        <v>151</v>
      </c>
      <c r="C389" s="1" t="s">
        <v>160</v>
      </c>
      <c r="D389">
        <v>3</v>
      </c>
      <c r="E389">
        <v>-145</v>
      </c>
    </row>
    <row r="390" spans="1:5" hidden="1" x14ac:dyDescent="0.35">
      <c r="A390">
        <v>1227</v>
      </c>
      <c r="B390" t="s">
        <v>153</v>
      </c>
      <c r="C390" s="1" t="s">
        <v>176</v>
      </c>
      <c r="D390">
        <v>4</v>
      </c>
      <c r="E390">
        <v>132</v>
      </c>
    </row>
    <row r="391" spans="1:5" hidden="1" x14ac:dyDescent="0.35">
      <c r="A391">
        <v>1228</v>
      </c>
      <c r="B391" t="s">
        <v>151</v>
      </c>
      <c r="C391" s="1" t="s">
        <v>170</v>
      </c>
      <c r="D391">
        <v>4</v>
      </c>
      <c r="E391">
        <v>110</v>
      </c>
    </row>
    <row r="392" spans="1:5" hidden="1" x14ac:dyDescent="0.35">
      <c r="A392">
        <v>1228</v>
      </c>
      <c r="B392" t="s">
        <v>153</v>
      </c>
      <c r="C392" s="1" t="s">
        <v>168</v>
      </c>
      <c r="D392">
        <v>6</v>
      </c>
      <c r="E392">
        <v>-120</v>
      </c>
    </row>
    <row r="393" spans="1:5" hidden="1" x14ac:dyDescent="0.35">
      <c r="A393">
        <v>1228</v>
      </c>
      <c r="B393" t="s">
        <v>151</v>
      </c>
      <c r="C393" s="1" t="s">
        <v>166</v>
      </c>
      <c r="D393">
        <v>5</v>
      </c>
      <c r="E393">
        <v>200</v>
      </c>
    </row>
    <row r="394" spans="1:5" hidden="1" x14ac:dyDescent="0.35">
      <c r="A394">
        <v>1228</v>
      </c>
      <c r="B394" t="s">
        <v>153</v>
      </c>
      <c r="C394" s="1" t="s">
        <v>154</v>
      </c>
      <c r="D394">
        <v>4</v>
      </c>
      <c r="E394">
        <v>-220</v>
      </c>
    </row>
    <row r="395" spans="1:5" hidden="1" x14ac:dyDescent="0.35">
      <c r="A395">
        <v>1228</v>
      </c>
      <c r="B395" t="s">
        <v>151</v>
      </c>
      <c r="C395" s="1" t="s">
        <v>163</v>
      </c>
      <c r="D395">
        <v>4</v>
      </c>
      <c r="E395">
        <v>170</v>
      </c>
    </row>
    <row r="396" spans="1:5" hidden="1" x14ac:dyDescent="0.35">
      <c r="A396">
        <v>1228</v>
      </c>
      <c r="B396" t="s">
        <v>153</v>
      </c>
      <c r="C396" s="1" t="s">
        <v>162</v>
      </c>
      <c r="D396">
        <v>5</v>
      </c>
      <c r="E396">
        <v>-190</v>
      </c>
    </row>
    <row r="397" spans="1:5" hidden="1" x14ac:dyDescent="0.35">
      <c r="A397">
        <v>1228</v>
      </c>
      <c r="B397" t="s">
        <v>151</v>
      </c>
      <c r="C397" s="1" t="s">
        <v>182</v>
      </c>
      <c r="D397">
        <v>4</v>
      </c>
      <c r="E397">
        <v>260</v>
      </c>
    </row>
    <row r="398" spans="1:5" hidden="1" x14ac:dyDescent="0.35">
      <c r="A398">
        <v>1228</v>
      </c>
      <c r="B398" t="s">
        <v>153</v>
      </c>
      <c r="C398" s="1" t="s">
        <v>161</v>
      </c>
      <c r="D398">
        <v>5</v>
      </c>
      <c r="E398">
        <v>-300</v>
      </c>
    </row>
    <row r="399" spans="1:5" hidden="1" x14ac:dyDescent="0.35">
      <c r="A399">
        <v>1228</v>
      </c>
      <c r="B399" t="s">
        <v>151</v>
      </c>
      <c r="C399" s="1" t="s">
        <v>174</v>
      </c>
      <c r="D399">
        <v>2</v>
      </c>
      <c r="E399">
        <v>110</v>
      </c>
    </row>
    <row r="400" spans="1:5" hidden="1" x14ac:dyDescent="0.35">
      <c r="A400">
        <v>1228</v>
      </c>
      <c r="B400" t="s">
        <v>153</v>
      </c>
      <c r="C400" s="1" t="s">
        <v>172</v>
      </c>
      <c r="D400">
        <v>3</v>
      </c>
      <c r="E400">
        <v>-120</v>
      </c>
    </row>
    <row r="401" spans="1:5" hidden="1" x14ac:dyDescent="0.35">
      <c r="A401">
        <v>1228</v>
      </c>
      <c r="B401" t="s">
        <v>151</v>
      </c>
      <c r="C401" s="1" t="s">
        <v>155</v>
      </c>
      <c r="D401">
        <v>4</v>
      </c>
      <c r="E401">
        <v>105</v>
      </c>
    </row>
    <row r="402" spans="1:5" hidden="1" x14ac:dyDescent="0.35">
      <c r="A402">
        <v>1228</v>
      </c>
      <c r="B402" t="s">
        <v>153</v>
      </c>
      <c r="C402" s="1" t="s">
        <v>164</v>
      </c>
      <c r="D402">
        <v>6</v>
      </c>
      <c r="E402">
        <v>-115</v>
      </c>
    </row>
    <row r="403" spans="1:5" hidden="1" x14ac:dyDescent="0.35">
      <c r="A403">
        <v>1228</v>
      </c>
      <c r="B403" t="s">
        <v>151</v>
      </c>
      <c r="C403" s="1" t="s">
        <v>183</v>
      </c>
      <c r="D403">
        <v>2</v>
      </c>
      <c r="E403">
        <v>155</v>
      </c>
    </row>
    <row r="404" spans="1:5" hidden="1" x14ac:dyDescent="0.35">
      <c r="A404">
        <v>1228</v>
      </c>
      <c r="B404" t="s">
        <v>153</v>
      </c>
      <c r="C404" s="1" t="s">
        <v>157</v>
      </c>
      <c r="D404">
        <v>3</v>
      </c>
      <c r="E404">
        <v>-170</v>
      </c>
    </row>
    <row r="405" spans="1:5" hidden="1" x14ac:dyDescent="0.35">
      <c r="A405">
        <v>1228</v>
      </c>
      <c r="B405" t="s">
        <v>151</v>
      </c>
      <c r="C405" s="1" t="s">
        <v>175</v>
      </c>
      <c r="D405">
        <v>1</v>
      </c>
      <c r="E405">
        <v>130</v>
      </c>
    </row>
    <row r="406" spans="1:5" hidden="1" x14ac:dyDescent="0.35">
      <c r="A406">
        <v>1228</v>
      </c>
      <c r="B406" t="s">
        <v>153</v>
      </c>
      <c r="C406" s="1" t="s">
        <v>160</v>
      </c>
      <c r="D406">
        <v>4</v>
      </c>
      <c r="E406">
        <v>-140</v>
      </c>
    </row>
    <row r="407" spans="1:5" hidden="1" x14ac:dyDescent="0.35">
      <c r="A407">
        <v>1228</v>
      </c>
      <c r="B407" t="s">
        <v>151</v>
      </c>
      <c r="C407" s="1" t="s">
        <v>178</v>
      </c>
      <c r="D407">
        <v>1</v>
      </c>
      <c r="E407">
        <v>-125</v>
      </c>
    </row>
    <row r="408" spans="1:5" hidden="1" x14ac:dyDescent="0.35">
      <c r="A408">
        <v>1228</v>
      </c>
      <c r="B408" t="s">
        <v>153</v>
      </c>
      <c r="C408" s="1" t="s">
        <v>159</v>
      </c>
      <c r="D408">
        <v>6</v>
      </c>
      <c r="E408">
        <v>115</v>
      </c>
    </row>
    <row r="409" spans="1:5" hidden="1" x14ac:dyDescent="0.35">
      <c r="A409">
        <v>1229</v>
      </c>
      <c r="B409" t="s">
        <v>151</v>
      </c>
      <c r="C409" s="1" t="s">
        <v>165</v>
      </c>
      <c r="D409">
        <v>1</v>
      </c>
      <c r="E409">
        <v>170</v>
      </c>
    </row>
    <row r="410" spans="1:5" hidden="1" x14ac:dyDescent="0.35">
      <c r="A410">
        <v>1229</v>
      </c>
      <c r="B410" t="s">
        <v>153</v>
      </c>
      <c r="C410" s="1" t="s">
        <v>156</v>
      </c>
      <c r="D410">
        <v>4</v>
      </c>
      <c r="E410">
        <v>-190</v>
      </c>
    </row>
    <row r="411" spans="1:5" hidden="1" x14ac:dyDescent="0.35">
      <c r="A411">
        <v>1229</v>
      </c>
      <c r="B411" t="s">
        <v>151</v>
      </c>
      <c r="C411" s="1" t="s">
        <v>177</v>
      </c>
      <c r="D411">
        <v>3</v>
      </c>
      <c r="E411">
        <v>135</v>
      </c>
    </row>
    <row r="412" spans="1:5" hidden="1" x14ac:dyDescent="0.35">
      <c r="A412">
        <v>1229</v>
      </c>
      <c r="B412" t="s">
        <v>153</v>
      </c>
      <c r="C412" s="1" t="s">
        <v>179</v>
      </c>
      <c r="D412">
        <v>2</v>
      </c>
      <c r="E412">
        <v>-150</v>
      </c>
    </row>
    <row r="413" spans="1:5" hidden="1" x14ac:dyDescent="0.35">
      <c r="A413">
        <v>1229</v>
      </c>
      <c r="B413" t="s">
        <v>151</v>
      </c>
      <c r="C413" s="1" t="s">
        <v>181</v>
      </c>
      <c r="D413">
        <v>4</v>
      </c>
      <c r="E413">
        <v>120</v>
      </c>
    </row>
    <row r="414" spans="1:5" hidden="1" x14ac:dyDescent="0.35">
      <c r="A414">
        <v>1229</v>
      </c>
      <c r="B414" t="s">
        <v>153</v>
      </c>
      <c r="C414" s="1" t="s">
        <v>152</v>
      </c>
      <c r="D414">
        <v>3</v>
      </c>
      <c r="E414">
        <v>-130</v>
      </c>
    </row>
    <row r="415" spans="1:5" hidden="1" x14ac:dyDescent="0.35">
      <c r="A415">
        <v>1229</v>
      </c>
      <c r="B415" t="s">
        <v>151</v>
      </c>
      <c r="C415" s="1" t="s">
        <v>180</v>
      </c>
      <c r="D415">
        <v>3</v>
      </c>
      <c r="E415">
        <v>100</v>
      </c>
    </row>
    <row r="416" spans="1:5" hidden="1" x14ac:dyDescent="0.35">
      <c r="A416">
        <v>1229</v>
      </c>
      <c r="B416" t="s">
        <v>153</v>
      </c>
      <c r="C416" s="1" t="s">
        <v>169</v>
      </c>
      <c r="D416">
        <v>1</v>
      </c>
      <c r="E416">
        <v>-110</v>
      </c>
    </row>
    <row r="417" spans="1:5" hidden="1" x14ac:dyDescent="0.35">
      <c r="A417">
        <v>1229</v>
      </c>
      <c r="B417" t="s">
        <v>151</v>
      </c>
      <c r="C417" s="1" t="s">
        <v>163</v>
      </c>
      <c r="D417">
        <v>5</v>
      </c>
      <c r="E417">
        <v>110</v>
      </c>
    </row>
    <row r="418" spans="1:5" hidden="1" x14ac:dyDescent="0.35">
      <c r="A418">
        <v>1229</v>
      </c>
      <c r="B418" t="s">
        <v>153</v>
      </c>
      <c r="C418" s="1" t="s">
        <v>161</v>
      </c>
      <c r="D418">
        <v>6</v>
      </c>
      <c r="E418">
        <v>-120</v>
      </c>
    </row>
    <row r="419" spans="1:5" hidden="1" x14ac:dyDescent="0.35">
      <c r="A419">
        <v>1229</v>
      </c>
      <c r="B419" t="s">
        <v>151</v>
      </c>
      <c r="C419" s="1" t="s">
        <v>167</v>
      </c>
      <c r="D419">
        <v>2</v>
      </c>
      <c r="E419">
        <v>195</v>
      </c>
    </row>
    <row r="420" spans="1:5" hidden="1" x14ac:dyDescent="0.35">
      <c r="A420">
        <v>1229</v>
      </c>
      <c r="B420" t="s">
        <v>153</v>
      </c>
      <c r="C420" s="1" t="s">
        <v>171</v>
      </c>
      <c r="D420">
        <v>3</v>
      </c>
      <c r="E420">
        <v>-215</v>
      </c>
    </row>
    <row r="421" spans="1:5" hidden="1" x14ac:dyDescent="0.35">
      <c r="A421">
        <v>1229</v>
      </c>
      <c r="B421" t="s">
        <v>151</v>
      </c>
      <c r="C421" s="1" t="s">
        <v>182</v>
      </c>
      <c r="D421">
        <v>1</v>
      </c>
      <c r="E421">
        <v>330</v>
      </c>
    </row>
    <row r="422" spans="1:5" hidden="1" x14ac:dyDescent="0.35">
      <c r="A422">
        <v>1229</v>
      </c>
      <c r="B422" t="s">
        <v>153</v>
      </c>
      <c r="C422" s="1" t="s">
        <v>162</v>
      </c>
      <c r="D422">
        <v>2</v>
      </c>
      <c r="E422">
        <v>-400</v>
      </c>
    </row>
    <row r="423" spans="1:5" hidden="1" x14ac:dyDescent="0.35">
      <c r="A423">
        <v>1229</v>
      </c>
      <c r="B423" t="s">
        <v>151</v>
      </c>
      <c r="C423" s="1" t="s">
        <v>172</v>
      </c>
      <c r="D423">
        <v>4</v>
      </c>
      <c r="E423">
        <v>105</v>
      </c>
    </row>
    <row r="424" spans="1:5" hidden="1" x14ac:dyDescent="0.35">
      <c r="A424">
        <v>1229</v>
      </c>
      <c r="B424" t="s">
        <v>153</v>
      </c>
      <c r="C424" s="1" t="s">
        <v>175</v>
      </c>
      <c r="D424">
        <v>2</v>
      </c>
      <c r="E424">
        <v>-115</v>
      </c>
    </row>
    <row r="425" spans="1:5" hidden="1" x14ac:dyDescent="0.35">
      <c r="A425">
        <v>1229</v>
      </c>
      <c r="B425" t="s">
        <v>151</v>
      </c>
      <c r="C425" s="1" t="s">
        <v>178</v>
      </c>
      <c r="D425">
        <v>2</v>
      </c>
      <c r="E425">
        <v>100</v>
      </c>
    </row>
    <row r="426" spans="1:5" hidden="1" x14ac:dyDescent="0.35">
      <c r="A426">
        <v>1229</v>
      </c>
      <c r="B426" t="s">
        <v>153</v>
      </c>
      <c r="C426" s="1" t="s">
        <v>176</v>
      </c>
      <c r="D426">
        <v>1</v>
      </c>
      <c r="E426">
        <v>-110</v>
      </c>
    </row>
    <row r="427" spans="1:5" hidden="1" x14ac:dyDescent="0.35">
      <c r="A427">
        <v>1229</v>
      </c>
      <c r="B427" t="s">
        <v>151</v>
      </c>
      <c r="C427" s="1" t="s">
        <v>157</v>
      </c>
      <c r="D427">
        <v>5</v>
      </c>
      <c r="E427">
        <v>170</v>
      </c>
    </row>
    <row r="428" spans="1:5" hidden="1" x14ac:dyDescent="0.35">
      <c r="A428">
        <v>1229</v>
      </c>
      <c r="B428" t="s">
        <v>153</v>
      </c>
      <c r="C428" s="1" t="s">
        <v>173</v>
      </c>
      <c r="D428">
        <v>2</v>
      </c>
      <c r="E428">
        <v>-190</v>
      </c>
    </row>
    <row r="429" spans="1:5" hidden="1" x14ac:dyDescent="0.35">
      <c r="A429">
        <v>1230</v>
      </c>
      <c r="B429" t="s">
        <v>151</v>
      </c>
      <c r="C429" s="1" t="s">
        <v>152</v>
      </c>
      <c r="D429">
        <v>2</v>
      </c>
      <c r="E429">
        <v>250</v>
      </c>
    </row>
    <row r="430" spans="1:5" hidden="1" x14ac:dyDescent="0.35">
      <c r="A430">
        <v>1230</v>
      </c>
      <c r="B430" t="s">
        <v>153</v>
      </c>
      <c r="C430" s="1" t="s">
        <v>168</v>
      </c>
      <c r="D430">
        <v>5</v>
      </c>
      <c r="E430">
        <v>-290</v>
      </c>
    </row>
    <row r="431" spans="1:5" hidden="1" x14ac:dyDescent="0.35">
      <c r="A431">
        <v>1231</v>
      </c>
      <c r="B431" t="s">
        <v>151</v>
      </c>
      <c r="C431" s="1" t="s">
        <v>180</v>
      </c>
      <c r="D431">
        <v>4</v>
      </c>
      <c r="E431">
        <v>155</v>
      </c>
    </row>
    <row r="432" spans="1:5" hidden="1" x14ac:dyDescent="0.35">
      <c r="A432">
        <v>1231</v>
      </c>
      <c r="B432" t="s">
        <v>153</v>
      </c>
      <c r="C432" s="1" t="s">
        <v>155</v>
      </c>
      <c r="D432">
        <v>3</v>
      </c>
      <c r="E432">
        <v>-170</v>
      </c>
    </row>
    <row r="433" spans="1:5" hidden="1" x14ac:dyDescent="0.35">
      <c r="A433">
        <v>1231</v>
      </c>
      <c r="B433" t="s">
        <v>151</v>
      </c>
      <c r="C433" s="1" t="s">
        <v>171</v>
      </c>
      <c r="D433">
        <v>2</v>
      </c>
      <c r="E433">
        <v>-185</v>
      </c>
    </row>
    <row r="434" spans="1:5" hidden="1" x14ac:dyDescent="0.35">
      <c r="A434">
        <v>1231</v>
      </c>
      <c r="B434" t="s">
        <v>153</v>
      </c>
      <c r="C434" s="1" t="s">
        <v>181</v>
      </c>
      <c r="D434">
        <v>3</v>
      </c>
      <c r="E434">
        <v>165</v>
      </c>
    </row>
    <row r="435" spans="1:5" hidden="1" x14ac:dyDescent="0.35">
      <c r="A435">
        <v>1231</v>
      </c>
      <c r="B435" t="s">
        <v>151</v>
      </c>
      <c r="C435" s="1" t="s">
        <v>176</v>
      </c>
      <c r="D435">
        <v>2</v>
      </c>
      <c r="E435">
        <v>200</v>
      </c>
    </row>
    <row r="436" spans="1:5" hidden="1" x14ac:dyDescent="0.35">
      <c r="A436">
        <v>1231</v>
      </c>
      <c r="B436" t="s">
        <v>153</v>
      </c>
      <c r="C436" s="1" t="s">
        <v>160</v>
      </c>
      <c r="D436">
        <v>5</v>
      </c>
      <c r="E436">
        <v>-220</v>
      </c>
    </row>
    <row r="437" spans="1:5" hidden="1" x14ac:dyDescent="0.35">
      <c r="A437">
        <v>1231</v>
      </c>
      <c r="B437" t="s">
        <v>151</v>
      </c>
      <c r="C437" s="1" t="s">
        <v>154</v>
      </c>
      <c r="D437">
        <v>4</v>
      </c>
      <c r="E437">
        <v>-130</v>
      </c>
    </row>
    <row r="438" spans="1:5" hidden="1" x14ac:dyDescent="0.35">
      <c r="A438">
        <v>1231</v>
      </c>
      <c r="B438" t="s">
        <v>153</v>
      </c>
      <c r="C438" s="1" t="s">
        <v>169</v>
      </c>
      <c r="D438">
        <v>1</v>
      </c>
      <c r="E438">
        <v>120</v>
      </c>
    </row>
    <row r="439" spans="1:5" hidden="1" x14ac:dyDescent="0.35">
      <c r="A439">
        <v>1231</v>
      </c>
      <c r="B439" t="s">
        <v>151</v>
      </c>
      <c r="C439" s="1" t="s">
        <v>163</v>
      </c>
      <c r="D439">
        <v>1</v>
      </c>
      <c r="E439">
        <v>155</v>
      </c>
    </row>
    <row r="440" spans="1:5" hidden="1" x14ac:dyDescent="0.35">
      <c r="A440">
        <v>1231</v>
      </c>
      <c r="B440" t="s">
        <v>153</v>
      </c>
      <c r="C440" s="1" t="s">
        <v>164</v>
      </c>
      <c r="D440">
        <v>3</v>
      </c>
      <c r="E440">
        <v>-170</v>
      </c>
    </row>
    <row r="441" spans="1:5" hidden="1" x14ac:dyDescent="0.35">
      <c r="A441">
        <v>1231</v>
      </c>
      <c r="B441" t="s">
        <v>151</v>
      </c>
      <c r="C441" s="1" t="s">
        <v>162</v>
      </c>
      <c r="D441">
        <v>6</v>
      </c>
      <c r="E441">
        <v>-165</v>
      </c>
    </row>
    <row r="442" spans="1:5" hidden="1" x14ac:dyDescent="0.35">
      <c r="A442">
        <v>1231</v>
      </c>
      <c r="B442" t="s">
        <v>153</v>
      </c>
      <c r="C442" s="1" t="s">
        <v>167</v>
      </c>
      <c r="D442">
        <v>4</v>
      </c>
      <c r="E442">
        <v>150</v>
      </c>
    </row>
    <row r="443" spans="1:5" hidden="1" x14ac:dyDescent="0.35">
      <c r="A443">
        <v>1231</v>
      </c>
      <c r="B443" t="s">
        <v>151</v>
      </c>
      <c r="C443" s="1" t="s">
        <v>161</v>
      </c>
      <c r="D443">
        <v>1</v>
      </c>
      <c r="E443">
        <v>-110</v>
      </c>
    </row>
    <row r="444" spans="1:5" hidden="1" x14ac:dyDescent="0.35">
      <c r="A444">
        <v>1231</v>
      </c>
      <c r="B444" t="s">
        <v>153</v>
      </c>
      <c r="C444" s="1" t="s">
        <v>179</v>
      </c>
      <c r="D444">
        <v>4</v>
      </c>
      <c r="E444">
        <v>100</v>
      </c>
    </row>
    <row r="445" spans="1:5" hidden="1" x14ac:dyDescent="0.35">
      <c r="A445">
        <v>1231</v>
      </c>
      <c r="B445" t="s">
        <v>151</v>
      </c>
      <c r="C445" s="1" t="s">
        <v>159</v>
      </c>
      <c r="D445">
        <v>0</v>
      </c>
      <c r="E445">
        <v>-170</v>
      </c>
    </row>
    <row r="446" spans="1:5" hidden="1" x14ac:dyDescent="0.35">
      <c r="A446">
        <v>1231</v>
      </c>
      <c r="B446" t="s">
        <v>153</v>
      </c>
      <c r="C446" s="1" t="s">
        <v>182</v>
      </c>
      <c r="D446">
        <v>2</v>
      </c>
      <c r="E446">
        <v>155</v>
      </c>
    </row>
    <row r="447" spans="1:5" hidden="1" x14ac:dyDescent="0.35">
      <c r="A447">
        <v>1231</v>
      </c>
      <c r="B447" t="s">
        <v>151</v>
      </c>
      <c r="C447" s="1" t="s">
        <v>165</v>
      </c>
      <c r="D447">
        <v>7</v>
      </c>
      <c r="E447">
        <v>190</v>
      </c>
    </row>
    <row r="448" spans="1:5" hidden="1" x14ac:dyDescent="0.35">
      <c r="A448">
        <v>1231</v>
      </c>
      <c r="B448" t="s">
        <v>153</v>
      </c>
      <c r="C448" s="1" t="s">
        <v>174</v>
      </c>
      <c r="D448">
        <v>4</v>
      </c>
      <c r="E448">
        <v>-210</v>
      </c>
    </row>
    <row r="449" spans="1:5" hidden="1" x14ac:dyDescent="0.35">
      <c r="A449">
        <v>1231</v>
      </c>
      <c r="B449" t="s">
        <v>151</v>
      </c>
      <c r="C449" s="1" t="s">
        <v>156</v>
      </c>
      <c r="D449">
        <v>1</v>
      </c>
      <c r="E449">
        <v>-115</v>
      </c>
    </row>
    <row r="450" spans="1:5" hidden="1" x14ac:dyDescent="0.35">
      <c r="A450">
        <v>1231</v>
      </c>
      <c r="B450" t="s">
        <v>153</v>
      </c>
      <c r="C450" s="1" t="s">
        <v>175</v>
      </c>
      <c r="D450">
        <v>3</v>
      </c>
      <c r="E450">
        <v>105</v>
      </c>
    </row>
    <row r="451" spans="1:5" hidden="1" x14ac:dyDescent="0.35">
      <c r="A451">
        <v>1231</v>
      </c>
      <c r="B451" t="s">
        <v>151</v>
      </c>
      <c r="C451" s="1" t="s">
        <v>177</v>
      </c>
      <c r="D451">
        <v>5</v>
      </c>
      <c r="E451">
        <v>165</v>
      </c>
    </row>
    <row r="452" spans="1:5" hidden="1" x14ac:dyDescent="0.35">
      <c r="A452">
        <v>1231</v>
      </c>
      <c r="B452" t="s">
        <v>153</v>
      </c>
      <c r="C452" s="1" t="s">
        <v>173</v>
      </c>
      <c r="D452">
        <v>3</v>
      </c>
      <c r="E452">
        <v>-185</v>
      </c>
    </row>
    <row r="453" spans="1:5" hidden="1" x14ac:dyDescent="0.35">
      <c r="A453">
        <v>1231</v>
      </c>
      <c r="B453" t="s">
        <v>151</v>
      </c>
      <c r="C453" s="1" t="s">
        <v>178</v>
      </c>
      <c r="D453">
        <v>3</v>
      </c>
      <c r="E453">
        <v>-115</v>
      </c>
    </row>
    <row r="454" spans="1:5" hidden="1" x14ac:dyDescent="0.35">
      <c r="A454">
        <v>1231</v>
      </c>
      <c r="B454" t="s">
        <v>153</v>
      </c>
      <c r="C454" s="1" t="s">
        <v>183</v>
      </c>
      <c r="D454">
        <v>5</v>
      </c>
      <c r="E454">
        <v>105</v>
      </c>
    </row>
    <row r="455" spans="1:5" hidden="1" x14ac:dyDescent="0.35">
      <c r="A455">
        <v>1231</v>
      </c>
      <c r="B455" t="s">
        <v>151</v>
      </c>
      <c r="C455" s="1" t="s">
        <v>166</v>
      </c>
      <c r="D455">
        <v>5</v>
      </c>
      <c r="E455">
        <v>115</v>
      </c>
    </row>
    <row r="456" spans="1:5" hidden="1" x14ac:dyDescent="0.35">
      <c r="A456">
        <v>1231</v>
      </c>
      <c r="B456" t="s">
        <v>153</v>
      </c>
      <c r="C456" s="1" t="s">
        <v>158</v>
      </c>
      <c r="D456">
        <v>7</v>
      </c>
      <c r="E456">
        <v>-125</v>
      </c>
    </row>
    <row r="457" spans="1:5" hidden="1" x14ac:dyDescent="0.35">
      <c r="A457">
        <v>101</v>
      </c>
      <c r="B457" t="s">
        <v>151</v>
      </c>
      <c r="C457" s="1" t="s">
        <v>170</v>
      </c>
      <c r="D457">
        <v>2</v>
      </c>
      <c r="E457">
        <v>110</v>
      </c>
    </row>
    <row r="458" spans="1:5" hidden="1" x14ac:dyDescent="0.35">
      <c r="A458">
        <v>101</v>
      </c>
      <c r="B458" t="s">
        <v>153</v>
      </c>
      <c r="C458" s="1" t="s">
        <v>172</v>
      </c>
      <c r="D458">
        <v>4</v>
      </c>
      <c r="E458">
        <v>-120</v>
      </c>
    </row>
    <row r="459" spans="1:5" hidden="1" x14ac:dyDescent="0.35">
      <c r="A459">
        <v>102</v>
      </c>
      <c r="B459" t="s">
        <v>151</v>
      </c>
      <c r="C459" s="1" t="s">
        <v>159</v>
      </c>
      <c r="D459">
        <v>3</v>
      </c>
      <c r="E459">
        <v>160</v>
      </c>
    </row>
    <row r="460" spans="1:5" hidden="1" x14ac:dyDescent="0.35">
      <c r="A460">
        <v>102</v>
      </c>
      <c r="B460" t="s">
        <v>153</v>
      </c>
      <c r="C460" s="1" t="s">
        <v>168</v>
      </c>
      <c r="D460">
        <v>2</v>
      </c>
      <c r="E460">
        <v>-180</v>
      </c>
    </row>
    <row r="461" spans="1:5" hidden="1" x14ac:dyDescent="0.35">
      <c r="A461">
        <v>102</v>
      </c>
      <c r="B461" t="s">
        <v>151</v>
      </c>
      <c r="C461" s="1" t="s">
        <v>158</v>
      </c>
      <c r="D461">
        <v>2</v>
      </c>
      <c r="E461">
        <v>108</v>
      </c>
    </row>
    <row r="462" spans="1:5" hidden="1" x14ac:dyDescent="0.35">
      <c r="A462">
        <v>102</v>
      </c>
      <c r="B462" t="s">
        <v>153</v>
      </c>
      <c r="C462" s="1" t="s">
        <v>167</v>
      </c>
      <c r="D462">
        <v>3</v>
      </c>
      <c r="E462">
        <v>-118</v>
      </c>
    </row>
    <row r="463" spans="1:5" hidden="1" x14ac:dyDescent="0.35">
      <c r="A463">
        <v>102</v>
      </c>
      <c r="B463" t="s">
        <v>151</v>
      </c>
      <c r="C463" s="1" t="s">
        <v>181</v>
      </c>
      <c r="D463">
        <v>2</v>
      </c>
      <c r="E463">
        <v>190</v>
      </c>
    </row>
    <row r="464" spans="1:5" hidden="1" x14ac:dyDescent="0.35">
      <c r="A464">
        <v>102</v>
      </c>
      <c r="B464" t="s">
        <v>153</v>
      </c>
      <c r="C464" s="1" t="s">
        <v>180</v>
      </c>
      <c r="D464">
        <v>1</v>
      </c>
      <c r="E464">
        <v>-210</v>
      </c>
    </row>
    <row r="465" spans="1:5" hidden="1" x14ac:dyDescent="0.35">
      <c r="A465">
        <v>102</v>
      </c>
      <c r="B465" t="s">
        <v>151</v>
      </c>
      <c r="C465" s="1" t="s">
        <v>179</v>
      </c>
      <c r="D465">
        <v>2</v>
      </c>
      <c r="E465">
        <v>190</v>
      </c>
    </row>
    <row r="466" spans="1:5" hidden="1" x14ac:dyDescent="0.35">
      <c r="A466">
        <v>102</v>
      </c>
      <c r="B466" t="s">
        <v>153</v>
      </c>
      <c r="C466" s="1" t="s">
        <v>171</v>
      </c>
      <c r="D466">
        <v>1</v>
      </c>
      <c r="E466">
        <v>-210</v>
      </c>
    </row>
    <row r="467" spans="1:5" hidden="1" x14ac:dyDescent="0.35">
      <c r="A467">
        <v>102</v>
      </c>
      <c r="B467" t="s">
        <v>151</v>
      </c>
      <c r="C467" s="1" t="s">
        <v>162</v>
      </c>
      <c r="D467">
        <v>2</v>
      </c>
      <c r="E467">
        <v>-137</v>
      </c>
    </row>
    <row r="468" spans="1:5" hidden="1" x14ac:dyDescent="0.35">
      <c r="A468">
        <v>102</v>
      </c>
      <c r="B468" t="s">
        <v>153</v>
      </c>
      <c r="C468" s="1" t="s">
        <v>163</v>
      </c>
      <c r="D468">
        <v>1</v>
      </c>
      <c r="E468">
        <v>127</v>
      </c>
    </row>
    <row r="469" spans="1:5" hidden="1" x14ac:dyDescent="0.35">
      <c r="A469">
        <v>102</v>
      </c>
      <c r="B469" t="s">
        <v>151</v>
      </c>
      <c r="C469" s="1" t="s">
        <v>161</v>
      </c>
      <c r="D469">
        <v>6</v>
      </c>
      <c r="E469">
        <v>-134</v>
      </c>
    </row>
    <row r="470" spans="1:5" hidden="1" x14ac:dyDescent="0.35">
      <c r="A470">
        <v>102</v>
      </c>
      <c r="B470" t="s">
        <v>153</v>
      </c>
      <c r="C470" s="1" t="s">
        <v>152</v>
      </c>
      <c r="D470">
        <v>3</v>
      </c>
      <c r="E470">
        <v>124</v>
      </c>
    </row>
    <row r="471" spans="1:5" hidden="1" x14ac:dyDescent="0.35">
      <c r="A471">
        <v>102</v>
      </c>
      <c r="B471" t="s">
        <v>151</v>
      </c>
      <c r="C471" s="1" t="s">
        <v>154</v>
      </c>
      <c r="D471">
        <v>6</v>
      </c>
      <c r="E471">
        <v>-135</v>
      </c>
    </row>
    <row r="472" spans="1:5" hidden="1" x14ac:dyDescent="0.35">
      <c r="A472">
        <v>102</v>
      </c>
      <c r="B472" t="s">
        <v>153</v>
      </c>
      <c r="C472" s="1" t="s">
        <v>165</v>
      </c>
      <c r="D472">
        <v>3</v>
      </c>
      <c r="E472">
        <v>125</v>
      </c>
    </row>
    <row r="473" spans="1:5" hidden="1" x14ac:dyDescent="0.35">
      <c r="A473">
        <v>102</v>
      </c>
      <c r="B473" t="s">
        <v>151</v>
      </c>
      <c r="C473" s="1" t="s">
        <v>166</v>
      </c>
      <c r="D473">
        <v>3</v>
      </c>
      <c r="E473">
        <v>145</v>
      </c>
    </row>
    <row r="474" spans="1:5" hidden="1" x14ac:dyDescent="0.35">
      <c r="A474">
        <v>102</v>
      </c>
      <c r="B474" t="s">
        <v>153</v>
      </c>
      <c r="C474" s="1" t="s">
        <v>173</v>
      </c>
      <c r="D474">
        <v>4</v>
      </c>
      <c r="E474">
        <v>-160</v>
      </c>
    </row>
    <row r="475" spans="1:5" hidden="1" x14ac:dyDescent="0.35">
      <c r="A475">
        <v>102</v>
      </c>
      <c r="B475" t="s">
        <v>151</v>
      </c>
      <c r="C475" s="1" t="s">
        <v>176</v>
      </c>
      <c r="D475">
        <v>2</v>
      </c>
      <c r="E475">
        <v>155</v>
      </c>
    </row>
    <row r="476" spans="1:5" hidden="1" x14ac:dyDescent="0.35">
      <c r="A476">
        <v>102</v>
      </c>
      <c r="B476" t="s">
        <v>153</v>
      </c>
      <c r="C476" s="1" t="s">
        <v>175</v>
      </c>
      <c r="D476">
        <v>4</v>
      </c>
      <c r="E476">
        <v>-170</v>
      </c>
    </row>
    <row r="477" spans="1:5" hidden="1" x14ac:dyDescent="0.35">
      <c r="A477">
        <v>102</v>
      </c>
      <c r="B477" t="s">
        <v>151</v>
      </c>
      <c r="C477" s="1" t="s">
        <v>156</v>
      </c>
      <c r="D477">
        <v>3</v>
      </c>
      <c r="E477">
        <v>120</v>
      </c>
    </row>
    <row r="478" spans="1:5" hidden="1" x14ac:dyDescent="0.35">
      <c r="A478">
        <v>102</v>
      </c>
      <c r="B478" t="s">
        <v>153</v>
      </c>
      <c r="C478" s="1" t="s">
        <v>174</v>
      </c>
      <c r="D478">
        <v>7</v>
      </c>
      <c r="E478">
        <v>-130</v>
      </c>
    </row>
    <row r="479" spans="1:5" hidden="1" x14ac:dyDescent="0.35">
      <c r="A479">
        <v>102</v>
      </c>
      <c r="B479" t="s">
        <v>151</v>
      </c>
      <c r="C479" s="1" t="s">
        <v>177</v>
      </c>
      <c r="D479">
        <v>5</v>
      </c>
      <c r="E479">
        <v>135</v>
      </c>
    </row>
    <row r="480" spans="1:5" hidden="1" x14ac:dyDescent="0.35">
      <c r="A480">
        <v>102</v>
      </c>
      <c r="B480" t="s">
        <v>153</v>
      </c>
      <c r="C480" s="1" t="s">
        <v>157</v>
      </c>
      <c r="D480">
        <v>7</v>
      </c>
      <c r="E480">
        <v>-150</v>
      </c>
    </row>
    <row r="481" spans="1:5" hidden="1" x14ac:dyDescent="0.35">
      <c r="A481">
        <v>102</v>
      </c>
      <c r="B481" t="s">
        <v>151</v>
      </c>
      <c r="C481" s="1" t="s">
        <v>178</v>
      </c>
      <c r="D481">
        <v>4</v>
      </c>
      <c r="E481">
        <v>160</v>
      </c>
    </row>
    <row r="482" spans="1:5" hidden="1" x14ac:dyDescent="0.35">
      <c r="A482">
        <v>102</v>
      </c>
      <c r="B482" t="s">
        <v>153</v>
      </c>
      <c r="C482" s="1" t="s">
        <v>160</v>
      </c>
      <c r="D482">
        <v>5</v>
      </c>
      <c r="E482">
        <v>-180</v>
      </c>
    </row>
    <row r="483" spans="1:5" hidden="1" x14ac:dyDescent="0.35">
      <c r="A483">
        <v>103</v>
      </c>
      <c r="B483" t="s">
        <v>151</v>
      </c>
      <c r="C483" s="1" t="s">
        <v>155</v>
      </c>
      <c r="D483">
        <v>4</v>
      </c>
      <c r="E483">
        <v>100</v>
      </c>
    </row>
    <row r="484" spans="1:5" hidden="1" x14ac:dyDescent="0.35">
      <c r="A484">
        <v>103</v>
      </c>
      <c r="B484" t="s">
        <v>153</v>
      </c>
      <c r="C484" s="1" t="s">
        <v>164</v>
      </c>
      <c r="D484">
        <v>3</v>
      </c>
      <c r="E484">
        <v>-110</v>
      </c>
    </row>
    <row r="485" spans="1:5" hidden="1" x14ac:dyDescent="0.35">
      <c r="A485">
        <v>103</v>
      </c>
      <c r="B485" t="s">
        <v>151</v>
      </c>
      <c r="C485" s="1" t="s">
        <v>182</v>
      </c>
      <c r="D485">
        <v>1</v>
      </c>
      <c r="E485">
        <v>280</v>
      </c>
    </row>
    <row r="486" spans="1:5" hidden="1" x14ac:dyDescent="0.35">
      <c r="A486">
        <v>103</v>
      </c>
      <c r="B486" t="s">
        <v>153</v>
      </c>
      <c r="C486" s="1" t="s">
        <v>172</v>
      </c>
      <c r="D486">
        <v>4</v>
      </c>
      <c r="E486">
        <v>-320</v>
      </c>
    </row>
    <row r="487" spans="1:5" hidden="1" x14ac:dyDescent="0.35">
      <c r="A487">
        <v>104</v>
      </c>
      <c r="B487" t="s">
        <v>151</v>
      </c>
      <c r="C487" s="1" t="s">
        <v>159</v>
      </c>
      <c r="D487">
        <v>3</v>
      </c>
      <c r="E487">
        <v>120</v>
      </c>
    </row>
    <row r="488" spans="1:5" hidden="1" x14ac:dyDescent="0.35">
      <c r="A488">
        <v>104</v>
      </c>
      <c r="B488" t="s">
        <v>153</v>
      </c>
      <c r="C488" s="1" t="s">
        <v>179</v>
      </c>
      <c r="D488">
        <v>2</v>
      </c>
      <c r="E488">
        <v>-130</v>
      </c>
    </row>
    <row r="489" spans="1:5" hidden="1" x14ac:dyDescent="0.35">
      <c r="A489">
        <v>104</v>
      </c>
      <c r="B489" t="s">
        <v>151</v>
      </c>
      <c r="C489" s="1" t="s">
        <v>158</v>
      </c>
      <c r="D489">
        <v>4</v>
      </c>
      <c r="E489">
        <v>195</v>
      </c>
    </row>
    <row r="490" spans="1:5" hidden="1" x14ac:dyDescent="0.35">
      <c r="A490">
        <v>104</v>
      </c>
      <c r="B490" t="s">
        <v>153</v>
      </c>
      <c r="C490" s="1" t="s">
        <v>171</v>
      </c>
      <c r="D490">
        <v>1</v>
      </c>
      <c r="E490">
        <v>-215</v>
      </c>
    </row>
    <row r="491" spans="1:5" hidden="1" x14ac:dyDescent="0.35">
      <c r="A491">
        <v>104</v>
      </c>
      <c r="B491" t="s">
        <v>151</v>
      </c>
      <c r="C491" s="1" t="s">
        <v>165</v>
      </c>
      <c r="D491">
        <v>2</v>
      </c>
      <c r="E491">
        <v>125</v>
      </c>
    </row>
    <row r="492" spans="1:5" hidden="1" x14ac:dyDescent="0.35">
      <c r="A492">
        <v>104</v>
      </c>
      <c r="B492" t="s">
        <v>153</v>
      </c>
      <c r="C492" s="1" t="s">
        <v>169</v>
      </c>
      <c r="D492">
        <v>3</v>
      </c>
      <c r="E492">
        <v>-135</v>
      </c>
    </row>
    <row r="493" spans="1:5" hidden="1" x14ac:dyDescent="0.35">
      <c r="A493">
        <v>104</v>
      </c>
      <c r="B493" t="s">
        <v>151</v>
      </c>
      <c r="C493" s="1" t="s">
        <v>156</v>
      </c>
      <c r="D493">
        <v>4</v>
      </c>
      <c r="E493">
        <v>120</v>
      </c>
    </row>
    <row r="494" spans="1:5" hidden="1" x14ac:dyDescent="0.35">
      <c r="A494">
        <v>104</v>
      </c>
      <c r="B494" t="s">
        <v>153</v>
      </c>
      <c r="C494" s="1" t="s">
        <v>160</v>
      </c>
      <c r="D494">
        <v>5</v>
      </c>
      <c r="E494">
        <v>-130</v>
      </c>
    </row>
    <row r="495" spans="1:5" hidden="1" x14ac:dyDescent="0.35">
      <c r="A495">
        <v>104</v>
      </c>
      <c r="B495" t="s">
        <v>151</v>
      </c>
      <c r="C495" s="1" t="s">
        <v>174</v>
      </c>
      <c r="D495">
        <v>5</v>
      </c>
      <c r="E495">
        <v>-195</v>
      </c>
    </row>
    <row r="496" spans="1:5" hidden="1" x14ac:dyDescent="0.35">
      <c r="A496">
        <v>104</v>
      </c>
      <c r="B496" t="s">
        <v>153</v>
      </c>
      <c r="C496" s="1" t="s">
        <v>181</v>
      </c>
      <c r="D496">
        <v>2</v>
      </c>
      <c r="E496">
        <v>175</v>
      </c>
    </row>
    <row r="497" spans="1:5" hidden="1" x14ac:dyDescent="0.35">
      <c r="A497">
        <v>104</v>
      </c>
      <c r="B497" t="s">
        <v>151</v>
      </c>
      <c r="C497" s="1" t="s">
        <v>162</v>
      </c>
      <c r="D497">
        <v>5</v>
      </c>
      <c r="E497">
        <v>-215</v>
      </c>
    </row>
    <row r="498" spans="1:5" hidden="1" x14ac:dyDescent="0.35">
      <c r="A498">
        <v>104</v>
      </c>
      <c r="B498" t="s">
        <v>153</v>
      </c>
      <c r="C498" s="1" t="s">
        <v>152</v>
      </c>
      <c r="D498">
        <v>3</v>
      </c>
      <c r="E498">
        <v>195</v>
      </c>
    </row>
    <row r="499" spans="1:5" hidden="1" x14ac:dyDescent="0.35">
      <c r="A499">
        <v>104</v>
      </c>
      <c r="B499" t="s">
        <v>151</v>
      </c>
      <c r="C499" s="1" t="s">
        <v>161</v>
      </c>
      <c r="D499">
        <v>2</v>
      </c>
      <c r="E499">
        <v>-125</v>
      </c>
    </row>
    <row r="500" spans="1:5" hidden="1" x14ac:dyDescent="0.35">
      <c r="A500">
        <v>104</v>
      </c>
      <c r="B500" t="s">
        <v>153</v>
      </c>
      <c r="C500" s="1" t="s">
        <v>167</v>
      </c>
      <c r="D500">
        <v>3</v>
      </c>
      <c r="E500">
        <v>115</v>
      </c>
    </row>
    <row r="501" spans="1:5" hidden="1" x14ac:dyDescent="0.35">
      <c r="A501">
        <v>104</v>
      </c>
      <c r="B501" t="s">
        <v>151</v>
      </c>
      <c r="C501" s="1" t="s">
        <v>180</v>
      </c>
      <c r="D501">
        <v>0</v>
      </c>
      <c r="E501">
        <v>135</v>
      </c>
    </row>
    <row r="502" spans="1:5" hidden="1" x14ac:dyDescent="0.35">
      <c r="A502">
        <v>104</v>
      </c>
      <c r="B502" t="s">
        <v>153</v>
      </c>
      <c r="C502" s="1" t="s">
        <v>154</v>
      </c>
      <c r="D502">
        <v>3</v>
      </c>
      <c r="E502">
        <v>-150</v>
      </c>
    </row>
    <row r="503" spans="1:5" hidden="1" x14ac:dyDescent="0.35">
      <c r="A503">
        <v>104</v>
      </c>
      <c r="B503" t="s">
        <v>151</v>
      </c>
      <c r="C503" s="1" t="s">
        <v>168</v>
      </c>
      <c r="D503">
        <v>3</v>
      </c>
      <c r="E503">
        <v>105</v>
      </c>
    </row>
    <row r="504" spans="1:5" hidden="1" x14ac:dyDescent="0.35">
      <c r="A504">
        <v>104</v>
      </c>
      <c r="B504" t="s">
        <v>153</v>
      </c>
      <c r="C504" s="1" t="s">
        <v>163</v>
      </c>
      <c r="D504">
        <v>2</v>
      </c>
      <c r="E504">
        <v>-115</v>
      </c>
    </row>
    <row r="505" spans="1:5" hidden="1" x14ac:dyDescent="0.35">
      <c r="A505">
        <v>104</v>
      </c>
      <c r="B505" t="s">
        <v>151</v>
      </c>
      <c r="C505" s="1" t="s">
        <v>178</v>
      </c>
      <c r="D505">
        <v>2</v>
      </c>
      <c r="E505">
        <v>120</v>
      </c>
    </row>
    <row r="506" spans="1:5" hidden="1" x14ac:dyDescent="0.35">
      <c r="A506">
        <v>104</v>
      </c>
      <c r="B506" t="s">
        <v>153</v>
      </c>
      <c r="C506" s="1" t="s">
        <v>175</v>
      </c>
      <c r="D506">
        <v>6</v>
      </c>
      <c r="E506">
        <v>-130</v>
      </c>
    </row>
    <row r="507" spans="1:5" hidden="1" x14ac:dyDescent="0.35">
      <c r="A507">
        <v>104</v>
      </c>
      <c r="B507" t="s">
        <v>151</v>
      </c>
      <c r="C507" s="1" t="s">
        <v>166</v>
      </c>
      <c r="D507">
        <v>1</v>
      </c>
      <c r="E507">
        <v>140</v>
      </c>
    </row>
    <row r="508" spans="1:5" hidden="1" x14ac:dyDescent="0.35">
      <c r="A508">
        <v>104</v>
      </c>
      <c r="B508" t="s">
        <v>153</v>
      </c>
      <c r="C508" s="1" t="s">
        <v>157</v>
      </c>
      <c r="D508">
        <v>2</v>
      </c>
      <c r="E508">
        <v>-155</v>
      </c>
    </row>
    <row r="509" spans="1:5" hidden="1" x14ac:dyDescent="0.35">
      <c r="A509">
        <v>104</v>
      </c>
      <c r="B509" t="s">
        <v>151</v>
      </c>
      <c r="C509" s="1" t="s">
        <v>170</v>
      </c>
      <c r="D509">
        <v>4</v>
      </c>
      <c r="E509">
        <v>-120</v>
      </c>
    </row>
    <row r="510" spans="1:5" hidden="1" x14ac:dyDescent="0.35">
      <c r="A510">
        <v>104</v>
      </c>
      <c r="B510" t="s">
        <v>153</v>
      </c>
      <c r="C510" s="1" t="s">
        <v>183</v>
      </c>
      <c r="D510">
        <v>1</v>
      </c>
      <c r="E510">
        <v>110</v>
      </c>
    </row>
    <row r="511" spans="1:5" hidden="1" x14ac:dyDescent="0.35">
      <c r="A511">
        <v>105</v>
      </c>
      <c r="B511" t="s">
        <v>151</v>
      </c>
      <c r="C511" s="1" t="s">
        <v>159</v>
      </c>
      <c r="D511">
        <v>4</v>
      </c>
      <c r="E511">
        <v>215</v>
      </c>
    </row>
    <row r="512" spans="1:5" hidden="1" x14ac:dyDescent="0.35">
      <c r="A512">
        <v>105</v>
      </c>
      <c r="B512" t="s">
        <v>153</v>
      </c>
      <c r="C512" s="1" t="s">
        <v>155</v>
      </c>
      <c r="D512">
        <v>5</v>
      </c>
      <c r="E512">
        <v>-245</v>
      </c>
    </row>
    <row r="513" spans="1:5" hidden="1" x14ac:dyDescent="0.35">
      <c r="A513">
        <v>105</v>
      </c>
      <c r="B513" t="s">
        <v>151</v>
      </c>
      <c r="C513" s="1" t="s">
        <v>161</v>
      </c>
      <c r="D513">
        <v>4</v>
      </c>
      <c r="E513">
        <v>145</v>
      </c>
    </row>
    <row r="514" spans="1:5" hidden="1" x14ac:dyDescent="0.35">
      <c r="A514">
        <v>105</v>
      </c>
      <c r="B514" t="s">
        <v>153</v>
      </c>
      <c r="C514" s="1" t="s">
        <v>168</v>
      </c>
      <c r="D514">
        <v>1</v>
      </c>
      <c r="E514">
        <v>-160</v>
      </c>
    </row>
    <row r="515" spans="1:5" hidden="1" x14ac:dyDescent="0.35">
      <c r="A515">
        <v>105</v>
      </c>
      <c r="B515" t="s">
        <v>151</v>
      </c>
      <c r="C515" s="1" t="s">
        <v>162</v>
      </c>
      <c r="D515">
        <v>3</v>
      </c>
      <c r="E515">
        <v>110</v>
      </c>
    </row>
    <row r="516" spans="1:5" hidden="1" x14ac:dyDescent="0.35">
      <c r="A516">
        <v>105</v>
      </c>
      <c r="B516" t="s">
        <v>153</v>
      </c>
      <c r="C516" s="1" t="s">
        <v>164</v>
      </c>
      <c r="D516">
        <v>1</v>
      </c>
      <c r="E516">
        <v>-120</v>
      </c>
    </row>
    <row r="517" spans="1:5" hidden="1" x14ac:dyDescent="0.35">
      <c r="A517">
        <v>105</v>
      </c>
      <c r="B517" t="s">
        <v>151</v>
      </c>
      <c r="C517" s="1" t="s">
        <v>173</v>
      </c>
      <c r="D517">
        <v>5</v>
      </c>
      <c r="E517">
        <v>-110</v>
      </c>
    </row>
    <row r="518" spans="1:5" hidden="1" x14ac:dyDescent="0.35">
      <c r="A518">
        <v>105</v>
      </c>
      <c r="B518" t="s">
        <v>153</v>
      </c>
      <c r="C518" s="1" t="s">
        <v>169</v>
      </c>
      <c r="D518">
        <v>4</v>
      </c>
      <c r="E518">
        <v>100</v>
      </c>
    </row>
    <row r="519" spans="1:5" hidden="1" x14ac:dyDescent="0.35">
      <c r="A519">
        <v>105</v>
      </c>
      <c r="B519" t="s">
        <v>151</v>
      </c>
      <c r="C519" s="1" t="s">
        <v>182</v>
      </c>
      <c r="D519">
        <v>2</v>
      </c>
      <c r="E519">
        <v>180</v>
      </c>
    </row>
    <row r="520" spans="1:5" hidden="1" x14ac:dyDescent="0.35">
      <c r="A520">
        <v>105</v>
      </c>
      <c r="B520" t="s">
        <v>153</v>
      </c>
      <c r="C520" s="1" t="s">
        <v>177</v>
      </c>
      <c r="D520">
        <v>4</v>
      </c>
      <c r="E520">
        <v>-200</v>
      </c>
    </row>
    <row r="521" spans="1:5" hidden="1" x14ac:dyDescent="0.35">
      <c r="A521">
        <v>105</v>
      </c>
      <c r="B521" t="s">
        <v>151</v>
      </c>
      <c r="C521" s="1" t="s">
        <v>170</v>
      </c>
      <c r="D521">
        <v>4</v>
      </c>
      <c r="E521">
        <v>-125</v>
      </c>
    </row>
    <row r="522" spans="1:5" hidden="1" x14ac:dyDescent="0.35">
      <c r="A522">
        <v>105</v>
      </c>
      <c r="B522" t="s">
        <v>153</v>
      </c>
      <c r="C522" s="1" t="s">
        <v>176</v>
      </c>
      <c r="D522">
        <v>5</v>
      </c>
      <c r="E522">
        <v>115</v>
      </c>
    </row>
    <row r="523" spans="1:5" hidden="1" x14ac:dyDescent="0.35">
      <c r="A523">
        <v>106</v>
      </c>
      <c r="B523" t="s">
        <v>151</v>
      </c>
      <c r="C523" s="1" t="s">
        <v>158</v>
      </c>
      <c r="D523">
        <v>6</v>
      </c>
      <c r="E523">
        <v>195</v>
      </c>
    </row>
    <row r="524" spans="1:5" hidden="1" x14ac:dyDescent="0.35">
      <c r="A524">
        <v>106</v>
      </c>
      <c r="B524" t="s">
        <v>153</v>
      </c>
      <c r="C524" s="1" t="s">
        <v>154</v>
      </c>
      <c r="D524">
        <v>4</v>
      </c>
      <c r="E524">
        <v>-215</v>
      </c>
    </row>
    <row r="525" spans="1:5" hidden="1" x14ac:dyDescent="0.35">
      <c r="A525">
        <v>106</v>
      </c>
      <c r="B525" t="s">
        <v>151</v>
      </c>
      <c r="C525" s="1" t="s">
        <v>174</v>
      </c>
      <c r="D525">
        <v>0</v>
      </c>
      <c r="E525">
        <v>-125</v>
      </c>
    </row>
    <row r="526" spans="1:5" hidden="1" x14ac:dyDescent="0.35">
      <c r="A526">
        <v>106</v>
      </c>
      <c r="B526" t="s">
        <v>153</v>
      </c>
      <c r="C526" s="1" t="s">
        <v>180</v>
      </c>
      <c r="D526">
        <v>1</v>
      </c>
      <c r="E526">
        <v>115</v>
      </c>
    </row>
    <row r="527" spans="1:5" hidden="1" x14ac:dyDescent="0.35">
      <c r="A527">
        <v>106</v>
      </c>
      <c r="B527" t="s">
        <v>151</v>
      </c>
      <c r="C527" s="1" t="s">
        <v>165</v>
      </c>
      <c r="D527">
        <v>3</v>
      </c>
      <c r="E527">
        <v>130</v>
      </c>
    </row>
    <row r="528" spans="1:5" hidden="1" x14ac:dyDescent="0.35">
      <c r="A528">
        <v>106</v>
      </c>
      <c r="B528" t="s">
        <v>153</v>
      </c>
      <c r="C528" s="1" t="s">
        <v>163</v>
      </c>
      <c r="D528">
        <v>2</v>
      </c>
      <c r="E528">
        <v>-140</v>
      </c>
    </row>
    <row r="529" spans="1:5" hidden="1" x14ac:dyDescent="0.35">
      <c r="A529">
        <v>106</v>
      </c>
      <c r="B529" t="s">
        <v>151</v>
      </c>
      <c r="C529" s="1" t="s">
        <v>179</v>
      </c>
      <c r="D529">
        <v>4</v>
      </c>
      <c r="E529">
        <v>100</v>
      </c>
    </row>
    <row r="530" spans="1:5" hidden="1" x14ac:dyDescent="0.35">
      <c r="A530">
        <v>106</v>
      </c>
      <c r="B530" t="s">
        <v>153</v>
      </c>
      <c r="C530" s="1" t="s">
        <v>183</v>
      </c>
      <c r="D530">
        <v>2</v>
      </c>
      <c r="E530">
        <v>-110</v>
      </c>
    </row>
    <row r="531" spans="1:5" hidden="1" x14ac:dyDescent="0.35">
      <c r="A531">
        <v>107</v>
      </c>
      <c r="B531" t="s">
        <v>151</v>
      </c>
      <c r="C531" s="1" t="s">
        <v>157</v>
      </c>
      <c r="D531">
        <v>2</v>
      </c>
      <c r="E531">
        <v>185</v>
      </c>
    </row>
    <row r="532" spans="1:5" hidden="1" x14ac:dyDescent="0.35">
      <c r="A532">
        <v>107</v>
      </c>
      <c r="B532" t="s">
        <v>153</v>
      </c>
      <c r="C532" s="1" t="s">
        <v>162</v>
      </c>
      <c r="D532">
        <v>9</v>
      </c>
      <c r="E532">
        <v>-205</v>
      </c>
    </row>
    <row r="533" spans="1:5" hidden="1" x14ac:dyDescent="0.35">
      <c r="A533">
        <v>107</v>
      </c>
      <c r="B533" t="s">
        <v>151</v>
      </c>
      <c r="C533" s="1" t="s">
        <v>175</v>
      </c>
      <c r="D533">
        <v>5</v>
      </c>
      <c r="E533">
        <v>120</v>
      </c>
    </row>
    <row r="534" spans="1:5" hidden="1" x14ac:dyDescent="0.35">
      <c r="A534">
        <v>107</v>
      </c>
      <c r="B534" t="s">
        <v>153</v>
      </c>
      <c r="C534" s="1" t="s">
        <v>161</v>
      </c>
      <c r="D534">
        <v>2</v>
      </c>
      <c r="E534">
        <v>-130</v>
      </c>
    </row>
    <row r="535" spans="1:5" hidden="1" x14ac:dyDescent="0.35">
      <c r="A535">
        <v>107</v>
      </c>
      <c r="B535" t="s">
        <v>151</v>
      </c>
      <c r="C535" s="1" t="s">
        <v>152</v>
      </c>
      <c r="D535">
        <v>1</v>
      </c>
      <c r="E535">
        <v>260</v>
      </c>
    </row>
    <row r="536" spans="1:5" hidden="1" x14ac:dyDescent="0.35">
      <c r="A536">
        <v>107</v>
      </c>
      <c r="B536" t="s">
        <v>153</v>
      </c>
      <c r="C536" s="1" t="s">
        <v>155</v>
      </c>
      <c r="D536">
        <v>6</v>
      </c>
      <c r="E536">
        <v>-300</v>
      </c>
    </row>
    <row r="537" spans="1:5" hidden="1" x14ac:dyDescent="0.35">
      <c r="A537">
        <v>107</v>
      </c>
      <c r="B537" t="s">
        <v>151</v>
      </c>
      <c r="C537" s="1" t="s">
        <v>178</v>
      </c>
      <c r="D537">
        <v>4</v>
      </c>
      <c r="E537">
        <v>145</v>
      </c>
    </row>
    <row r="538" spans="1:5" hidden="1" x14ac:dyDescent="0.35">
      <c r="A538">
        <v>107</v>
      </c>
      <c r="B538" t="s">
        <v>153</v>
      </c>
      <c r="C538" s="1" t="s">
        <v>164</v>
      </c>
      <c r="D538">
        <v>5</v>
      </c>
      <c r="E538">
        <v>-160</v>
      </c>
    </row>
    <row r="539" spans="1:5" hidden="1" x14ac:dyDescent="0.35">
      <c r="A539">
        <v>107</v>
      </c>
      <c r="B539" t="s">
        <v>151</v>
      </c>
      <c r="C539" s="1" t="s">
        <v>180</v>
      </c>
      <c r="D539">
        <v>4</v>
      </c>
      <c r="E539">
        <v>-115</v>
      </c>
    </row>
    <row r="540" spans="1:5" hidden="1" x14ac:dyDescent="0.35">
      <c r="A540">
        <v>107</v>
      </c>
      <c r="B540" t="s">
        <v>153</v>
      </c>
      <c r="C540" s="1" t="s">
        <v>181</v>
      </c>
      <c r="D540">
        <v>3</v>
      </c>
      <c r="E540">
        <v>105</v>
      </c>
    </row>
    <row r="541" spans="1:5" hidden="1" x14ac:dyDescent="0.35">
      <c r="A541">
        <v>107</v>
      </c>
      <c r="B541" t="s">
        <v>151</v>
      </c>
      <c r="C541" s="1" t="s">
        <v>163</v>
      </c>
      <c r="D541">
        <v>3</v>
      </c>
      <c r="E541">
        <v>-155</v>
      </c>
    </row>
    <row r="542" spans="1:5" hidden="1" x14ac:dyDescent="0.35">
      <c r="A542">
        <v>107</v>
      </c>
      <c r="B542" t="s">
        <v>153</v>
      </c>
      <c r="C542" s="1" t="s">
        <v>182</v>
      </c>
      <c r="D542">
        <v>4</v>
      </c>
      <c r="E542">
        <v>140</v>
      </c>
    </row>
    <row r="543" spans="1:5" hidden="1" x14ac:dyDescent="0.35">
      <c r="A543">
        <v>107</v>
      </c>
      <c r="B543" t="s">
        <v>151</v>
      </c>
      <c r="C543" s="1" t="s">
        <v>174</v>
      </c>
      <c r="D543">
        <v>3</v>
      </c>
      <c r="E543">
        <v>-135</v>
      </c>
    </row>
    <row r="544" spans="1:5" hidden="1" x14ac:dyDescent="0.35">
      <c r="A544">
        <v>107</v>
      </c>
      <c r="B544" t="s">
        <v>153</v>
      </c>
      <c r="C544" s="1" t="s">
        <v>166</v>
      </c>
      <c r="D544">
        <v>5</v>
      </c>
      <c r="E544">
        <v>125</v>
      </c>
    </row>
    <row r="545" spans="1:5" hidden="1" x14ac:dyDescent="0.35">
      <c r="A545">
        <v>107</v>
      </c>
      <c r="B545" t="s">
        <v>151</v>
      </c>
      <c r="C545" s="1" t="s">
        <v>171</v>
      </c>
      <c r="D545">
        <v>6</v>
      </c>
      <c r="E545">
        <v>-115</v>
      </c>
    </row>
    <row r="546" spans="1:5" hidden="1" x14ac:dyDescent="0.35">
      <c r="A546">
        <v>107</v>
      </c>
      <c r="B546" t="s">
        <v>153</v>
      </c>
      <c r="C546" s="1" t="s">
        <v>170</v>
      </c>
      <c r="D546">
        <v>2</v>
      </c>
      <c r="E546">
        <v>105</v>
      </c>
    </row>
    <row r="547" spans="1:5" hidden="1" x14ac:dyDescent="0.35">
      <c r="A547">
        <v>107</v>
      </c>
      <c r="B547" t="s">
        <v>151</v>
      </c>
      <c r="C547" s="1" t="s">
        <v>159</v>
      </c>
      <c r="D547">
        <v>2</v>
      </c>
      <c r="E547">
        <v>165</v>
      </c>
    </row>
    <row r="548" spans="1:5" hidden="1" x14ac:dyDescent="0.35">
      <c r="A548">
        <v>107</v>
      </c>
      <c r="B548" t="s">
        <v>153</v>
      </c>
      <c r="C548" s="1" t="s">
        <v>156</v>
      </c>
      <c r="D548">
        <v>3</v>
      </c>
      <c r="E548">
        <v>-185</v>
      </c>
    </row>
    <row r="549" spans="1:5" hidden="1" x14ac:dyDescent="0.35">
      <c r="A549">
        <v>107</v>
      </c>
      <c r="B549" t="s">
        <v>151</v>
      </c>
      <c r="C549" s="1" t="s">
        <v>173</v>
      </c>
      <c r="D549">
        <v>2</v>
      </c>
      <c r="E549">
        <v>-130</v>
      </c>
    </row>
    <row r="550" spans="1:5" hidden="1" x14ac:dyDescent="0.35">
      <c r="A550">
        <v>107</v>
      </c>
      <c r="B550" t="s">
        <v>153</v>
      </c>
      <c r="C550" s="1" t="s">
        <v>177</v>
      </c>
      <c r="D550">
        <v>1</v>
      </c>
      <c r="E550">
        <v>120</v>
      </c>
    </row>
    <row r="551" spans="1:5" hidden="1" x14ac:dyDescent="0.35">
      <c r="A551">
        <v>107</v>
      </c>
      <c r="B551" t="s">
        <v>151</v>
      </c>
      <c r="C551" s="1" t="s">
        <v>168</v>
      </c>
      <c r="D551">
        <v>4</v>
      </c>
      <c r="E551">
        <v>155</v>
      </c>
    </row>
    <row r="552" spans="1:5" hidden="1" x14ac:dyDescent="0.35">
      <c r="A552">
        <v>107</v>
      </c>
      <c r="B552" t="s">
        <v>153</v>
      </c>
      <c r="C552" s="1" t="s">
        <v>160</v>
      </c>
      <c r="D552">
        <v>3</v>
      </c>
      <c r="E552">
        <v>-170</v>
      </c>
    </row>
    <row r="553" spans="1:5" hidden="1" x14ac:dyDescent="0.35">
      <c r="A553">
        <v>107</v>
      </c>
      <c r="B553" t="s">
        <v>151</v>
      </c>
      <c r="C553" s="1" t="s">
        <v>179</v>
      </c>
      <c r="D553">
        <v>4</v>
      </c>
      <c r="E553">
        <v>110</v>
      </c>
    </row>
    <row r="554" spans="1:5" hidden="1" x14ac:dyDescent="0.35">
      <c r="A554">
        <v>107</v>
      </c>
      <c r="B554" t="s">
        <v>153</v>
      </c>
      <c r="C554" s="1" t="s">
        <v>176</v>
      </c>
      <c r="D554">
        <v>3</v>
      </c>
      <c r="E554">
        <v>-120</v>
      </c>
    </row>
    <row r="555" spans="1:5" hidden="1" x14ac:dyDescent="0.35">
      <c r="A555">
        <v>108</v>
      </c>
      <c r="B555" t="s">
        <v>151</v>
      </c>
      <c r="C555" s="1" t="s">
        <v>155</v>
      </c>
      <c r="D555">
        <v>2</v>
      </c>
      <c r="E555">
        <v>-125</v>
      </c>
    </row>
    <row r="556" spans="1:5" hidden="1" x14ac:dyDescent="0.35">
      <c r="A556">
        <v>108</v>
      </c>
      <c r="B556" t="s">
        <v>153</v>
      </c>
      <c r="C556" s="1" t="s">
        <v>178</v>
      </c>
      <c r="D556">
        <v>3</v>
      </c>
      <c r="E556">
        <v>115</v>
      </c>
    </row>
    <row r="557" spans="1:5" hidden="1" x14ac:dyDescent="0.35">
      <c r="A557">
        <v>108</v>
      </c>
      <c r="B557" t="s">
        <v>151</v>
      </c>
      <c r="C557" s="1" t="s">
        <v>165</v>
      </c>
      <c r="D557">
        <v>4</v>
      </c>
      <c r="E557">
        <v>170</v>
      </c>
    </row>
    <row r="558" spans="1:5" hidden="1" x14ac:dyDescent="0.35">
      <c r="A558">
        <v>108</v>
      </c>
      <c r="B558" t="s">
        <v>153</v>
      </c>
      <c r="C558" s="1" t="s">
        <v>154</v>
      </c>
      <c r="D558">
        <v>3</v>
      </c>
      <c r="E558">
        <v>-190</v>
      </c>
    </row>
    <row r="559" spans="1:5" hidden="1" x14ac:dyDescent="0.35">
      <c r="A559">
        <v>108</v>
      </c>
      <c r="B559" t="s">
        <v>151</v>
      </c>
      <c r="C559" s="1" t="s">
        <v>172</v>
      </c>
      <c r="D559">
        <v>2</v>
      </c>
      <c r="E559">
        <v>-130</v>
      </c>
    </row>
    <row r="560" spans="1:5" hidden="1" x14ac:dyDescent="0.35">
      <c r="A560">
        <v>108</v>
      </c>
      <c r="B560" t="s">
        <v>153</v>
      </c>
      <c r="C560" s="1" t="s">
        <v>183</v>
      </c>
      <c r="D560">
        <v>1</v>
      </c>
      <c r="E560">
        <v>120</v>
      </c>
    </row>
    <row r="561" spans="1:5" x14ac:dyDescent="0.35">
      <c r="A561" s="7">
        <v>109</v>
      </c>
      <c r="B561" t="s">
        <v>151</v>
      </c>
      <c r="C561" s="1" t="s">
        <v>175</v>
      </c>
      <c r="D561">
        <v>0</v>
      </c>
      <c r="E561">
        <v>180</v>
      </c>
    </row>
    <row r="562" spans="1:5" x14ac:dyDescent="0.35">
      <c r="A562" s="7">
        <v>109</v>
      </c>
      <c r="B562" t="s">
        <v>153</v>
      </c>
      <c r="C562" s="1" t="s">
        <v>162</v>
      </c>
      <c r="D562">
        <v>4</v>
      </c>
      <c r="E562">
        <v>-200</v>
      </c>
    </row>
    <row r="563" spans="1:5" x14ac:dyDescent="0.35">
      <c r="A563" s="7">
        <v>109</v>
      </c>
      <c r="B563" t="s">
        <v>151</v>
      </c>
      <c r="C563" s="1" t="s">
        <v>157</v>
      </c>
      <c r="D563">
        <v>2</v>
      </c>
      <c r="E563">
        <v>135</v>
      </c>
    </row>
    <row r="564" spans="1:5" x14ac:dyDescent="0.35">
      <c r="A564" s="7">
        <v>109</v>
      </c>
      <c r="B564" t="s">
        <v>153</v>
      </c>
      <c r="C564" s="1" t="s">
        <v>161</v>
      </c>
      <c r="D564">
        <v>5</v>
      </c>
      <c r="E564">
        <v>-150</v>
      </c>
    </row>
    <row r="565" spans="1:5" x14ac:dyDescent="0.35">
      <c r="A565" s="7">
        <v>109</v>
      </c>
      <c r="B565" t="s">
        <v>151</v>
      </c>
      <c r="C565" s="1" t="s">
        <v>158</v>
      </c>
      <c r="D565">
        <v>4</v>
      </c>
      <c r="E565">
        <v>115</v>
      </c>
    </row>
    <row r="566" spans="1:5" x14ac:dyDescent="0.35">
      <c r="A566" s="7">
        <v>109</v>
      </c>
      <c r="B566" t="s">
        <v>153</v>
      </c>
      <c r="C566" s="1" t="s">
        <v>163</v>
      </c>
      <c r="D566">
        <v>2</v>
      </c>
      <c r="E566">
        <v>-125</v>
      </c>
    </row>
    <row r="567" spans="1:5" x14ac:dyDescent="0.35">
      <c r="A567" s="7">
        <v>109</v>
      </c>
      <c r="B567" t="s">
        <v>151</v>
      </c>
      <c r="C567" s="1" t="s">
        <v>165</v>
      </c>
      <c r="D567">
        <v>4</v>
      </c>
      <c r="E567">
        <v>215</v>
      </c>
    </row>
    <row r="568" spans="1:5" x14ac:dyDescent="0.35">
      <c r="A568" s="7">
        <v>109</v>
      </c>
      <c r="B568" t="s">
        <v>153</v>
      </c>
      <c r="C568" s="1" t="s">
        <v>171</v>
      </c>
      <c r="D568">
        <v>5</v>
      </c>
      <c r="E568">
        <v>-245</v>
      </c>
    </row>
    <row r="569" spans="1:5" x14ac:dyDescent="0.35">
      <c r="A569" s="7">
        <v>109</v>
      </c>
      <c r="B569" t="s">
        <v>151</v>
      </c>
      <c r="C569" s="1" t="s">
        <v>181</v>
      </c>
      <c r="D569">
        <v>3</v>
      </c>
      <c r="E569">
        <v>135</v>
      </c>
    </row>
    <row r="570" spans="1:5" x14ac:dyDescent="0.35">
      <c r="A570" s="7">
        <v>109</v>
      </c>
      <c r="B570" t="s">
        <v>153</v>
      </c>
      <c r="C570" s="1" t="s">
        <v>166</v>
      </c>
      <c r="D570">
        <v>6</v>
      </c>
      <c r="E570">
        <v>-150</v>
      </c>
    </row>
    <row r="571" spans="1:5" x14ac:dyDescent="0.35">
      <c r="A571" s="7">
        <v>109</v>
      </c>
      <c r="B571" t="s">
        <v>151</v>
      </c>
      <c r="C571" s="1" t="s">
        <v>167</v>
      </c>
      <c r="D571">
        <v>1</v>
      </c>
      <c r="E571">
        <v>175</v>
      </c>
    </row>
    <row r="572" spans="1:5" x14ac:dyDescent="0.35">
      <c r="A572" s="7">
        <v>109</v>
      </c>
      <c r="B572" t="s">
        <v>153</v>
      </c>
      <c r="C572" s="1" t="s">
        <v>156</v>
      </c>
      <c r="D572">
        <v>5</v>
      </c>
      <c r="E572">
        <v>-195</v>
      </c>
    </row>
    <row r="573" spans="1:5" x14ac:dyDescent="0.35">
      <c r="A573" s="7">
        <v>109</v>
      </c>
      <c r="B573" t="s">
        <v>151</v>
      </c>
      <c r="C573" s="1" t="s">
        <v>170</v>
      </c>
      <c r="D573">
        <v>5</v>
      </c>
      <c r="E573">
        <v>-135</v>
      </c>
    </row>
    <row r="574" spans="1:5" x14ac:dyDescent="0.35">
      <c r="A574" s="7">
        <v>109</v>
      </c>
      <c r="B574" t="s">
        <v>153</v>
      </c>
      <c r="C574" s="1" t="s">
        <v>177</v>
      </c>
      <c r="D574">
        <v>2</v>
      </c>
      <c r="E574">
        <v>125</v>
      </c>
    </row>
    <row r="575" spans="1:5" x14ac:dyDescent="0.35">
      <c r="A575" s="7">
        <v>109</v>
      </c>
      <c r="B575" t="s">
        <v>151</v>
      </c>
      <c r="C575" s="1" t="s">
        <v>169</v>
      </c>
      <c r="D575">
        <v>1</v>
      </c>
      <c r="E575">
        <v>132</v>
      </c>
    </row>
    <row r="576" spans="1:5" x14ac:dyDescent="0.35">
      <c r="A576" s="7">
        <v>109</v>
      </c>
      <c r="B576" t="s">
        <v>153</v>
      </c>
      <c r="C576" s="1" t="s">
        <v>173</v>
      </c>
      <c r="D576">
        <v>2</v>
      </c>
      <c r="E576">
        <v>-145</v>
      </c>
    </row>
    <row r="577" spans="1:5" x14ac:dyDescent="0.35">
      <c r="A577" s="7">
        <v>109</v>
      </c>
      <c r="B577" t="s">
        <v>151</v>
      </c>
      <c r="C577" s="1" t="s">
        <v>183</v>
      </c>
      <c r="D577">
        <v>5</v>
      </c>
      <c r="E577">
        <v>230</v>
      </c>
    </row>
    <row r="578" spans="1:5" x14ac:dyDescent="0.35">
      <c r="A578" s="7">
        <v>109</v>
      </c>
      <c r="B578" t="s">
        <v>153</v>
      </c>
      <c r="C578" s="1" t="s">
        <v>160</v>
      </c>
      <c r="D578">
        <v>2</v>
      </c>
      <c r="E578">
        <v>-260</v>
      </c>
    </row>
    <row r="579" spans="1:5" x14ac:dyDescent="0.35">
      <c r="A579" s="7">
        <v>109</v>
      </c>
      <c r="B579" t="s">
        <v>151</v>
      </c>
      <c r="C579" s="1" t="s">
        <v>172</v>
      </c>
      <c r="D579">
        <v>3</v>
      </c>
      <c r="E579">
        <v>-125</v>
      </c>
    </row>
    <row r="580" spans="1:5" x14ac:dyDescent="0.35">
      <c r="A580" s="7">
        <v>109</v>
      </c>
      <c r="B580" t="s">
        <v>153</v>
      </c>
      <c r="C580" s="1" t="s">
        <v>176</v>
      </c>
      <c r="D580">
        <v>0</v>
      </c>
      <c r="E580">
        <v>115</v>
      </c>
    </row>
    <row r="581" spans="1:5" x14ac:dyDescent="0.35">
      <c r="A581" s="7">
        <v>109</v>
      </c>
      <c r="B581" t="s">
        <v>151</v>
      </c>
      <c r="C581" s="1" t="s">
        <v>179</v>
      </c>
      <c r="D581">
        <v>1</v>
      </c>
      <c r="E581">
        <v>112</v>
      </c>
    </row>
    <row r="582" spans="1:5" x14ac:dyDescent="0.35">
      <c r="A582" s="7">
        <v>109</v>
      </c>
      <c r="B582" t="s">
        <v>153</v>
      </c>
      <c r="C582" s="1" t="s">
        <v>159</v>
      </c>
      <c r="D582">
        <v>3</v>
      </c>
      <c r="E582">
        <v>-122</v>
      </c>
    </row>
    <row r="583" spans="1:5" x14ac:dyDescent="0.35">
      <c r="A583" s="18">
        <v>110</v>
      </c>
      <c r="B583" t="s">
        <v>151</v>
      </c>
      <c r="C583" s="1" t="s">
        <v>175</v>
      </c>
      <c r="D583">
        <v>0</v>
      </c>
      <c r="E583">
        <v>155</v>
      </c>
    </row>
    <row r="584" spans="1:5" x14ac:dyDescent="0.35">
      <c r="A584" s="18">
        <v>110</v>
      </c>
      <c r="B584" t="s">
        <v>153</v>
      </c>
      <c r="C584" s="1" t="s">
        <v>164</v>
      </c>
      <c r="D584">
        <v>3</v>
      </c>
      <c r="E584">
        <v>-170</v>
      </c>
    </row>
    <row r="585" spans="1:5" x14ac:dyDescent="0.35">
      <c r="A585" s="18">
        <v>110</v>
      </c>
      <c r="B585" t="s">
        <v>151</v>
      </c>
      <c r="C585" s="1" t="s">
        <v>152</v>
      </c>
      <c r="D585">
        <v>2</v>
      </c>
      <c r="E585">
        <v>-114</v>
      </c>
    </row>
    <row r="586" spans="1:5" x14ac:dyDescent="0.35">
      <c r="A586" s="18">
        <v>110</v>
      </c>
      <c r="B586" t="s">
        <v>153</v>
      </c>
      <c r="C586" s="1" t="s">
        <v>182</v>
      </c>
      <c r="D586">
        <v>3</v>
      </c>
      <c r="E586">
        <v>104</v>
      </c>
    </row>
    <row r="587" spans="1:5" x14ac:dyDescent="0.35">
      <c r="A587" s="18">
        <v>110</v>
      </c>
      <c r="B587" t="s">
        <v>151</v>
      </c>
      <c r="C587" s="1" t="s">
        <v>168</v>
      </c>
      <c r="D587">
        <v>4</v>
      </c>
      <c r="E587">
        <v>135</v>
      </c>
    </row>
    <row r="588" spans="1:5" x14ac:dyDescent="0.35">
      <c r="A588" s="18">
        <v>110</v>
      </c>
      <c r="B588" t="s">
        <v>153</v>
      </c>
      <c r="C588" s="1" t="s">
        <v>174</v>
      </c>
      <c r="D588">
        <v>3</v>
      </c>
      <c r="E588">
        <v>-150</v>
      </c>
    </row>
    <row r="589" spans="1:5" x14ac:dyDescent="0.35">
      <c r="A589" s="40">
        <v>111</v>
      </c>
      <c r="B589" t="s">
        <v>151</v>
      </c>
      <c r="C589" s="1" t="s">
        <v>157</v>
      </c>
      <c r="D589">
        <v>6</v>
      </c>
      <c r="E589">
        <v>-105</v>
      </c>
    </row>
    <row r="590" spans="1:5" x14ac:dyDescent="0.35">
      <c r="A590" s="40">
        <v>111</v>
      </c>
      <c r="B590" t="s">
        <v>153</v>
      </c>
      <c r="C590" s="1" t="s">
        <v>167</v>
      </c>
      <c r="D590">
        <v>3</v>
      </c>
      <c r="E590">
        <v>-105</v>
      </c>
    </row>
    <row r="591" spans="1:5" x14ac:dyDescent="0.35">
      <c r="A591" s="40">
        <v>111</v>
      </c>
      <c r="B591" t="s">
        <v>151</v>
      </c>
      <c r="C591" s="1" t="s">
        <v>183</v>
      </c>
      <c r="D591">
        <v>0</v>
      </c>
      <c r="E591">
        <v>195</v>
      </c>
    </row>
    <row r="592" spans="1:5" x14ac:dyDescent="0.35">
      <c r="A592" s="40">
        <v>111</v>
      </c>
      <c r="B592" t="s">
        <v>153</v>
      </c>
      <c r="C592" s="1" t="s">
        <v>164</v>
      </c>
      <c r="D592">
        <v>2</v>
      </c>
      <c r="E592">
        <v>-215</v>
      </c>
    </row>
    <row r="593" spans="1:5" x14ac:dyDescent="0.35">
      <c r="A593" s="40">
        <v>111</v>
      </c>
      <c r="B593" t="s">
        <v>151</v>
      </c>
      <c r="C593" s="1" t="s">
        <v>171</v>
      </c>
      <c r="D593">
        <v>3</v>
      </c>
      <c r="E593">
        <v>-130</v>
      </c>
    </row>
    <row r="594" spans="1:5" x14ac:dyDescent="0.35">
      <c r="A594" s="40">
        <v>111</v>
      </c>
      <c r="B594" t="s">
        <v>153</v>
      </c>
      <c r="C594" s="1" t="s">
        <v>180</v>
      </c>
      <c r="D594">
        <v>2</v>
      </c>
      <c r="E594">
        <v>120</v>
      </c>
    </row>
    <row r="595" spans="1:5" x14ac:dyDescent="0.35">
      <c r="A595" s="40">
        <v>111</v>
      </c>
      <c r="B595" t="s">
        <v>151</v>
      </c>
      <c r="C595" s="1" t="s">
        <v>163</v>
      </c>
      <c r="D595">
        <v>2</v>
      </c>
      <c r="E595">
        <v>-140</v>
      </c>
    </row>
    <row r="596" spans="1:5" x14ac:dyDescent="0.35">
      <c r="A596" s="40">
        <v>111</v>
      </c>
      <c r="B596" t="s">
        <v>153</v>
      </c>
      <c r="C596" s="1" t="s">
        <v>152</v>
      </c>
      <c r="D596">
        <v>1</v>
      </c>
      <c r="E596">
        <v>130</v>
      </c>
    </row>
    <row r="597" spans="1:5" x14ac:dyDescent="0.35">
      <c r="A597" s="40">
        <v>111</v>
      </c>
      <c r="B597" t="s">
        <v>151</v>
      </c>
      <c r="C597" s="1" t="s">
        <v>181</v>
      </c>
      <c r="D597">
        <v>5</v>
      </c>
      <c r="E597">
        <v>250</v>
      </c>
    </row>
    <row r="598" spans="1:5" x14ac:dyDescent="0.35">
      <c r="A598" s="40">
        <v>111</v>
      </c>
      <c r="B598" t="s">
        <v>153</v>
      </c>
      <c r="C598" s="1" t="s">
        <v>155</v>
      </c>
      <c r="D598">
        <v>1</v>
      </c>
      <c r="E598">
        <v>-290</v>
      </c>
    </row>
    <row r="599" spans="1:5" x14ac:dyDescent="0.35">
      <c r="A599" s="40">
        <v>111</v>
      </c>
      <c r="B599" t="s">
        <v>151</v>
      </c>
      <c r="C599" s="1" t="s">
        <v>162</v>
      </c>
      <c r="D599">
        <v>1</v>
      </c>
      <c r="E599">
        <v>-130</v>
      </c>
    </row>
    <row r="600" spans="1:5" x14ac:dyDescent="0.35">
      <c r="A600" s="40">
        <v>111</v>
      </c>
      <c r="B600" t="s">
        <v>153</v>
      </c>
      <c r="C600" s="1" t="s">
        <v>178</v>
      </c>
      <c r="D600">
        <v>0</v>
      </c>
      <c r="E600">
        <v>120</v>
      </c>
    </row>
    <row r="601" spans="1:5" x14ac:dyDescent="0.35">
      <c r="A601" s="40">
        <v>111</v>
      </c>
      <c r="B601" t="s">
        <v>151</v>
      </c>
      <c r="C601" s="1" t="s">
        <v>166</v>
      </c>
      <c r="D601">
        <v>2</v>
      </c>
      <c r="E601">
        <v>180</v>
      </c>
    </row>
    <row r="602" spans="1:5" x14ac:dyDescent="0.35">
      <c r="A602" s="40">
        <v>111</v>
      </c>
      <c r="B602" t="s">
        <v>153</v>
      </c>
      <c r="C602" s="1" t="s">
        <v>156</v>
      </c>
      <c r="D602">
        <v>5</v>
      </c>
      <c r="E602">
        <v>-200</v>
      </c>
    </row>
    <row r="603" spans="1:5" x14ac:dyDescent="0.35">
      <c r="A603" s="40">
        <v>111</v>
      </c>
      <c r="B603" t="s">
        <v>151</v>
      </c>
      <c r="C603" s="1" t="s">
        <v>176</v>
      </c>
      <c r="D603">
        <v>2</v>
      </c>
      <c r="E603">
        <v>115</v>
      </c>
    </row>
    <row r="604" spans="1:5" x14ac:dyDescent="0.35">
      <c r="A604" s="40">
        <v>111</v>
      </c>
      <c r="B604" t="s">
        <v>153</v>
      </c>
      <c r="C604" s="1" t="s">
        <v>177</v>
      </c>
      <c r="D604">
        <v>4</v>
      </c>
      <c r="E604">
        <v>-125</v>
      </c>
    </row>
    <row r="605" spans="1:5" x14ac:dyDescent="0.35">
      <c r="A605" s="40">
        <v>111</v>
      </c>
      <c r="B605" t="s">
        <v>151</v>
      </c>
      <c r="C605" s="1" t="s">
        <v>158</v>
      </c>
      <c r="D605">
        <v>3</v>
      </c>
      <c r="E605">
        <v>135</v>
      </c>
    </row>
    <row r="606" spans="1:5" x14ac:dyDescent="0.35">
      <c r="A606" s="40">
        <v>111</v>
      </c>
      <c r="B606" t="s">
        <v>153</v>
      </c>
      <c r="C606" s="1" t="s">
        <v>173</v>
      </c>
      <c r="D606">
        <v>4</v>
      </c>
      <c r="E606">
        <v>-150</v>
      </c>
    </row>
    <row r="607" spans="1:5" x14ac:dyDescent="0.35">
      <c r="A607" s="40">
        <v>111</v>
      </c>
      <c r="B607" t="s">
        <v>151</v>
      </c>
      <c r="C607" s="1" t="s">
        <v>179</v>
      </c>
      <c r="D607">
        <v>3</v>
      </c>
      <c r="E607">
        <v>190</v>
      </c>
    </row>
    <row r="608" spans="1:5" x14ac:dyDescent="0.35">
      <c r="A608" s="40">
        <v>111</v>
      </c>
      <c r="B608" t="s">
        <v>153</v>
      </c>
      <c r="C608" s="1" t="s">
        <v>160</v>
      </c>
      <c r="D608">
        <v>0</v>
      </c>
      <c r="E608">
        <v>-210</v>
      </c>
    </row>
    <row r="609" spans="1:5" x14ac:dyDescent="0.35">
      <c r="A609" s="40">
        <v>111</v>
      </c>
      <c r="B609" t="s">
        <v>151</v>
      </c>
      <c r="C609" s="1" t="s">
        <v>172</v>
      </c>
      <c r="D609">
        <v>1</v>
      </c>
      <c r="E609">
        <v>-115</v>
      </c>
    </row>
    <row r="610" spans="1:5" x14ac:dyDescent="0.35">
      <c r="A610" s="40">
        <v>111</v>
      </c>
      <c r="B610" t="s">
        <v>153</v>
      </c>
      <c r="C610" s="1" t="s">
        <v>159</v>
      </c>
      <c r="D610">
        <v>2</v>
      </c>
      <c r="E610">
        <v>105</v>
      </c>
    </row>
    <row r="611" spans="1:5" x14ac:dyDescent="0.35">
      <c r="A611">
        <v>112</v>
      </c>
      <c r="B611" t="s">
        <v>151</v>
      </c>
      <c r="C611" s="1" t="s">
        <v>170</v>
      </c>
      <c r="D611">
        <v>1</v>
      </c>
      <c r="E611">
        <v>-120</v>
      </c>
    </row>
    <row r="612" spans="1:5" x14ac:dyDescent="0.35">
      <c r="A612">
        <v>112</v>
      </c>
      <c r="B612" t="s">
        <v>153</v>
      </c>
      <c r="C612" s="1" t="s">
        <v>165</v>
      </c>
      <c r="D612">
        <v>0</v>
      </c>
      <c r="E612">
        <v>110</v>
      </c>
    </row>
    <row r="613" spans="1:5" x14ac:dyDescent="0.35">
      <c r="A613">
        <v>112</v>
      </c>
      <c r="B613" t="s">
        <v>151</v>
      </c>
      <c r="C613" s="1" t="s">
        <v>157</v>
      </c>
      <c r="D613">
        <v>4</v>
      </c>
      <c r="E613">
        <v>140</v>
      </c>
    </row>
    <row r="614" spans="1:5" x14ac:dyDescent="0.35">
      <c r="A614">
        <v>112</v>
      </c>
      <c r="B614" t="s">
        <v>153</v>
      </c>
      <c r="C614" s="1" t="s">
        <v>169</v>
      </c>
      <c r="D614">
        <v>1</v>
      </c>
      <c r="E614">
        <v>-155</v>
      </c>
    </row>
    <row r="615" spans="1:5" x14ac:dyDescent="0.35">
      <c r="A615">
        <v>112</v>
      </c>
      <c r="B615" t="s">
        <v>151</v>
      </c>
      <c r="C615" s="1" t="s">
        <v>167</v>
      </c>
      <c r="D615">
        <v>5</v>
      </c>
      <c r="E615">
        <v>-122</v>
      </c>
    </row>
    <row r="616" spans="1:5" x14ac:dyDescent="0.35">
      <c r="A616">
        <v>112</v>
      </c>
      <c r="B616" t="s">
        <v>153</v>
      </c>
      <c r="C616" s="1" t="s">
        <v>182</v>
      </c>
      <c r="D616">
        <v>1</v>
      </c>
      <c r="E616">
        <v>112</v>
      </c>
    </row>
    <row r="617" spans="1:5" x14ac:dyDescent="0.35">
      <c r="A617">
        <v>112</v>
      </c>
      <c r="B617" t="s">
        <v>151</v>
      </c>
      <c r="C617" s="1" t="s">
        <v>168</v>
      </c>
      <c r="D617">
        <v>4</v>
      </c>
      <c r="E617">
        <v>-110</v>
      </c>
    </row>
    <row r="618" spans="1:5" x14ac:dyDescent="0.35">
      <c r="A618">
        <v>112</v>
      </c>
      <c r="B618" t="s">
        <v>153</v>
      </c>
      <c r="C618" s="1" t="s">
        <v>175</v>
      </c>
      <c r="D618">
        <v>3</v>
      </c>
      <c r="E618">
        <v>100</v>
      </c>
    </row>
    <row r="619" spans="1:5" x14ac:dyDescent="0.35">
      <c r="A619">
        <v>112</v>
      </c>
      <c r="B619" t="s">
        <v>151</v>
      </c>
      <c r="C619" s="1" t="s">
        <v>154</v>
      </c>
      <c r="D619">
        <v>4</v>
      </c>
      <c r="E619">
        <v>-122</v>
      </c>
    </row>
    <row r="620" spans="1:5" x14ac:dyDescent="0.35">
      <c r="A620">
        <v>112</v>
      </c>
      <c r="B620" t="s">
        <v>153</v>
      </c>
      <c r="C620" s="1" t="s">
        <v>161</v>
      </c>
      <c r="D620">
        <v>8</v>
      </c>
      <c r="E620">
        <v>112</v>
      </c>
    </row>
    <row r="621" spans="1:5" x14ac:dyDescent="0.35">
      <c r="A621">
        <v>112</v>
      </c>
      <c r="B621" t="s">
        <v>151</v>
      </c>
      <c r="C621" s="1" t="s">
        <v>162</v>
      </c>
      <c r="D621">
        <v>1</v>
      </c>
      <c r="E621">
        <v>-205</v>
      </c>
    </row>
    <row r="622" spans="1:5" x14ac:dyDescent="0.35">
      <c r="A622">
        <v>112</v>
      </c>
      <c r="B622" t="s">
        <v>153</v>
      </c>
      <c r="C622" s="1" t="s">
        <v>181</v>
      </c>
      <c r="D622">
        <v>3</v>
      </c>
      <c r="E622">
        <v>185</v>
      </c>
    </row>
    <row r="623" spans="1:5" x14ac:dyDescent="0.35">
      <c r="A623">
        <v>113</v>
      </c>
      <c r="B623" t="s">
        <v>151</v>
      </c>
      <c r="C623" s="1" t="s">
        <v>164</v>
      </c>
      <c r="D623">
        <v>0</v>
      </c>
      <c r="E623">
        <v>125</v>
      </c>
    </row>
    <row r="624" spans="1:5" x14ac:dyDescent="0.35">
      <c r="A624">
        <v>113</v>
      </c>
      <c r="B624" t="s">
        <v>153</v>
      </c>
      <c r="C624" s="1" t="s">
        <v>155</v>
      </c>
      <c r="D624">
        <v>2</v>
      </c>
      <c r="E624">
        <v>-135</v>
      </c>
    </row>
    <row r="625" spans="1:5" x14ac:dyDescent="0.35">
      <c r="A625">
        <v>113</v>
      </c>
      <c r="B625" t="s">
        <v>151</v>
      </c>
      <c r="C625" s="1" t="s">
        <v>171</v>
      </c>
      <c r="D625">
        <v>5</v>
      </c>
      <c r="E625">
        <v>-123</v>
      </c>
    </row>
    <row r="626" spans="1:5" x14ac:dyDescent="0.35">
      <c r="A626">
        <v>113</v>
      </c>
      <c r="B626" t="s">
        <v>153</v>
      </c>
      <c r="C626" s="1" t="s">
        <v>178</v>
      </c>
      <c r="D626">
        <v>6</v>
      </c>
      <c r="E626">
        <v>113</v>
      </c>
    </row>
    <row r="627" spans="1:5" x14ac:dyDescent="0.35">
      <c r="A627">
        <v>113</v>
      </c>
      <c r="B627" t="s">
        <v>151</v>
      </c>
      <c r="C627" s="1" t="s">
        <v>180</v>
      </c>
      <c r="D627">
        <v>2</v>
      </c>
      <c r="E627">
        <v>-115</v>
      </c>
    </row>
    <row r="628" spans="1:5" x14ac:dyDescent="0.35">
      <c r="A628">
        <v>113</v>
      </c>
      <c r="B628" t="s">
        <v>153</v>
      </c>
      <c r="C628" s="1" t="s">
        <v>166</v>
      </c>
      <c r="D628">
        <v>6</v>
      </c>
      <c r="E628">
        <v>105</v>
      </c>
    </row>
    <row r="629" spans="1:5" x14ac:dyDescent="0.35">
      <c r="A629">
        <v>113</v>
      </c>
      <c r="B629" t="s">
        <v>151</v>
      </c>
      <c r="C629" s="1" t="s">
        <v>173</v>
      </c>
      <c r="D629">
        <v>0</v>
      </c>
      <c r="E629">
        <v>-102</v>
      </c>
    </row>
    <row r="630" spans="1:5" x14ac:dyDescent="0.35">
      <c r="A630">
        <v>113</v>
      </c>
      <c r="B630" t="s">
        <v>153</v>
      </c>
      <c r="C630" s="1" t="s">
        <v>163</v>
      </c>
      <c r="D630">
        <v>2</v>
      </c>
      <c r="E630">
        <v>-108</v>
      </c>
    </row>
    <row r="631" spans="1:5" x14ac:dyDescent="0.35">
      <c r="A631">
        <v>113</v>
      </c>
      <c r="B631" t="s">
        <v>151</v>
      </c>
      <c r="C631" s="1" t="s">
        <v>176</v>
      </c>
      <c r="D631">
        <v>1</v>
      </c>
      <c r="E631">
        <v>190</v>
      </c>
    </row>
    <row r="632" spans="1:5" x14ac:dyDescent="0.35">
      <c r="A632">
        <v>113</v>
      </c>
      <c r="B632" t="s">
        <v>153</v>
      </c>
      <c r="C632" s="1" t="s">
        <v>156</v>
      </c>
      <c r="D632">
        <v>4</v>
      </c>
      <c r="E632">
        <v>-210</v>
      </c>
    </row>
    <row r="633" spans="1:5" x14ac:dyDescent="0.35">
      <c r="A633">
        <v>114</v>
      </c>
      <c r="B633" t="s">
        <v>151</v>
      </c>
      <c r="C633" s="1" t="s">
        <v>160</v>
      </c>
      <c r="D633">
        <v>2</v>
      </c>
      <c r="E633">
        <v>-170</v>
      </c>
    </row>
    <row r="634" spans="1:5" x14ac:dyDescent="0.35">
      <c r="A634">
        <v>114</v>
      </c>
      <c r="B634" t="s">
        <v>153</v>
      </c>
      <c r="C634" s="1" t="s">
        <v>167</v>
      </c>
      <c r="D634">
        <v>4</v>
      </c>
      <c r="E634">
        <v>155</v>
      </c>
    </row>
    <row r="635" spans="1:5" x14ac:dyDescent="0.35">
      <c r="A635">
        <v>114</v>
      </c>
      <c r="B635" t="s">
        <v>151</v>
      </c>
      <c r="C635" s="1" t="s">
        <v>169</v>
      </c>
      <c r="D635">
        <v>3</v>
      </c>
      <c r="E635">
        <v>155</v>
      </c>
    </row>
    <row r="636" spans="1:5" x14ac:dyDescent="0.35">
      <c r="A636">
        <v>114</v>
      </c>
      <c r="B636" t="s">
        <v>153</v>
      </c>
      <c r="C636" s="1" t="s">
        <v>168</v>
      </c>
      <c r="D636">
        <v>7</v>
      </c>
      <c r="E636">
        <v>-170</v>
      </c>
    </row>
    <row r="637" spans="1:5" x14ac:dyDescent="0.35">
      <c r="A637">
        <v>114</v>
      </c>
      <c r="B637" t="s">
        <v>151</v>
      </c>
      <c r="C637" s="1" t="s">
        <v>183</v>
      </c>
      <c r="D637">
        <v>3</v>
      </c>
      <c r="E637">
        <v>245</v>
      </c>
    </row>
    <row r="638" spans="1:5" x14ac:dyDescent="0.35">
      <c r="A638">
        <v>114</v>
      </c>
      <c r="B638" t="s">
        <v>153</v>
      </c>
      <c r="C638" s="1" t="s">
        <v>162</v>
      </c>
      <c r="D638">
        <v>4</v>
      </c>
      <c r="E638">
        <v>-280</v>
      </c>
    </row>
    <row r="639" spans="1:5" x14ac:dyDescent="0.35">
      <c r="A639">
        <v>114</v>
      </c>
      <c r="B639" t="s">
        <v>151</v>
      </c>
      <c r="C639" s="1" t="s">
        <v>181</v>
      </c>
      <c r="D639">
        <v>4</v>
      </c>
      <c r="E639">
        <v>240</v>
      </c>
    </row>
    <row r="640" spans="1:5" x14ac:dyDescent="0.35">
      <c r="A640">
        <v>114</v>
      </c>
      <c r="B640" t="s">
        <v>153</v>
      </c>
      <c r="C640" s="1" t="s">
        <v>154</v>
      </c>
      <c r="D640">
        <v>7</v>
      </c>
      <c r="E640">
        <v>-270</v>
      </c>
    </row>
    <row r="641" spans="1:5" x14ac:dyDescent="0.35">
      <c r="A641">
        <v>114</v>
      </c>
      <c r="B641" t="s">
        <v>151</v>
      </c>
      <c r="C641" s="1" t="s">
        <v>171</v>
      </c>
      <c r="D641">
        <v>0</v>
      </c>
      <c r="E641">
        <v>-135</v>
      </c>
    </row>
    <row r="642" spans="1:5" x14ac:dyDescent="0.35">
      <c r="A642">
        <v>114</v>
      </c>
      <c r="B642" t="s">
        <v>153</v>
      </c>
      <c r="C642" s="1" t="s">
        <v>179</v>
      </c>
      <c r="D642">
        <v>3</v>
      </c>
      <c r="E642">
        <v>125</v>
      </c>
    </row>
    <row r="643" spans="1:5" x14ac:dyDescent="0.35">
      <c r="A643">
        <v>114</v>
      </c>
      <c r="B643" t="s">
        <v>151</v>
      </c>
      <c r="C643" s="1" t="s">
        <v>182</v>
      </c>
      <c r="D643">
        <v>2</v>
      </c>
      <c r="E643">
        <v>220</v>
      </c>
    </row>
    <row r="644" spans="1:5" x14ac:dyDescent="0.35">
      <c r="A644">
        <v>114</v>
      </c>
      <c r="B644" t="s">
        <v>153</v>
      </c>
      <c r="C644" s="1" t="s">
        <v>180</v>
      </c>
      <c r="D644">
        <v>8</v>
      </c>
      <c r="E644">
        <v>-250</v>
      </c>
    </row>
    <row r="645" spans="1:5" x14ac:dyDescent="0.35">
      <c r="A645">
        <v>114</v>
      </c>
      <c r="B645" t="s">
        <v>151</v>
      </c>
      <c r="C645" s="1" t="s">
        <v>177</v>
      </c>
      <c r="D645">
        <v>3</v>
      </c>
      <c r="E645">
        <v>-105</v>
      </c>
    </row>
    <row r="646" spans="1:5" x14ac:dyDescent="0.35">
      <c r="A646">
        <v>114</v>
      </c>
      <c r="B646" t="s">
        <v>153</v>
      </c>
      <c r="C646" s="1" t="s">
        <v>152</v>
      </c>
      <c r="D646">
        <v>2</v>
      </c>
      <c r="E646">
        <v>-105</v>
      </c>
    </row>
    <row r="647" spans="1:5" x14ac:dyDescent="0.35">
      <c r="A647">
        <v>114</v>
      </c>
      <c r="B647" t="s">
        <v>151</v>
      </c>
      <c r="C647" s="1" t="s">
        <v>157</v>
      </c>
      <c r="D647">
        <v>0</v>
      </c>
      <c r="E647">
        <v>115</v>
      </c>
    </row>
    <row r="648" spans="1:5" x14ac:dyDescent="0.35">
      <c r="A648">
        <v>114</v>
      </c>
      <c r="B648" t="s">
        <v>153</v>
      </c>
      <c r="C648" s="1" t="s">
        <v>165</v>
      </c>
      <c r="D648">
        <v>4</v>
      </c>
      <c r="E648">
        <v>-125</v>
      </c>
    </row>
    <row r="649" spans="1:5" x14ac:dyDescent="0.35">
      <c r="A649">
        <v>114</v>
      </c>
      <c r="B649" t="s">
        <v>151</v>
      </c>
      <c r="C649" s="1" t="s">
        <v>170</v>
      </c>
      <c r="D649">
        <v>2</v>
      </c>
      <c r="E649">
        <v>-120</v>
      </c>
    </row>
    <row r="650" spans="1:5" x14ac:dyDescent="0.35">
      <c r="A650">
        <v>114</v>
      </c>
      <c r="B650" t="s">
        <v>153</v>
      </c>
      <c r="C650" s="1" t="s">
        <v>158</v>
      </c>
      <c r="D650">
        <v>4</v>
      </c>
      <c r="E650">
        <v>110</v>
      </c>
    </row>
    <row r="651" spans="1:5" x14ac:dyDescent="0.35">
      <c r="A651">
        <v>114</v>
      </c>
      <c r="B651" t="s">
        <v>151</v>
      </c>
      <c r="C651" s="1" t="s">
        <v>159</v>
      </c>
      <c r="D651">
        <v>3</v>
      </c>
      <c r="E651">
        <v>120</v>
      </c>
    </row>
    <row r="652" spans="1:5" x14ac:dyDescent="0.35">
      <c r="A652">
        <v>114</v>
      </c>
      <c r="B652" t="s">
        <v>153</v>
      </c>
      <c r="C652" s="1" t="s">
        <v>175</v>
      </c>
      <c r="D652">
        <v>6</v>
      </c>
      <c r="E652">
        <v>-130</v>
      </c>
    </row>
    <row r="653" spans="1:5" x14ac:dyDescent="0.35">
      <c r="A653">
        <v>114</v>
      </c>
      <c r="B653" t="s">
        <v>151</v>
      </c>
      <c r="C653" s="1" t="s">
        <v>172</v>
      </c>
      <c r="D653">
        <v>3</v>
      </c>
      <c r="E653">
        <v>130</v>
      </c>
    </row>
    <row r="654" spans="1:5" x14ac:dyDescent="0.35">
      <c r="A654">
        <v>114</v>
      </c>
      <c r="B654" t="s">
        <v>153</v>
      </c>
      <c r="C654" s="1" t="s">
        <v>174</v>
      </c>
      <c r="D654">
        <v>2</v>
      </c>
      <c r="E654">
        <v>-140</v>
      </c>
    </row>
    <row r="655" spans="1:5" x14ac:dyDescent="0.35">
      <c r="A655">
        <v>115</v>
      </c>
      <c r="B655" t="s">
        <v>151</v>
      </c>
      <c r="C655" s="1" t="s">
        <v>177</v>
      </c>
      <c r="D655">
        <v>4</v>
      </c>
      <c r="E655">
        <v>160</v>
      </c>
    </row>
    <row r="656" spans="1:5" x14ac:dyDescent="0.35">
      <c r="A656">
        <v>115</v>
      </c>
      <c r="B656" t="s">
        <v>153</v>
      </c>
      <c r="C656" s="1" t="s">
        <v>163</v>
      </c>
      <c r="D656">
        <v>1</v>
      </c>
      <c r="E656">
        <v>-180</v>
      </c>
    </row>
    <row r="657" spans="1:5" x14ac:dyDescent="0.35">
      <c r="A657">
        <v>115</v>
      </c>
      <c r="B657" t="s">
        <v>151</v>
      </c>
      <c r="C657" s="1" t="s">
        <v>178</v>
      </c>
      <c r="D657">
        <v>4</v>
      </c>
      <c r="E657">
        <v>170</v>
      </c>
    </row>
    <row r="658" spans="1:5" x14ac:dyDescent="0.35">
      <c r="A658">
        <v>115</v>
      </c>
      <c r="B658" t="s">
        <v>153</v>
      </c>
      <c r="C658" s="1" t="s">
        <v>156</v>
      </c>
      <c r="D658">
        <v>3</v>
      </c>
      <c r="E658">
        <v>-190</v>
      </c>
    </row>
    <row r="659" spans="1:5" x14ac:dyDescent="0.35">
      <c r="A659">
        <v>116</v>
      </c>
      <c r="B659" t="s">
        <v>151</v>
      </c>
      <c r="C659" s="1" t="s">
        <v>181</v>
      </c>
      <c r="D659">
        <v>2</v>
      </c>
      <c r="E659">
        <v>270</v>
      </c>
    </row>
    <row r="660" spans="1:5" x14ac:dyDescent="0.35">
      <c r="A660">
        <v>116</v>
      </c>
      <c r="B660" t="s">
        <v>153</v>
      </c>
      <c r="C660" s="1" t="s">
        <v>155</v>
      </c>
      <c r="D660">
        <v>5</v>
      </c>
      <c r="E660">
        <v>-310</v>
      </c>
    </row>
    <row r="661" spans="1:5" x14ac:dyDescent="0.35">
      <c r="A661">
        <v>116</v>
      </c>
      <c r="B661" t="s">
        <v>151</v>
      </c>
      <c r="C661" s="1" t="s">
        <v>166</v>
      </c>
      <c r="D661">
        <v>3</v>
      </c>
      <c r="E661">
        <v>135</v>
      </c>
    </row>
    <row r="662" spans="1:5" x14ac:dyDescent="0.35">
      <c r="A662">
        <v>116</v>
      </c>
      <c r="B662" t="s">
        <v>153</v>
      </c>
      <c r="C662" s="1" t="s">
        <v>180</v>
      </c>
      <c r="D662">
        <v>2</v>
      </c>
      <c r="E662">
        <v>-150</v>
      </c>
    </row>
    <row r="663" spans="1:5" x14ac:dyDescent="0.35">
      <c r="A663">
        <v>116</v>
      </c>
      <c r="B663" t="s">
        <v>151</v>
      </c>
      <c r="C663" s="1" t="s">
        <v>168</v>
      </c>
      <c r="D663">
        <v>1</v>
      </c>
      <c r="E663">
        <v>115</v>
      </c>
    </row>
    <row r="664" spans="1:5" x14ac:dyDescent="0.35">
      <c r="A664">
        <v>116</v>
      </c>
      <c r="B664" t="s">
        <v>153</v>
      </c>
      <c r="C664" s="1" t="s">
        <v>171</v>
      </c>
      <c r="D664">
        <v>4</v>
      </c>
      <c r="E664">
        <v>-125</v>
      </c>
    </row>
    <row r="665" spans="1:5" x14ac:dyDescent="0.35">
      <c r="A665">
        <v>116</v>
      </c>
      <c r="B665" t="s">
        <v>151</v>
      </c>
      <c r="C665" s="1" t="s">
        <v>163</v>
      </c>
      <c r="D665">
        <v>4</v>
      </c>
      <c r="E665">
        <v>115</v>
      </c>
    </row>
    <row r="666" spans="1:5" x14ac:dyDescent="0.35">
      <c r="A666">
        <v>116</v>
      </c>
      <c r="B666" t="s">
        <v>153</v>
      </c>
      <c r="C666" s="1" t="s">
        <v>178</v>
      </c>
      <c r="D666">
        <v>1</v>
      </c>
      <c r="E666">
        <v>-125</v>
      </c>
    </row>
    <row r="667" spans="1:5" x14ac:dyDescent="0.35">
      <c r="A667">
        <v>116</v>
      </c>
      <c r="B667" t="s">
        <v>151</v>
      </c>
      <c r="C667" s="1" t="s">
        <v>164</v>
      </c>
      <c r="D667">
        <v>2</v>
      </c>
      <c r="E667">
        <v>-130</v>
      </c>
    </row>
    <row r="668" spans="1:5" x14ac:dyDescent="0.35">
      <c r="A668">
        <v>116</v>
      </c>
      <c r="B668" t="s">
        <v>153</v>
      </c>
      <c r="C668" s="1" t="s">
        <v>179</v>
      </c>
      <c r="D668">
        <v>3</v>
      </c>
      <c r="E668">
        <v>120</v>
      </c>
    </row>
    <row r="669" spans="1:5" x14ac:dyDescent="0.35">
      <c r="A669">
        <v>116</v>
      </c>
      <c r="B669" t="s">
        <v>151</v>
      </c>
      <c r="C669" s="1" t="s">
        <v>183</v>
      </c>
      <c r="D669">
        <v>3</v>
      </c>
      <c r="E669">
        <v>155</v>
      </c>
    </row>
    <row r="670" spans="1:5" x14ac:dyDescent="0.35">
      <c r="A670">
        <v>116</v>
      </c>
      <c r="B670" t="s">
        <v>153</v>
      </c>
      <c r="C670" s="1" t="s">
        <v>161</v>
      </c>
      <c r="D670">
        <v>4</v>
      </c>
      <c r="E670">
        <v>-170</v>
      </c>
    </row>
    <row r="671" spans="1:5" x14ac:dyDescent="0.35">
      <c r="A671">
        <v>116</v>
      </c>
      <c r="B671" t="s">
        <v>151</v>
      </c>
      <c r="C671" s="1" t="s">
        <v>173</v>
      </c>
      <c r="D671">
        <v>2</v>
      </c>
      <c r="E671">
        <v>133</v>
      </c>
    </row>
    <row r="672" spans="1:5" x14ac:dyDescent="0.35">
      <c r="A672">
        <v>116</v>
      </c>
      <c r="B672" t="s">
        <v>153</v>
      </c>
      <c r="C672" s="1" t="s">
        <v>154</v>
      </c>
      <c r="D672">
        <v>1</v>
      </c>
      <c r="E672">
        <v>-146</v>
      </c>
    </row>
    <row r="673" spans="1:5" x14ac:dyDescent="0.35">
      <c r="A673">
        <v>116</v>
      </c>
      <c r="B673" t="s">
        <v>151</v>
      </c>
      <c r="C673" s="1" t="s">
        <v>160</v>
      </c>
      <c r="D673">
        <v>4</v>
      </c>
      <c r="E673">
        <v>-170</v>
      </c>
    </row>
    <row r="674" spans="1:5" x14ac:dyDescent="0.35">
      <c r="A674">
        <v>116</v>
      </c>
      <c r="B674" t="s">
        <v>153</v>
      </c>
      <c r="C674" s="1" t="s">
        <v>152</v>
      </c>
      <c r="D674">
        <v>2</v>
      </c>
      <c r="E674">
        <v>155</v>
      </c>
    </row>
    <row r="675" spans="1:5" x14ac:dyDescent="0.35">
      <c r="A675">
        <v>116</v>
      </c>
      <c r="B675" t="s">
        <v>151</v>
      </c>
      <c r="C675" s="1" t="s">
        <v>176</v>
      </c>
      <c r="D675">
        <v>4</v>
      </c>
      <c r="E675">
        <v>170</v>
      </c>
    </row>
    <row r="676" spans="1:5" x14ac:dyDescent="0.35">
      <c r="A676">
        <v>116</v>
      </c>
      <c r="B676" t="s">
        <v>153</v>
      </c>
      <c r="C676" s="1" t="s">
        <v>170</v>
      </c>
      <c r="D676">
        <v>2</v>
      </c>
      <c r="E676">
        <v>-190</v>
      </c>
    </row>
    <row r="677" spans="1:5" x14ac:dyDescent="0.35">
      <c r="A677">
        <v>116</v>
      </c>
      <c r="B677" t="s">
        <v>151</v>
      </c>
      <c r="C677" s="1" t="s">
        <v>162</v>
      </c>
      <c r="D677">
        <v>2</v>
      </c>
      <c r="E677">
        <v>-145</v>
      </c>
    </row>
    <row r="678" spans="1:5" x14ac:dyDescent="0.35">
      <c r="A678">
        <v>116</v>
      </c>
      <c r="B678" t="s">
        <v>153</v>
      </c>
      <c r="C678" s="1" t="s">
        <v>169</v>
      </c>
      <c r="D678">
        <v>3</v>
      </c>
      <c r="E678">
        <v>132</v>
      </c>
    </row>
    <row r="679" spans="1:5" x14ac:dyDescent="0.35">
      <c r="A679">
        <v>116</v>
      </c>
      <c r="B679" t="s">
        <v>151</v>
      </c>
      <c r="C679" s="1" t="s">
        <v>167</v>
      </c>
      <c r="D679">
        <v>4</v>
      </c>
      <c r="E679">
        <v>180</v>
      </c>
    </row>
    <row r="680" spans="1:5" x14ac:dyDescent="0.35">
      <c r="A680">
        <v>116</v>
      </c>
      <c r="B680" t="s">
        <v>153</v>
      </c>
      <c r="C680" s="1" t="s">
        <v>172</v>
      </c>
      <c r="D680">
        <v>1</v>
      </c>
      <c r="E680">
        <v>-200</v>
      </c>
    </row>
    <row r="681" spans="1:5" x14ac:dyDescent="0.35">
      <c r="A681">
        <v>116</v>
      </c>
      <c r="B681" t="s">
        <v>151</v>
      </c>
      <c r="C681" s="1" t="s">
        <v>159</v>
      </c>
      <c r="D681">
        <v>0</v>
      </c>
      <c r="E681">
        <v>205</v>
      </c>
    </row>
    <row r="682" spans="1:5" x14ac:dyDescent="0.35">
      <c r="A682">
        <v>116</v>
      </c>
      <c r="B682" t="s">
        <v>153</v>
      </c>
      <c r="C682" s="1" t="s">
        <v>174</v>
      </c>
      <c r="D682">
        <v>4</v>
      </c>
      <c r="E682">
        <v>-230</v>
      </c>
    </row>
    <row r="683" spans="1:5" x14ac:dyDescent="0.35">
      <c r="A683">
        <v>116</v>
      </c>
      <c r="B683" t="s">
        <v>151</v>
      </c>
      <c r="C683" s="1" t="s">
        <v>175</v>
      </c>
      <c r="D683">
        <v>1</v>
      </c>
      <c r="E683">
        <v>102</v>
      </c>
    </row>
    <row r="684" spans="1:5" x14ac:dyDescent="0.35">
      <c r="A684">
        <v>116</v>
      </c>
      <c r="B684" t="s">
        <v>153</v>
      </c>
      <c r="C684" s="1" t="s">
        <v>157</v>
      </c>
      <c r="D684">
        <v>3</v>
      </c>
      <c r="E684">
        <v>-112</v>
      </c>
    </row>
    <row r="685" spans="1:5" x14ac:dyDescent="0.35">
      <c r="A685">
        <v>117</v>
      </c>
      <c r="B685" t="s">
        <v>151</v>
      </c>
      <c r="C685" s="1" t="s">
        <v>176</v>
      </c>
      <c r="D685">
        <v>2</v>
      </c>
      <c r="E685">
        <v>195</v>
      </c>
    </row>
    <row r="686" spans="1:5" x14ac:dyDescent="0.35">
      <c r="A686">
        <v>117</v>
      </c>
      <c r="B686" t="s">
        <v>153</v>
      </c>
      <c r="C686" s="1" t="s">
        <v>164</v>
      </c>
      <c r="D686">
        <v>1</v>
      </c>
      <c r="E686">
        <v>-215</v>
      </c>
    </row>
    <row r="687" spans="1:5" x14ac:dyDescent="0.35">
      <c r="A687">
        <v>117</v>
      </c>
      <c r="B687" t="s">
        <v>153</v>
      </c>
      <c r="C687" s="1" t="s">
        <v>168</v>
      </c>
      <c r="D687">
        <v>2</v>
      </c>
      <c r="E687">
        <v>-230</v>
      </c>
    </row>
    <row r="688" spans="1:5" x14ac:dyDescent="0.35">
      <c r="A688">
        <v>117</v>
      </c>
      <c r="B688" t="s">
        <v>151</v>
      </c>
      <c r="C688" s="1" t="s">
        <v>182</v>
      </c>
      <c r="D688">
        <v>1</v>
      </c>
      <c r="E688">
        <v>205</v>
      </c>
    </row>
    <row r="689" spans="1:5" x14ac:dyDescent="0.35">
      <c r="A689">
        <v>117</v>
      </c>
      <c r="B689" t="s">
        <v>151</v>
      </c>
      <c r="C689" s="1" t="s">
        <v>162</v>
      </c>
      <c r="D689">
        <v>7</v>
      </c>
      <c r="E689">
        <v>-135</v>
      </c>
    </row>
    <row r="690" spans="1:5" x14ac:dyDescent="0.35">
      <c r="A690">
        <v>117</v>
      </c>
      <c r="B690" t="s">
        <v>153</v>
      </c>
      <c r="C690" s="1" t="s">
        <v>165</v>
      </c>
      <c r="D690">
        <v>1</v>
      </c>
      <c r="E690">
        <v>125</v>
      </c>
    </row>
    <row r="691" spans="1:5" x14ac:dyDescent="0.35">
      <c r="A691">
        <v>118</v>
      </c>
      <c r="B691" t="s">
        <v>151</v>
      </c>
      <c r="C691" s="1" t="s">
        <v>155</v>
      </c>
      <c r="D691">
        <v>6</v>
      </c>
      <c r="E691">
        <v>-125</v>
      </c>
    </row>
    <row r="692" spans="1:5" x14ac:dyDescent="0.35">
      <c r="A692">
        <v>118</v>
      </c>
      <c r="B692" t="s">
        <v>153</v>
      </c>
      <c r="C692" s="1" t="s">
        <v>180</v>
      </c>
      <c r="D692">
        <v>4</v>
      </c>
      <c r="E692">
        <v>115</v>
      </c>
    </row>
    <row r="693" spans="1:5" x14ac:dyDescent="0.35">
      <c r="A693">
        <v>118</v>
      </c>
      <c r="B693" t="s">
        <v>151</v>
      </c>
      <c r="C693" s="1" t="s">
        <v>175</v>
      </c>
      <c r="D693">
        <v>3</v>
      </c>
      <c r="E693">
        <v>-105</v>
      </c>
    </row>
    <row r="694" spans="1:5" x14ac:dyDescent="0.35">
      <c r="A694">
        <v>118</v>
      </c>
      <c r="B694" t="s">
        <v>153</v>
      </c>
      <c r="C694" s="1" t="s">
        <v>158</v>
      </c>
      <c r="D694">
        <v>7</v>
      </c>
      <c r="E694">
        <v>-105</v>
      </c>
    </row>
    <row r="695" spans="1:5" x14ac:dyDescent="0.35">
      <c r="A695">
        <v>118</v>
      </c>
      <c r="B695" t="s">
        <v>151</v>
      </c>
      <c r="C695" s="1" t="s">
        <v>156</v>
      </c>
      <c r="D695">
        <v>3</v>
      </c>
      <c r="E695">
        <v>125</v>
      </c>
    </row>
    <row r="696" spans="1:5" x14ac:dyDescent="0.35">
      <c r="A696">
        <v>118</v>
      </c>
      <c r="B696" t="s">
        <v>153</v>
      </c>
      <c r="C696" s="1" t="s">
        <v>174</v>
      </c>
      <c r="D696">
        <v>5</v>
      </c>
      <c r="E696">
        <v>-135</v>
      </c>
    </row>
    <row r="697" spans="1:5" x14ac:dyDescent="0.35">
      <c r="A697">
        <v>118</v>
      </c>
      <c r="B697" t="s">
        <v>151</v>
      </c>
      <c r="C697" s="1" t="s">
        <v>173</v>
      </c>
      <c r="D697">
        <v>2</v>
      </c>
      <c r="E697">
        <v>-160</v>
      </c>
    </row>
    <row r="698" spans="1:5" x14ac:dyDescent="0.35">
      <c r="A698">
        <v>118</v>
      </c>
      <c r="B698" t="s">
        <v>153</v>
      </c>
      <c r="C698" s="1" t="s">
        <v>152</v>
      </c>
      <c r="D698">
        <v>5</v>
      </c>
      <c r="E698">
        <v>145</v>
      </c>
    </row>
    <row r="699" spans="1:5" x14ac:dyDescent="0.35">
      <c r="A699">
        <v>118</v>
      </c>
      <c r="B699" t="s">
        <v>151</v>
      </c>
      <c r="C699" s="1" t="s">
        <v>183</v>
      </c>
      <c r="D699">
        <v>1</v>
      </c>
      <c r="E699">
        <v>135</v>
      </c>
    </row>
    <row r="700" spans="1:5" x14ac:dyDescent="0.35">
      <c r="A700">
        <v>118</v>
      </c>
      <c r="B700" t="s">
        <v>153</v>
      </c>
      <c r="C700" s="1" t="s">
        <v>178</v>
      </c>
      <c r="D700">
        <v>4</v>
      </c>
      <c r="E700">
        <v>-150</v>
      </c>
    </row>
    <row r="701" spans="1:5" x14ac:dyDescent="0.35">
      <c r="A701">
        <v>118</v>
      </c>
      <c r="B701" t="s">
        <v>151</v>
      </c>
      <c r="C701" s="1" t="s">
        <v>160</v>
      </c>
      <c r="D701">
        <v>4</v>
      </c>
      <c r="E701">
        <v>-120</v>
      </c>
    </row>
    <row r="702" spans="1:5" x14ac:dyDescent="0.35">
      <c r="A702">
        <v>118</v>
      </c>
      <c r="B702" t="s">
        <v>153</v>
      </c>
      <c r="C702" s="1" t="s">
        <v>163</v>
      </c>
      <c r="D702">
        <v>5</v>
      </c>
      <c r="E702">
        <v>110</v>
      </c>
    </row>
    <row r="703" spans="1:5" x14ac:dyDescent="0.35">
      <c r="A703">
        <v>118</v>
      </c>
      <c r="B703" t="s">
        <v>151</v>
      </c>
      <c r="C703" s="1" t="s">
        <v>177</v>
      </c>
      <c r="D703">
        <v>6</v>
      </c>
      <c r="E703">
        <v>175</v>
      </c>
    </row>
    <row r="704" spans="1:5" x14ac:dyDescent="0.35">
      <c r="A704">
        <v>118</v>
      </c>
      <c r="B704" t="s">
        <v>153</v>
      </c>
      <c r="C704" s="1" t="s">
        <v>154</v>
      </c>
      <c r="D704">
        <v>2</v>
      </c>
      <c r="E704">
        <v>-195</v>
      </c>
    </row>
    <row r="705" spans="1:5" x14ac:dyDescent="0.35">
      <c r="A705">
        <v>118</v>
      </c>
      <c r="B705" t="s">
        <v>151</v>
      </c>
      <c r="C705" s="1" t="s">
        <v>161</v>
      </c>
      <c r="D705">
        <v>4</v>
      </c>
      <c r="E705">
        <v>-240</v>
      </c>
    </row>
    <row r="706" spans="1:5" x14ac:dyDescent="0.35">
      <c r="A706">
        <v>118</v>
      </c>
      <c r="B706" t="s">
        <v>153</v>
      </c>
      <c r="C706" s="1" t="s">
        <v>182</v>
      </c>
      <c r="D706">
        <v>1</v>
      </c>
      <c r="E706">
        <v>210</v>
      </c>
    </row>
    <row r="707" spans="1:5" x14ac:dyDescent="0.35">
      <c r="A707">
        <v>118</v>
      </c>
      <c r="B707" t="s">
        <v>151</v>
      </c>
      <c r="C707" s="1" t="s">
        <v>181</v>
      </c>
      <c r="D707">
        <v>0</v>
      </c>
      <c r="E707">
        <v>170</v>
      </c>
    </row>
    <row r="708" spans="1:5" x14ac:dyDescent="0.35">
      <c r="A708">
        <v>118</v>
      </c>
      <c r="B708" t="s">
        <v>153</v>
      </c>
      <c r="C708" s="1" t="s">
        <v>179</v>
      </c>
      <c r="D708">
        <v>5</v>
      </c>
      <c r="E708">
        <v>-190</v>
      </c>
    </row>
    <row r="709" spans="1:5" x14ac:dyDescent="0.35">
      <c r="A709">
        <v>118</v>
      </c>
      <c r="B709" t="s">
        <v>151</v>
      </c>
      <c r="C709" s="1" t="s">
        <v>167</v>
      </c>
      <c r="D709">
        <v>1</v>
      </c>
      <c r="E709">
        <v>165</v>
      </c>
    </row>
    <row r="710" spans="1:5" x14ac:dyDescent="0.35">
      <c r="A710">
        <v>118</v>
      </c>
      <c r="B710" t="s">
        <v>153</v>
      </c>
      <c r="C710" s="1" t="s">
        <v>170</v>
      </c>
      <c r="D710">
        <v>2</v>
      </c>
      <c r="E710">
        <v>-185</v>
      </c>
    </row>
    <row r="711" spans="1:5" x14ac:dyDescent="0.35">
      <c r="A711">
        <v>118</v>
      </c>
      <c r="B711" t="s">
        <v>151</v>
      </c>
      <c r="C711" s="1" t="s">
        <v>172</v>
      </c>
      <c r="D711">
        <v>0</v>
      </c>
      <c r="E711">
        <v>-110</v>
      </c>
    </row>
    <row r="712" spans="1:5" x14ac:dyDescent="0.35">
      <c r="A712">
        <v>118</v>
      </c>
      <c r="B712" t="s">
        <v>153</v>
      </c>
      <c r="C712" s="1" t="s">
        <v>169</v>
      </c>
      <c r="D712">
        <v>7</v>
      </c>
      <c r="E712">
        <v>100</v>
      </c>
    </row>
    <row r="713" spans="1:5" x14ac:dyDescent="0.35">
      <c r="A713">
        <v>118</v>
      </c>
      <c r="B713" t="s">
        <v>151</v>
      </c>
      <c r="C713" s="1" t="s">
        <v>159</v>
      </c>
      <c r="D713">
        <v>1</v>
      </c>
      <c r="E713">
        <v>125</v>
      </c>
    </row>
    <row r="714" spans="1:5" x14ac:dyDescent="0.35">
      <c r="A714">
        <v>118</v>
      </c>
      <c r="B714" t="s">
        <v>153</v>
      </c>
      <c r="C714" s="1" t="s">
        <v>157</v>
      </c>
      <c r="D714">
        <v>4</v>
      </c>
      <c r="E714">
        <v>-135</v>
      </c>
    </row>
    <row r="715" spans="1:5" x14ac:dyDescent="0.35">
      <c r="A715">
        <v>119</v>
      </c>
      <c r="B715" t="s">
        <v>151</v>
      </c>
      <c r="C715" s="1" t="s">
        <v>171</v>
      </c>
      <c r="D715">
        <v>3</v>
      </c>
      <c r="E715">
        <v>105</v>
      </c>
    </row>
    <row r="716" spans="1:5" x14ac:dyDescent="0.35">
      <c r="A716">
        <v>119</v>
      </c>
      <c r="B716" t="s">
        <v>153</v>
      </c>
      <c r="C716" s="1" t="s">
        <v>168</v>
      </c>
      <c r="D716">
        <v>4</v>
      </c>
      <c r="E716">
        <v>-115</v>
      </c>
    </row>
    <row r="717" spans="1:5" x14ac:dyDescent="0.35">
      <c r="A717">
        <v>119</v>
      </c>
      <c r="B717" t="s">
        <v>151</v>
      </c>
      <c r="C717" s="1" t="s">
        <v>180</v>
      </c>
      <c r="D717">
        <v>1</v>
      </c>
      <c r="E717">
        <v>160</v>
      </c>
    </row>
    <row r="718" spans="1:5" x14ac:dyDescent="0.35">
      <c r="A718">
        <v>119</v>
      </c>
      <c r="B718" t="s">
        <v>153</v>
      </c>
      <c r="C718" s="1" t="s">
        <v>164</v>
      </c>
      <c r="D718">
        <v>2</v>
      </c>
      <c r="E718">
        <v>-180</v>
      </c>
    </row>
    <row r="719" spans="1:5" x14ac:dyDescent="0.35">
      <c r="A719">
        <v>119</v>
      </c>
      <c r="B719" t="s">
        <v>151</v>
      </c>
      <c r="C719" s="1" t="s">
        <v>165</v>
      </c>
      <c r="D719">
        <v>2</v>
      </c>
      <c r="E719">
        <v>-105</v>
      </c>
    </row>
    <row r="720" spans="1:5" x14ac:dyDescent="0.35">
      <c r="A720">
        <v>119</v>
      </c>
      <c r="B720" t="s">
        <v>153</v>
      </c>
      <c r="C720" s="1" t="s">
        <v>177</v>
      </c>
      <c r="D720">
        <v>5</v>
      </c>
      <c r="E720">
        <v>-105</v>
      </c>
    </row>
    <row r="721" spans="1:5" x14ac:dyDescent="0.35">
      <c r="A721">
        <v>119</v>
      </c>
      <c r="B721" t="s">
        <v>151</v>
      </c>
      <c r="C721" s="1" t="s">
        <v>179</v>
      </c>
      <c r="D721">
        <v>2</v>
      </c>
      <c r="E721">
        <v>120</v>
      </c>
    </row>
    <row r="722" spans="1:5" x14ac:dyDescent="0.35">
      <c r="A722">
        <v>119</v>
      </c>
      <c r="B722" t="s">
        <v>153</v>
      </c>
      <c r="C722" s="1" t="s">
        <v>166</v>
      </c>
      <c r="D722">
        <v>1</v>
      </c>
      <c r="E722">
        <v>-130</v>
      </c>
    </row>
    <row r="723" spans="1:5" x14ac:dyDescent="0.35">
      <c r="A723">
        <v>120</v>
      </c>
      <c r="B723" t="s">
        <v>151</v>
      </c>
      <c r="C723" s="1" t="s">
        <v>182</v>
      </c>
      <c r="D723">
        <v>3</v>
      </c>
      <c r="E723">
        <v>360</v>
      </c>
    </row>
    <row r="724" spans="1:5" x14ac:dyDescent="0.35">
      <c r="A724">
        <v>120</v>
      </c>
      <c r="B724" t="s">
        <v>153</v>
      </c>
      <c r="C724" s="1" t="s">
        <v>174</v>
      </c>
      <c r="D724">
        <v>6</v>
      </c>
      <c r="E724">
        <v>-430</v>
      </c>
    </row>
    <row r="725" spans="1:5" x14ac:dyDescent="0.35">
      <c r="A725">
        <v>120</v>
      </c>
      <c r="B725" t="s">
        <v>151</v>
      </c>
      <c r="C725" s="1" t="s">
        <v>161</v>
      </c>
      <c r="D725">
        <v>5</v>
      </c>
      <c r="E725">
        <v>-105</v>
      </c>
    </row>
    <row r="726" spans="1:5" x14ac:dyDescent="0.35">
      <c r="A726">
        <v>120</v>
      </c>
      <c r="B726" t="s">
        <v>153</v>
      </c>
      <c r="C726" s="1" t="s">
        <v>169</v>
      </c>
      <c r="D726">
        <v>4</v>
      </c>
      <c r="E726">
        <v>-105</v>
      </c>
    </row>
    <row r="727" spans="1:5" x14ac:dyDescent="0.35">
      <c r="A727">
        <v>121</v>
      </c>
      <c r="B727" t="s">
        <v>151</v>
      </c>
      <c r="C727" s="1" t="s">
        <v>165</v>
      </c>
      <c r="D727">
        <v>1</v>
      </c>
      <c r="E727">
        <v>150</v>
      </c>
    </row>
    <row r="728" spans="1:5" x14ac:dyDescent="0.35">
      <c r="A728">
        <v>121</v>
      </c>
      <c r="B728" t="s">
        <v>153</v>
      </c>
      <c r="C728" s="1" t="s">
        <v>164</v>
      </c>
      <c r="D728">
        <v>4</v>
      </c>
      <c r="E728">
        <v>-165</v>
      </c>
    </row>
    <row r="729" spans="1:5" x14ac:dyDescent="0.35">
      <c r="A729">
        <v>121</v>
      </c>
      <c r="B729" t="s">
        <v>151</v>
      </c>
      <c r="C729" s="1" t="s">
        <v>180</v>
      </c>
      <c r="D729">
        <v>4</v>
      </c>
      <c r="E729">
        <v>-108</v>
      </c>
    </row>
    <row r="730" spans="1:5" x14ac:dyDescent="0.35">
      <c r="A730">
        <v>121</v>
      </c>
      <c r="B730" t="s">
        <v>153</v>
      </c>
      <c r="C730" s="1" t="s">
        <v>166</v>
      </c>
      <c r="D730">
        <v>2</v>
      </c>
      <c r="E730">
        <v>-102</v>
      </c>
    </row>
    <row r="731" spans="1:5" x14ac:dyDescent="0.35">
      <c r="A731">
        <v>121</v>
      </c>
      <c r="B731" t="s">
        <v>151</v>
      </c>
      <c r="C731" s="1" t="s">
        <v>160</v>
      </c>
      <c r="D731">
        <v>2</v>
      </c>
      <c r="E731">
        <v>132</v>
      </c>
    </row>
    <row r="732" spans="1:5" x14ac:dyDescent="0.35">
      <c r="A732">
        <v>121</v>
      </c>
      <c r="B732" t="s">
        <v>153</v>
      </c>
      <c r="C732" s="1" t="s">
        <v>171</v>
      </c>
      <c r="D732">
        <v>3</v>
      </c>
      <c r="E732">
        <v>-145</v>
      </c>
    </row>
    <row r="733" spans="1:5" x14ac:dyDescent="0.35">
      <c r="A733">
        <v>121</v>
      </c>
      <c r="B733" t="s">
        <v>151</v>
      </c>
      <c r="C733" s="1" t="s">
        <v>168</v>
      </c>
      <c r="D733">
        <v>0</v>
      </c>
      <c r="E733">
        <v>-122</v>
      </c>
    </row>
    <row r="734" spans="1:5" x14ac:dyDescent="0.35">
      <c r="A734">
        <v>121</v>
      </c>
      <c r="B734" t="s">
        <v>153</v>
      </c>
      <c r="C734" s="1" t="s">
        <v>178</v>
      </c>
      <c r="D734">
        <v>3</v>
      </c>
      <c r="E734">
        <v>112</v>
      </c>
    </row>
    <row r="735" spans="1:5" x14ac:dyDescent="0.35">
      <c r="A735">
        <v>121</v>
      </c>
      <c r="B735" t="s">
        <v>151</v>
      </c>
      <c r="C735" s="1" t="s">
        <v>161</v>
      </c>
      <c r="D735">
        <v>4</v>
      </c>
      <c r="E735">
        <v>105</v>
      </c>
    </row>
    <row r="736" spans="1:5" x14ac:dyDescent="0.35">
      <c r="A736">
        <v>121</v>
      </c>
      <c r="B736" t="s">
        <v>153</v>
      </c>
      <c r="C736" s="1" t="s">
        <v>177</v>
      </c>
      <c r="D736">
        <v>3</v>
      </c>
      <c r="E736">
        <v>-115</v>
      </c>
    </row>
    <row r="737" spans="1:5" x14ac:dyDescent="0.35">
      <c r="A737">
        <v>122</v>
      </c>
      <c r="B737" t="s">
        <v>151</v>
      </c>
      <c r="C737" s="1" t="s">
        <v>165</v>
      </c>
      <c r="D737">
        <v>3</v>
      </c>
      <c r="E737">
        <v>165</v>
      </c>
    </row>
    <row r="738" spans="1:5" x14ac:dyDescent="0.35">
      <c r="A738">
        <v>122</v>
      </c>
      <c r="B738" t="s">
        <v>153</v>
      </c>
      <c r="C738" s="1" t="s">
        <v>179</v>
      </c>
      <c r="D738">
        <v>4</v>
      </c>
      <c r="E738">
        <v>-185</v>
      </c>
    </row>
    <row r="739" spans="1:5" x14ac:dyDescent="0.35">
      <c r="A739">
        <v>122</v>
      </c>
      <c r="B739" t="s">
        <v>151</v>
      </c>
      <c r="C739" s="1" t="s">
        <v>182</v>
      </c>
      <c r="D739">
        <v>2</v>
      </c>
      <c r="E739">
        <v>240</v>
      </c>
    </row>
    <row r="740" spans="1:5" x14ac:dyDescent="0.35">
      <c r="A740">
        <v>122</v>
      </c>
      <c r="B740" t="s">
        <v>153</v>
      </c>
      <c r="C740" s="1" t="s">
        <v>169</v>
      </c>
      <c r="D740">
        <v>4</v>
      </c>
      <c r="E740">
        <v>-270</v>
      </c>
    </row>
    <row r="741" spans="1:5" x14ac:dyDescent="0.35">
      <c r="A741">
        <v>127</v>
      </c>
      <c r="B741" t="s">
        <v>151</v>
      </c>
      <c r="C741" s="1" t="s">
        <v>155</v>
      </c>
      <c r="D741">
        <v>4</v>
      </c>
      <c r="E741">
        <v>-125</v>
      </c>
    </row>
    <row r="742" spans="1:5" x14ac:dyDescent="0.35">
      <c r="A742">
        <v>127</v>
      </c>
      <c r="B742" t="s">
        <v>153</v>
      </c>
      <c r="C742" s="1" t="s">
        <v>163</v>
      </c>
      <c r="D742">
        <v>2</v>
      </c>
      <c r="E742">
        <v>115</v>
      </c>
    </row>
    <row r="743" spans="1:5" x14ac:dyDescent="0.35">
      <c r="A743">
        <v>127</v>
      </c>
      <c r="B743" t="s">
        <v>151</v>
      </c>
      <c r="C743" s="1" t="s">
        <v>181</v>
      </c>
      <c r="D743">
        <v>4</v>
      </c>
      <c r="E743">
        <v>110</v>
      </c>
    </row>
    <row r="744" spans="1:5" x14ac:dyDescent="0.35">
      <c r="A744">
        <v>127</v>
      </c>
      <c r="B744" t="s">
        <v>153</v>
      </c>
      <c r="C744" s="1" t="s">
        <v>152</v>
      </c>
      <c r="D744">
        <v>3</v>
      </c>
      <c r="E744">
        <v>-120</v>
      </c>
    </row>
    <row r="745" spans="1:5" x14ac:dyDescent="0.35">
      <c r="A745">
        <v>127</v>
      </c>
      <c r="B745" t="s">
        <v>151</v>
      </c>
      <c r="C745" s="1" t="s">
        <v>154</v>
      </c>
      <c r="D745">
        <v>5</v>
      </c>
      <c r="E745">
        <v>100</v>
      </c>
    </row>
    <row r="746" spans="1:5" x14ac:dyDescent="0.35">
      <c r="A746">
        <v>127</v>
      </c>
      <c r="B746" t="s">
        <v>153</v>
      </c>
      <c r="C746" s="1" t="s">
        <v>170</v>
      </c>
      <c r="D746">
        <v>2</v>
      </c>
      <c r="E746">
        <v>-110</v>
      </c>
    </row>
    <row r="747" spans="1:5" x14ac:dyDescent="0.35">
      <c r="A747">
        <v>127</v>
      </c>
      <c r="B747" t="s">
        <v>151</v>
      </c>
      <c r="C747" s="1" t="s">
        <v>162</v>
      </c>
      <c r="D747">
        <v>2</v>
      </c>
      <c r="E747">
        <v>-130</v>
      </c>
    </row>
    <row r="748" spans="1:5" x14ac:dyDescent="0.35">
      <c r="A748">
        <v>127</v>
      </c>
      <c r="B748" t="s">
        <v>153</v>
      </c>
      <c r="C748" s="1" t="s">
        <v>172</v>
      </c>
      <c r="D748">
        <v>3</v>
      </c>
      <c r="E748">
        <v>120</v>
      </c>
    </row>
    <row r="749" spans="1:5" x14ac:dyDescent="0.35">
      <c r="A749">
        <v>127</v>
      </c>
      <c r="B749" t="s">
        <v>151</v>
      </c>
      <c r="C749" s="1" t="s">
        <v>156</v>
      </c>
      <c r="D749">
        <v>1</v>
      </c>
      <c r="E749">
        <v>-125</v>
      </c>
    </row>
    <row r="750" spans="1:5" x14ac:dyDescent="0.35">
      <c r="A750">
        <v>127</v>
      </c>
      <c r="B750" t="s">
        <v>153</v>
      </c>
      <c r="C750" s="1" t="s">
        <v>157</v>
      </c>
      <c r="D750">
        <v>3</v>
      </c>
      <c r="E750">
        <v>115</v>
      </c>
    </row>
    <row r="751" spans="1:5" x14ac:dyDescent="0.35">
      <c r="A751">
        <v>127</v>
      </c>
      <c r="B751" t="s">
        <v>151</v>
      </c>
      <c r="C751" s="1" t="s">
        <v>176</v>
      </c>
      <c r="D751">
        <v>2</v>
      </c>
      <c r="E751">
        <v>130</v>
      </c>
    </row>
    <row r="752" spans="1:5" x14ac:dyDescent="0.35">
      <c r="A752">
        <v>127</v>
      </c>
      <c r="B752" t="s">
        <v>153</v>
      </c>
      <c r="C752" s="1" t="s">
        <v>159</v>
      </c>
      <c r="D752">
        <v>4</v>
      </c>
      <c r="E752">
        <v>-140</v>
      </c>
    </row>
    <row r="753" spans="1:5" x14ac:dyDescent="0.35">
      <c r="A753">
        <v>128</v>
      </c>
      <c r="B753" t="s">
        <v>151</v>
      </c>
      <c r="C753" s="1" t="s">
        <v>152</v>
      </c>
      <c r="D753">
        <v>5</v>
      </c>
      <c r="E753">
        <v>170</v>
      </c>
    </row>
    <row r="754" spans="1:5" x14ac:dyDescent="0.35">
      <c r="A754">
        <v>128</v>
      </c>
      <c r="B754" t="s">
        <v>153</v>
      </c>
      <c r="C754" s="1" t="s">
        <v>167</v>
      </c>
      <c r="D754">
        <v>2</v>
      </c>
      <c r="E754">
        <v>-190</v>
      </c>
    </row>
    <row r="755" spans="1:5" x14ac:dyDescent="0.35">
      <c r="A755">
        <v>128</v>
      </c>
      <c r="B755" t="s">
        <v>151</v>
      </c>
      <c r="C755" s="1" t="s">
        <v>156</v>
      </c>
      <c r="D755">
        <v>5</v>
      </c>
      <c r="E755">
        <v>100</v>
      </c>
    </row>
    <row r="756" spans="1:5" x14ac:dyDescent="0.35">
      <c r="A756">
        <v>128</v>
      </c>
      <c r="B756" t="s">
        <v>153</v>
      </c>
      <c r="C756" s="1" t="s">
        <v>173</v>
      </c>
      <c r="D756">
        <v>4</v>
      </c>
      <c r="E756">
        <v>-110</v>
      </c>
    </row>
    <row r="757" spans="1:5" x14ac:dyDescent="0.35">
      <c r="A757">
        <v>129</v>
      </c>
      <c r="B757" t="s">
        <v>151</v>
      </c>
      <c r="C757" s="1" t="s">
        <v>154</v>
      </c>
      <c r="D757">
        <v>5</v>
      </c>
      <c r="E757">
        <v>102</v>
      </c>
    </row>
    <row r="758" spans="1:5" x14ac:dyDescent="0.35">
      <c r="A758">
        <v>129</v>
      </c>
      <c r="B758" t="s">
        <v>153</v>
      </c>
      <c r="C758" s="1" t="s">
        <v>172</v>
      </c>
      <c r="D758">
        <v>3</v>
      </c>
      <c r="E758">
        <v>-112</v>
      </c>
    </row>
    <row r="759" spans="1:5" x14ac:dyDescent="0.35">
      <c r="A759">
        <v>129</v>
      </c>
      <c r="B759" t="s">
        <v>151</v>
      </c>
      <c r="C759" s="1" t="s">
        <v>170</v>
      </c>
      <c r="D759">
        <v>5</v>
      </c>
      <c r="E759">
        <v>135</v>
      </c>
    </row>
    <row r="760" spans="1:5" x14ac:dyDescent="0.35">
      <c r="A760">
        <v>129</v>
      </c>
      <c r="B760" t="s">
        <v>153</v>
      </c>
      <c r="C760" s="1" t="s">
        <v>155</v>
      </c>
      <c r="D760">
        <v>4</v>
      </c>
      <c r="E760">
        <v>-150</v>
      </c>
    </row>
    <row r="761" spans="1:5" x14ac:dyDescent="0.35">
      <c r="A761">
        <v>129</v>
      </c>
      <c r="B761" t="s">
        <v>151</v>
      </c>
      <c r="C761" s="1" t="s">
        <v>173</v>
      </c>
      <c r="D761">
        <v>4</v>
      </c>
      <c r="E761">
        <v>105</v>
      </c>
    </row>
    <row r="762" spans="1:5" x14ac:dyDescent="0.35">
      <c r="A762">
        <v>129</v>
      </c>
      <c r="B762" t="s">
        <v>153</v>
      </c>
      <c r="C762" s="1" t="s">
        <v>158</v>
      </c>
      <c r="D762">
        <v>3</v>
      </c>
      <c r="E762">
        <v>-115</v>
      </c>
    </row>
    <row r="763" spans="1:5" x14ac:dyDescent="0.35">
      <c r="A763">
        <v>129</v>
      </c>
      <c r="B763" t="s">
        <v>151</v>
      </c>
      <c r="C763" s="1" t="s">
        <v>175</v>
      </c>
      <c r="D763">
        <v>2</v>
      </c>
      <c r="E763">
        <v>-115</v>
      </c>
    </row>
    <row r="764" spans="1:5" x14ac:dyDescent="0.35">
      <c r="A764">
        <v>129</v>
      </c>
      <c r="B764" t="s">
        <v>153</v>
      </c>
      <c r="C764" s="1" t="s">
        <v>176</v>
      </c>
      <c r="D764">
        <v>4</v>
      </c>
      <c r="E764">
        <v>105</v>
      </c>
    </row>
    <row r="765" spans="1:5" x14ac:dyDescent="0.35">
      <c r="A765">
        <v>129</v>
      </c>
      <c r="B765" t="s">
        <v>151</v>
      </c>
      <c r="C765" s="1" t="s">
        <v>162</v>
      </c>
      <c r="D765">
        <v>4</v>
      </c>
      <c r="E765">
        <v>-220</v>
      </c>
    </row>
    <row r="766" spans="1:5" x14ac:dyDescent="0.35">
      <c r="A766">
        <v>129</v>
      </c>
      <c r="B766" t="s">
        <v>153</v>
      </c>
      <c r="C766" s="1" t="s">
        <v>183</v>
      </c>
      <c r="D766">
        <v>2</v>
      </c>
      <c r="E766">
        <v>200</v>
      </c>
    </row>
    <row r="767" spans="1:5" x14ac:dyDescent="0.35">
      <c r="A767">
        <v>129</v>
      </c>
      <c r="B767" t="s">
        <v>151</v>
      </c>
      <c r="C767" s="1" t="s">
        <v>157</v>
      </c>
      <c r="D767">
        <v>5</v>
      </c>
      <c r="E767">
        <v>102</v>
      </c>
    </row>
    <row r="768" spans="1:5" x14ac:dyDescent="0.35">
      <c r="A768">
        <v>129</v>
      </c>
      <c r="B768" t="s">
        <v>153</v>
      </c>
      <c r="C768" s="1" t="s">
        <v>159</v>
      </c>
      <c r="D768">
        <v>2</v>
      </c>
      <c r="E768">
        <v>-112</v>
      </c>
    </row>
    <row r="769" spans="1:5" x14ac:dyDescent="0.35">
      <c r="A769">
        <v>130</v>
      </c>
      <c r="B769" t="s">
        <v>151</v>
      </c>
      <c r="C769" s="1" t="s">
        <v>163</v>
      </c>
      <c r="D769">
        <v>3</v>
      </c>
      <c r="E769">
        <v>-113</v>
      </c>
    </row>
    <row r="770" spans="1:5" x14ac:dyDescent="0.35">
      <c r="A770">
        <v>130</v>
      </c>
      <c r="B770" t="s">
        <v>153</v>
      </c>
      <c r="C770" s="1" t="s">
        <v>167</v>
      </c>
      <c r="D770">
        <v>1</v>
      </c>
      <c r="E770">
        <v>103</v>
      </c>
    </row>
    <row r="771" spans="1:5" x14ac:dyDescent="0.35">
      <c r="A771">
        <v>130</v>
      </c>
      <c r="B771" t="s">
        <v>151</v>
      </c>
      <c r="C771" s="1" t="s">
        <v>170</v>
      </c>
      <c r="D771">
        <v>6</v>
      </c>
      <c r="E771">
        <v>-135</v>
      </c>
    </row>
    <row r="772" spans="1:5" x14ac:dyDescent="0.35">
      <c r="A772">
        <v>130</v>
      </c>
      <c r="B772" t="s">
        <v>153</v>
      </c>
      <c r="C772" s="1" t="s">
        <v>181</v>
      </c>
      <c r="D772">
        <v>5</v>
      </c>
      <c r="E772">
        <v>125</v>
      </c>
    </row>
    <row r="773" spans="1:5" x14ac:dyDescent="0.35">
      <c r="A773">
        <v>130</v>
      </c>
      <c r="B773" t="s">
        <v>151</v>
      </c>
      <c r="C773" s="1" t="s">
        <v>183</v>
      </c>
      <c r="D773">
        <v>3</v>
      </c>
      <c r="E773">
        <v>145</v>
      </c>
    </row>
    <row r="774" spans="1:5" x14ac:dyDescent="0.35">
      <c r="A774">
        <v>130</v>
      </c>
      <c r="B774" t="s">
        <v>153</v>
      </c>
      <c r="C774" s="1" t="s">
        <v>175</v>
      </c>
      <c r="D774">
        <v>2</v>
      </c>
      <c r="E774">
        <v>-160</v>
      </c>
    </row>
    <row r="775" spans="1:5" x14ac:dyDescent="0.35">
      <c r="A775">
        <v>131</v>
      </c>
      <c r="B775" t="s">
        <v>151</v>
      </c>
      <c r="C775" s="1" t="s">
        <v>178</v>
      </c>
      <c r="D775">
        <v>3</v>
      </c>
      <c r="E775">
        <v>160</v>
      </c>
    </row>
    <row r="776" spans="1:5" x14ac:dyDescent="0.35">
      <c r="A776">
        <v>131</v>
      </c>
      <c r="B776" t="s">
        <v>153</v>
      </c>
      <c r="C776" s="1" t="s">
        <v>168</v>
      </c>
      <c r="D776">
        <v>4</v>
      </c>
      <c r="E776">
        <v>-180</v>
      </c>
    </row>
    <row r="777" spans="1:5" x14ac:dyDescent="0.35">
      <c r="A777">
        <v>131</v>
      </c>
      <c r="B777" t="s">
        <v>151</v>
      </c>
      <c r="C777" s="1" t="s">
        <v>182</v>
      </c>
      <c r="D777">
        <v>2</v>
      </c>
      <c r="E777">
        <v>205</v>
      </c>
    </row>
    <row r="778" spans="1:5" x14ac:dyDescent="0.35">
      <c r="A778">
        <v>131</v>
      </c>
      <c r="B778" t="s">
        <v>153</v>
      </c>
      <c r="C778" s="1" t="s">
        <v>166</v>
      </c>
      <c r="D778">
        <v>4</v>
      </c>
      <c r="E778">
        <v>-230</v>
      </c>
    </row>
    <row r="779" spans="1:5" x14ac:dyDescent="0.35">
      <c r="A779">
        <v>131</v>
      </c>
      <c r="B779" t="s">
        <v>151</v>
      </c>
      <c r="C779" s="1" t="s">
        <v>155</v>
      </c>
      <c r="D779">
        <v>5</v>
      </c>
      <c r="E779">
        <v>-200</v>
      </c>
    </row>
    <row r="780" spans="1:5" x14ac:dyDescent="0.35">
      <c r="A780">
        <v>131</v>
      </c>
      <c r="B780" t="s">
        <v>153</v>
      </c>
      <c r="C780" s="1" t="s">
        <v>152</v>
      </c>
      <c r="D780">
        <v>3</v>
      </c>
      <c r="E780">
        <v>180</v>
      </c>
    </row>
    <row r="781" spans="1:5" x14ac:dyDescent="0.35">
      <c r="A781">
        <v>131</v>
      </c>
      <c r="B781" t="s">
        <v>151</v>
      </c>
      <c r="C781" s="1" t="s">
        <v>160</v>
      </c>
      <c r="D781">
        <v>4</v>
      </c>
      <c r="E781">
        <v>126</v>
      </c>
    </row>
    <row r="782" spans="1:5" x14ac:dyDescent="0.35">
      <c r="A782">
        <v>131</v>
      </c>
      <c r="B782" t="s">
        <v>153</v>
      </c>
      <c r="C782" s="1" t="s">
        <v>164</v>
      </c>
      <c r="D782">
        <v>3</v>
      </c>
      <c r="E782">
        <v>-136</v>
      </c>
    </row>
    <row r="783" spans="1:5" x14ac:dyDescent="0.35">
      <c r="A783">
        <v>131</v>
      </c>
      <c r="B783" t="s">
        <v>151</v>
      </c>
      <c r="C783" s="1" t="s">
        <v>171</v>
      </c>
      <c r="D783">
        <v>2</v>
      </c>
      <c r="E783">
        <v>-180</v>
      </c>
    </row>
    <row r="784" spans="1:5" x14ac:dyDescent="0.35">
      <c r="A784">
        <v>131</v>
      </c>
      <c r="B784" t="s">
        <v>153</v>
      </c>
      <c r="C784" s="1" t="s">
        <v>165</v>
      </c>
      <c r="D784">
        <v>1</v>
      </c>
      <c r="E784">
        <v>160</v>
      </c>
    </row>
    <row r="785" spans="1:5" x14ac:dyDescent="0.35">
      <c r="A785">
        <v>131</v>
      </c>
      <c r="B785" t="s">
        <v>151</v>
      </c>
      <c r="C785" s="1" t="s">
        <v>156</v>
      </c>
      <c r="D785">
        <v>2</v>
      </c>
      <c r="E785">
        <v>-120</v>
      </c>
    </row>
    <row r="786" spans="1:5" x14ac:dyDescent="0.35">
      <c r="A786">
        <v>131</v>
      </c>
      <c r="B786" t="s">
        <v>153</v>
      </c>
      <c r="C786" s="1" t="s">
        <v>158</v>
      </c>
      <c r="D786">
        <v>4</v>
      </c>
      <c r="E786">
        <v>110</v>
      </c>
    </row>
    <row r="787" spans="1:5" x14ac:dyDescent="0.35">
      <c r="A787">
        <v>131</v>
      </c>
      <c r="B787" t="s">
        <v>151</v>
      </c>
      <c r="C787" s="1" t="s">
        <v>162</v>
      </c>
      <c r="D787">
        <v>4</v>
      </c>
      <c r="E787">
        <v>-190</v>
      </c>
    </row>
    <row r="788" spans="1:5" x14ac:dyDescent="0.35">
      <c r="A788">
        <v>131</v>
      </c>
      <c r="B788" t="s">
        <v>153</v>
      </c>
      <c r="C788" s="1" t="s">
        <v>176</v>
      </c>
      <c r="D788">
        <v>3</v>
      </c>
      <c r="E788">
        <v>170</v>
      </c>
    </row>
    <row r="789" spans="1:5" x14ac:dyDescent="0.35">
      <c r="A789">
        <v>201</v>
      </c>
      <c r="B789" t="s">
        <v>151</v>
      </c>
      <c r="C789" s="1" t="s">
        <v>157</v>
      </c>
      <c r="D789">
        <v>4</v>
      </c>
      <c r="E789">
        <v>120</v>
      </c>
    </row>
    <row r="790" spans="1:5" x14ac:dyDescent="0.35">
      <c r="A790">
        <v>201</v>
      </c>
      <c r="B790" t="s">
        <v>153</v>
      </c>
      <c r="C790" s="1" t="s">
        <v>180</v>
      </c>
      <c r="D790">
        <v>3</v>
      </c>
      <c r="E790">
        <v>-130</v>
      </c>
    </row>
    <row r="791" spans="1:5" x14ac:dyDescent="0.35">
      <c r="A791">
        <v>201</v>
      </c>
      <c r="B791" t="s">
        <v>151</v>
      </c>
      <c r="C791" s="1" t="s">
        <v>179</v>
      </c>
      <c r="D791">
        <v>1</v>
      </c>
      <c r="E791">
        <v>-110</v>
      </c>
    </row>
    <row r="792" spans="1:5" x14ac:dyDescent="0.35">
      <c r="A792">
        <v>201</v>
      </c>
      <c r="B792" t="s">
        <v>153</v>
      </c>
      <c r="C792" s="1" t="s">
        <v>167</v>
      </c>
      <c r="D792">
        <v>2</v>
      </c>
      <c r="E792">
        <v>100</v>
      </c>
    </row>
    <row r="793" spans="1:5" x14ac:dyDescent="0.35">
      <c r="A793">
        <v>201</v>
      </c>
      <c r="B793" t="s">
        <v>151</v>
      </c>
      <c r="C793" s="1" t="s">
        <v>161</v>
      </c>
      <c r="D793">
        <v>0</v>
      </c>
      <c r="E793">
        <v>105</v>
      </c>
    </row>
    <row r="794" spans="1:5" x14ac:dyDescent="0.35">
      <c r="A794">
        <v>201</v>
      </c>
      <c r="B794" t="s">
        <v>153</v>
      </c>
      <c r="C794" s="1" t="s">
        <v>163</v>
      </c>
      <c r="D794">
        <v>4</v>
      </c>
      <c r="E794">
        <v>-115</v>
      </c>
    </row>
    <row r="795" spans="1:5" x14ac:dyDescent="0.35">
      <c r="A795">
        <v>201</v>
      </c>
      <c r="B795" t="s">
        <v>151</v>
      </c>
      <c r="C795" s="1" t="s">
        <v>156</v>
      </c>
      <c r="D795">
        <v>2</v>
      </c>
      <c r="E795">
        <v>-140</v>
      </c>
    </row>
    <row r="796" spans="1:5" x14ac:dyDescent="0.35">
      <c r="A796">
        <v>201</v>
      </c>
      <c r="B796" t="s">
        <v>153</v>
      </c>
      <c r="C796" s="1" t="s">
        <v>165</v>
      </c>
      <c r="D796">
        <v>5</v>
      </c>
      <c r="E796">
        <v>130</v>
      </c>
    </row>
    <row r="797" spans="1:5" x14ac:dyDescent="0.35">
      <c r="A797">
        <v>201</v>
      </c>
      <c r="B797" t="s">
        <v>151</v>
      </c>
      <c r="C797" s="1" t="s">
        <v>152</v>
      </c>
      <c r="D797">
        <v>1</v>
      </c>
      <c r="E797">
        <v>240</v>
      </c>
    </row>
    <row r="798" spans="1:5" x14ac:dyDescent="0.35">
      <c r="A798">
        <v>201</v>
      </c>
      <c r="B798" t="s">
        <v>153</v>
      </c>
      <c r="C798" s="1" t="s">
        <v>154</v>
      </c>
      <c r="D798">
        <v>2</v>
      </c>
      <c r="E798">
        <v>-270</v>
      </c>
    </row>
    <row r="799" spans="1:5" x14ac:dyDescent="0.35">
      <c r="A799">
        <v>201</v>
      </c>
      <c r="B799" t="s">
        <v>151</v>
      </c>
      <c r="C799" s="1" t="s">
        <v>166</v>
      </c>
      <c r="D799">
        <v>1</v>
      </c>
      <c r="E799">
        <v>-165</v>
      </c>
    </row>
    <row r="800" spans="1:5" x14ac:dyDescent="0.35">
      <c r="A800">
        <v>201</v>
      </c>
      <c r="B800" t="s">
        <v>153</v>
      </c>
      <c r="C800" s="1" t="s">
        <v>182</v>
      </c>
      <c r="D800">
        <v>0</v>
      </c>
      <c r="E800">
        <v>150</v>
      </c>
    </row>
    <row r="801" spans="1:5" x14ac:dyDescent="0.35">
      <c r="A801">
        <v>201</v>
      </c>
      <c r="B801" t="s">
        <v>151</v>
      </c>
      <c r="C801" s="1" t="s">
        <v>174</v>
      </c>
      <c r="D801">
        <v>3</v>
      </c>
      <c r="E801">
        <v>-150</v>
      </c>
    </row>
    <row r="802" spans="1:5" x14ac:dyDescent="0.35">
      <c r="A802">
        <v>201</v>
      </c>
      <c r="B802" t="s">
        <v>153</v>
      </c>
      <c r="C802" s="1" t="s">
        <v>178</v>
      </c>
      <c r="D802">
        <v>6</v>
      </c>
      <c r="E802">
        <v>135</v>
      </c>
    </row>
    <row r="803" spans="1:5" x14ac:dyDescent="0.35">
      <c r="A803">
        <v>201</v>
      </c>
      <c r="B803" t="s">
        <v>151</v>
      </c>
      <c r="C803" s="1" t="s">
        <v>172</v>
      </c>
      <c r="D803">
        <v>3</v>
      </c>
      <c r="E803">
        <v>-155</v>
      </c>
    </row>
    <row r="804" spans="1:5" x14ac:dyDescent="0.35">
      <c r="A804">
        <v>201</v>
      </c>
      <c r="B804" t="s">
        <v>153</v>
      </c>
      <c r="C804" s="1" t="s">
        <v>181</v>
      </c>
      <c r="D804">
        <v>2</v>
      </c>
      <c r="E804">
        <v>140</v>
      </c>
    </row>
    <row r="805" spans="1:5" x14ac:dyDescent="0.35">
      <c r="A805">
        <v>201</v>
      </c>
      <c r="B805" t="s">
        <v>151</v>
      </c>
      <c r="C805" s="1" t="s">
        <v>160</v>
      </c>
      <c r="D805">
        <v>3</v>
      </c>
      <c r="E805">
        <v>110</v>
      </c>
    </row>
    <row r="806" spans="1:5" x14ac:dyDescent="0.35">
      <c r="A806">
        <v>201</v>
      </c>
      <c r="B806" t="s">
        <v>153</v>
      </c>
      <c r="C806" s="1" t="s">
        <v>170</v>
      </c>
      <c r="D806">
        <v>0</v>
      </c>
      <c r="E806">
        <v>-120</v>
      </c>
    </row>
    <row r="807" spans="1:5" x14ac:dyDescent="0.35">
      <c r="A807">
        <v>201</v>
      </c>
      <c r="B807" t="s">
        <v>151</v>
      </c>
      <c r="C807" s="1" t="s">
        <v>171</v>
      </c>
      <c r="D807">
        <v>6</v>
      </c>
      <c r="E807">
        <v>-125</v>
      </c>
    </row>
    <row r="808" spans="1:5" x14ac:dyDescent="0.35">
      <c r="A808">
        <v>201</v>
      </c>
      <c r="B808" t="s">
        <v>153</v>
      </c>
      <c r="C808" s="1" t="s">
        <v>169</v>
      </c>
      <c r="D808">
        <v>1</v>
      </c>
      <c r="E808">
        <v>115</v>
      </c>
    </row>
    <row r="809" spans="1:5" x14ac:dyDescent="0.35">
      <c r="A809">
        <v>201</v>
      </c>
      <c r="B809" t="s">
        <v>151</v>
      </c>
      <c r="C809" s="1" t="s">
        <v>177</v>
      </c>
      <c r="D809">
        <v>3</v>
      </c>
      <c r="E809">
        <v>123</v>
      </c>
    </row>
    <row r="810" spans="1:5" x14ac:dyDescent="0.35">
      <c r="A810">
        <v>201</v>
      </c>
      <c r="B810" t="s">
        <v>153</v>
      </c>
      <c r="C810" s="1" t="s">
        <v>175</v>
      </c>
      <c r="D810">
        <v>2</v>
      </c>
      <c r="E810">
        <v>-133</v>
      </c>
    </row>
    <row r="811" spans="1:5" x14ac:dyDescent="0.35">
      <c r="A811">
        <v>201</v>
      </c>
      <c r="B811" t="s">
        <v>151</v>
      </c>
      <c r="C811" s="1" t="s">
        <v>158</v>
      </c>
      <c r="D811">
        <v>8</v>
      </c>
      <c r="E811">
        <v>145</v>
      </c>
    </row>
    <row r="812" spans="1:5" x14ac:dyDescent="0.35">
      <c r="A812">
        <v>201</v>
      </c>
      <c r="B812" t="s">
        <v>153</v>
      </c>
      <c r="C812" s="1" t="s">
        <v>173</v>
      </c>
      <c r="D812">
        <v>3</v>
      </c>
      <c r="E812">
        <v>-160</v>
      </c>
    </row>
    <row r="813" spans="1:5" x14ac:dyDescent="0.35">
      <c r="A813">
        <v>201</v>
      </c>
      <c r="B813" t="s">
        <v>151</v>
      </c>
      <c r="C813" s="1" t="s">
        <v>176</v>
      </c>
      <c r="D813">
        <v>3</v>
      </c>
      <c r="E813">
        <v>110</v>
      </c>
    </row>
    <row r="814" spans="1:5" x14ac:dyDescent="0.35">
      <c r="A814">
        <v>201</v>
      </c>
      <c r="B814" t="s">
        <v>153</v>
      </c>
      <c r="C814" s="1" t="s">
        <v>183</v>
      </c>
      <c r="D814">
        <v>1</v>
      </c>
      <c r="E814">
        <v>-120</v>
      </c>
    </row>
    <row r="815" spans="1:5" x14ac:dyDescent="0.35">
      <c r="A815">
        <v>201</v>
      </c>
      <c r="B815" t="s">
        <v>151</v>
      </c>
      <c r="C815" s="1" t="s">
        <v>162</v>
      </c>
      <c r="D815">
        <v>3</v>
      </c>
      <c r="E815">
        <v>-155</v>
      </c>
    </row>
    <row r="816" spans="1:5" x14ac:dyDescent="0.35">
      <c r="A816">
        <v>201</v>
      </c>
      <c r="B816" t="s">
        <v>153</v>
      </c>
      <c r="C816" s="1" t="s">
        <v>159</v>
      </c>
      <c r="D816">
        <v>0</v>
      </c>
      <c r="E816">
        <v>140</v>
      </c>
    </row>
    <row r="817" spans="1:5" x14ac:dyDescent="0.35">
      <c r="A817">
        <v>202</v>
      </c>
      <c r="B817" t="s">
        <v>151</v>
      </c>
      <c r="C817" s="1" t="s">
        <v>168</v>
      </c>
      <c r="D817">
        <v>4</v>
      </c>
      <c r="E817">
        <v>130</v>
      </c>
    </row>
    <row r="818" spans="1:5" x14ac:dyDescent="0.35">
      <c r="A818">
        <v>202</v>
      </c>
      <c r="B818" t="s">
        <v>153</v>
      </c>
      <c r="C818" s="1" t="s">
        <v>155</v>
      </c>
      <c r="D818">
        <v>3</v>
      </c>
      <c r="E818">
        <v>-140</v>
      </c>
    </row>
    <row r="819" spans="1:5" x14ac:dyDescent="0.35">
      <c r="A819">
        <v>202</v>
      </c>
      <c r="B819" t="s">
        <v>151</v>
      </c>
      <c r="C819" s="1" t="s">
        <v>179</v>
      </c>
      <c r="D819">
        <v>4</v>
      </c>
      <c r="E819">
        <v>120</v>
      </c>
    </row>
    <row r="820" spans="1:5" x14ac:dyDescent="0.35">
      <c r="A820">
        <v>202</v>
      </c>
      <c r="B820" t="s">
        <v>153</v>
      </c>
      <c r="C820" s="1" t="s">
        <v>163</v>
      </c>
      <c r="D820">
        <v>3</v>
      </c>
      <c r="E820">
        <v>-130</v>
      </c>
    </row>
    <row r="821" spans="1:5" x14ac:dyDescent="0.35">
      <c r="A821">
        <v>202</v>
      </c>
      <c r="B821" t="s">
        <v>151</v>
      </c>
      <c r="C821" s="1" t="s">
        <v>157</v>
      </c>
      <c r="D821">
        <v>3</v>
      </c>
      <c r="E821">
        <v>165</v>
      </c>
    </row>
    <row r="822" spans="1:5" x14ac:dyDescent="0.35">
      <c r="A822">
        <v>202</v>
      </c>
      <c r="B822" t="s">
        <v>153</v>
      </c>
      <c r="C822" s="1" t="s">
        <v>164</v>
      </c>
      <c r="D822">
        <v>4</v>
      </c>
      <c r="E822">
        <v>-185</v>
      </c>
    </row>
    <row r="823" spans="1:5" x14ac:dyDescent="0.35">
      <c r="A823">
        <v>203</v>
      </c>
      <c r="B823" t="s">
        <v>151</v>
      </c>
      <c r="C823" s="1" t="s">
        <v>172</v>
      </c>
      <c r="D823">
        <v>5</v>
      </c>
      <c r="E823">
        <v>-125</v>
      </c>
    </row>
    <row r="824" spans="1:5" x14ac:dyDescent="0.35">
      <c r="A824">
        <v>203</v>
      </c>
      <c r="B824" t="s">
        <v>153</v>
      </c>
      <c r="C824" s="1" t="s">
        <v>166</v>
      </c>
      <c r="D824">
        <v>3</v>
      </c>
      <c r="E824">
        <v>115</v>
      </c>
    </row>
    <row r="825" spans="1:5" x14ac:dyDescent="0.35">
      <c r="A825">
        <v>203</v>
      </c>
      <c r="B825" t="s">
        <v>151</v>
      </c>
      <c r="C825" s="1" t="s">
        <v>161</v>
      </c>
      <c r="D825">
        <v>5</v>
      </c>
      <c r="E825">
        <v>155</v>
      </c>
    </row>
    <row r="826" spans="1:5" x14ac:dyDescent="0.35">
      <c r="A826">
        <v>203</v>
      </c>
      <c r="B826" t="s">
        <v>153</v>
      </c>
      <c r="C826" s="1" t="s">
        <v>154</v>
      </c>
      <c r="D826">
        <v>3</v>
      </c>
      <c r="E826">
        <v>-170</v>
      </c>
    </row>
    <row r="827" spans="1:5" x14ac:dyDescent="0.35">
      <c r="A827">
        <v>203</v>
      </c>
      <c r="B827" t="s">
        <v>151</v>
      </c>
      <c r="C827" s="1" t="s">
        <v>178</v>
      </c>
      <c r="D827">
        <v>3</v>
      </c>
      <c r="E827">
        <v>-205</v>
      </c>
    </row>
    <row r="828" spans="1:5" x14ac:dyDescent="0.35">
      <c r="A828">
        <v>203</v>
      </c>
      <c r="B828" t="s">
        <v>153</v>
      </c>
      <c r="C828" s="1" t="s">
        <v>182</v>
      </c>
      <c r="D828">
        <v>0</v>
      </c>
      <c r="E828">
        <v>185</v>
      </c>
    </row>
    <row r="829" spans="1:5" x14ac:dyDescent="0.35">
      <c r="A829">
        <v>204</v>
      </c>
      <c r="B829" t="s">
        <v>151</v>
      </c>
      <c r="C829" s="1" t="s">
        <v>163</v>
      </c>
      <c r="D829">
        <v>5</v>
      </c>
      <c r="E829">
        <v>-125</v>
      </c>
    </row>
    <row r="830" spans="1:5" x14ac:dyDescent="0.35">
      <c r="A830">
        <v>204</v>
      </c>
      <c r="B830" t="s">
        <v>153</v>
      </c>
      <c r="C830" s="1" t="s">
        <v>181</v>
      </c>
      <c r="D830">
        <v>4</v>
      </c>
      <c r="E830">
        <v>115</v>
      </c>
    </row>
    <row r="831" spans="1:5" x14ac:dyDescent="0.35">
      <c r="A831">
        <v>204</v>
      </c>
      <c r="B831" t="s">
        <v>151</v>
      </c>
      <c r="C831" s="1" t="s">
        <v>161</v>
      </c>
      <c r="D831">
        <v>0</v>
      </c>
      <c r="E831">
        <v>120</v>
      </c>
    </row>
    <row r="832" spans="1:5" x14ac:dyDescent="0.35">
      <c r="A832">
        <v>204</v>
      </c>
      <c r="B832" t="s">
        <v>153</v>
      </c>
      <c r="C832" s="1" t="s">
        <v>179</v>
      </c>
      <c r="D832">
        <v>1</v>
      </c>
      <c r="E832">
        <v>-130</v>
      </c>
    </row>
    <row r="833" spans="1:5" x14ac:dyDescent="0.35">
      <c r="A833">
        <v>204</v>
      </c>
      <c r="B833" t="s">
        <v>151</v>
      </c>
      <c r="C833" s="1" t="s">
        <v>172</v>
      </c>
      <c r="D833">
        <v>3</v>
      </c>
      <c r="E833">
        <v>115</v>
      </c>
    </row>
    <row r="834" spans="1:5" x14ac:dyDescent="0.35">
      <c r="A834">
        <v>204</v>
      </c>
      <c r="B834" t="s">
        <v>153</v>
      </c>
      <c r="C834" s="1" t="s">
        <v>180</v>
      </c>
      <c r="D834">
        <v>4</v>
      </c>
      <c r="E834">
        <v>-125</v>
      </c>
    </row>
    <row r="835" spans="1:5" x14ac:dyDescent="0.35">
      <c r="A835">
        <v>204</v>
      </c>
      <c r="B835" t="s">
        <v>151</v>
      </c>
      <c r="C835" s="1" t="s">
        <v>160</v>
      </c>
      <c r="D835">
        <v>2</v>
      </c>
      <c r="E835">
        <v>150</v>
      </c>
    </row>
    <row r="836" spans="1:5" x14ac:dyDescent="0.35">
      <c r="A836">
        <v>204</v>
      </c>
      <c r="B836" t="s">
        <v>153</v>
      </c>
      <c r="C836" s="1" t="s">
        <v>162</v>
      </c>
      <c r="D836">
        <v>4</v>
      </c>
      <c r="E836">
        <v>-165</v>
      </c>
    </row>
    <row r="837" spans="1:5" x14ac:dyDescent="0.35">
      <c r="A837">
        <v>204</v>
      </c>
      <c r="B837" t="s">
        <v>151</v>
      </c>
      <c r="C837" s="1" t="s">
        <v>157</v>
      </c>
      <c r="D837">
        <v>0</v>
      </c>
      <c r="E837">
        <v>175</v>
      </c>
    </row>
    <row r="838" spans="1:5" x14ac:dyDescent="0.35">
      <c r="A838">
        <v>204</v>
      </c>
      <c r="B838" t="s">
        <v>153</v>
      </c>
      <c r="C838" s="1" t="s">
        <v>171</v>
      </c>
      <c r="D838">
        <v>4</v>
      </c>
      <c r="E838">
        <v>-195</v>
      </c>
    </row>
    <row r="839" spans="1:5" x14ac:dyDescent="0.35">
      <c r="A839">
        <v>204</v>
      </c>
      <c r="B839" t="s">
        <v>151</v>
      </c>
      <c r="C839" s="1" t="s">
        <v>174</v>
      </c>
      <c r="D839">
        <v>6</v>
      </c>
      <c r="E839">
        <v>-174</v>
      </c>
    </row>
    <row r="840" spans="1:5" x14ac:dyDescent="0.35">
      <c r="A840">
        <v>204</v>
      </c>
      <c r="B840" t="s">
        <v>153</v>
      </c>
      <c r="C840" s="1" t="s">
        <v>167</v>
      </c>
      <c r="D840">
        <v>1</v>
      </c>
      <c r="E840">
        <v>157</v>
      </c>
    </row>
    <row r="841" spans="1:5" x14ac:dyDescent="0.35">
      <c r="A841">
        <v>204</v>
      </c>
      <c r="B841" t="s">
        <v>151</v>
      </c>
      <c r="C841" s="1" t="s">
        <v>183</v>
      </c>
      <c r="D841">
        <v>2</v>
      </c>
      <c r="E841">
        <v>215</v>
      </c>
    </row>
    <row r="842" spans="1:5" x14ac:dyDescent="0.35">
      <c r="A842">
        <v>204</v>
      </c>
      <c r="B842" t="s">
        <v>153</v>
      </c>
      <c r="C842" s="1" t="s">
        <v>155</v>
      </c>
      <c r="D842">
        <v>4</v>
      </c>
      <c r="E842">
        <v>-245</v>
      </c>
    </row>
    <row r="843" spans="1:5" x14ac:dyDescent="0.35">
      <c r="A843">
        <v>204</v>
      </c>
      <c r="B843" t="s">
        <v>151</v>
      </c>
      <c r="C843" s="1" t="s">
        <v>176</v>
      </c>
      <c r="D843">
        <v>3</v>
      </c>
      <c r="E843">
        <v>100</v>
      </c>
    </row>
    <row r="844" spans="1:5" x14ac:dyDescent="0.35">
      <c r="A844">
        <v>204</v>
      </c>
      <c r="B844" t="s">
        <v>153</v>
      </c>
      <c r="C844" s="1" t="s">
        <v>152</v>
      </c>
      <c r="D844">
        <v>2</v>
      </c>
      <c r="E844">
        <v>-110</v>
      </c>
    </row>
    <row r="845" spans="1:5" x14ac:dyDescent="0.35">
      <c r="A845">
        <v>204</v>
      </c>
      <c r="B845" t="s">
        <v>151</v>
      </c>
      <c r="C845" s="1" t="s">
        <v>170</v>
      </c>
      <c r="D845">
        <v>2</v>
      </c>
      <c r="E845">
        <v>-120</v>
      </c>
    </row>
    <row r="846" spans="1:5" x14ac:dyDescent="0.35">
      <c r="A846">
        <v>204</v>
      </c>
      <c r="B846" t="s">
        <v>153</v>
      </c>
      <c r="C846" s="1" t="s">
        <v>165</v>
      </c>
      <c r="D846">
        <v>1</v>
      </c>
      <c r="E846">
        <v>110</v>
      </c>
    </row>
    <row r="847" spans="1:5" x14ac:dyDescent="0.35">
      <c r="A847">
        <v>204</v>
      </c>
      <c r="B847" t="s">
        <v>151</v>
      </c>
      <c r="C847" s="1" t="s">
        <v>164</v>
      </c>
      <c r="D847">
        <v>3</v>
      </c>
      <c r="E847">
        <v>125</v>
      </c>
    </row>
    <row r="848" spans="1:5" x14ac:dyDescent="0.35">
      <c r="A848">
        <v>204</v>
      </c>
      <c r="B848" t="s">
        <v>153</v>
      </c>
      <c r="C848" s="1" t="s">
        <v>156</v>
      </c>
      <c r="D848">
        <v>6</v>
      </c>
      <c r="E848">
        <v>-135</v>
      </c>
    </row>
    <row r="849" spans="1:5" x14ac:dyDescent="0.35">
      <c r="A849">
        <v>204</v>
      </c>
      <c r="B849" t="s">
        <v>151</v>
      </c>
      <c r="C849" s="1" t="s">
        <v>177</v>
      </c>
      <c r="D849">
        <v>2</v>
      </c>
      <c r="E849">
        <v>115</v>
      </c>
    </row>
    <row r="850" spans="1:5" x14ac:dyDescent="0.35">
      <c r="A850">
        <v>204</v>
      </c>
      <c r="B850" t="s">
        <v>153</v>
      </c>
      <c r="C850" s="1" t="s">
        <v>169</v>
      </c>
      <c r="D850">
        <v>3</v>
      </c>
      <c r="E850">
        <v>-125</v>
      </c>
    </row>
    <row r="851" spans="1:5" x14ac:dyDescent="0.35">
      <c r="A851">
        <v>204</v>
      </c>
      <c r="B851" t="s">
        <v>151</v>
      </c>
      <c r="C851" s="1" t="s">
        <v>159</v>
      </c>
      <c r="D851">
        <v>3</v>
      </c>
      <c r="E851">
        <v>160</v>
      </c>
    </row>
    <row r="852" spans="1:5" x14ac:dyDescent="0.35">
      <c r="A852">
        <v>204</v>
      </c>
      <c r="B852" t="s">
        <v>153</v>
      </c>
      <c r="C852" s="1" t="s">
        <v>173</v>
      </c>
      <c r="D852">
        <v>1</v>
      </c>
      <c r="E852">
        <v>-180</v>
      </c>
    </row>
    <row r="853" spans="1:5" x14ac:dyDescent="0.35">
      <c r="A853">
        <v>204</v>
      </c>
      <c r="B853" t="s">
        <v>151</v>
      </c>
      <c r="C853" s="1" t="s">
        <v>158</v>
      </c>
      <c r="D853">
        <v>0</v>
      </c>
      <c r="E853">
        <v>105</v>
      </c>
    </row>
    <row r="854" spans="1:5" x14ac:dyDescent="0.35">
      <c r="A854">
        <v>204</v>
      </c>
      <c r="B854" t="s">
        <v>153</v>
      </c>
      <c r="C854" s="1" t="s">
        <v>175</v>
      </c>
      <c r="D854">
        <v>3</v>
      </c>
      <c r="E854">
        <v>-115</v>
      </c>
    </row>
    <row r="855" spans="1:5" x14ac:dyDescent="0.35">
      <c r="A855">
        <v>205</v>
      </c>
      <c r="B855" t="s">
        <v>151</v>
      </c>
      <c r="C855" s="1" t="s">
        <v>154</v>
      </c>
      <c r="D855">
        <v>3</v>
      </c>
      <c r="E855">
        <v>-137</v>
      </c>
    </row>
    <row r="856" spans="1:5" x14ac:dyDescent="0.35">
      <c r="A856">
        <v>205</v>
      </c>
      <c r="B856" t="s">
        <v>153</v>
      </c>
      <c r="C856" s="1" t="s">
        <v>166</v>
      </c>
      <c r="D856">
        <v>5</v>
      </c>
      <c r="E856">
        <v>127</v>
      </c>
    </row>
    <row r="857" spans="1:5" x14ac:dyDescent="0.35">
      <c r="A857">
        <v>205</v>
      </c>
      <c r="B857" t="s">
        <v>151</v>
      </c>
      <c r="C857" s="1" t="s">
        <v>171</v>
      </c>
      <c r="D857">
        <v>2</v>
      </c>
      <c r="E857">
        <v>-150</v>
      </c>
    </row>
    <row r="858" spans="1:5" x14ac:dyDescent="0.35">
      <c r="A858">
        <v>205</v>
      </c>
      <c r="B858" t="s">
        <v>153</v>
      </c>
      <c r="C858" s="1" t="s">
        <v>177</v>
      </c>
      <c r="D858">
        <v>1</v>
      </c>
      <c r="E858">
        <v>135</v>
      </c>
    </row>
    <row r="859" spans="1:5" x14ac:dyDescent="0.35">
      <c r="A859">
        <v>206</v>
      </c>
      <c r="B859" t="s">
        <v>151</v>
      </c>
      <c r="C859" s="1" t="s">
        <v>168</v>
      </c>
      <c r="D859">
        <v>2</v>
      </c>
      <c r="E859">
        <v>140</v>
      </c>
    </row>
    <row r="860" spans="1:5" x14ac:dyDescent="0.35">
      <c r="A860">
        <v>206</v>
      </c>
      <c r="B860" t="s">
        <v>153</v>
      </c>
      <c r="C860" s="1" t="s">
        <v>162</v>
      </c>
      <c r="D860">
        <v>4</v>
      </c>
      <c r="E860">
        <v>-155</v>
      </c>
    </row>
    <row r="861" spans="1:5" x14ac:dyDescent="0.35">
      <c r="A861">
        <v>206</v>
      </c>
      <c r="B861" t="s">
        <v>151</v>
      </c>
      <c r="C861" s="1" t="s">
        <v>181</v>
      </c>
      <c r="D861">
        <v>5</v>
      </c>
      <c r="E861">
        <v>190</v>
      </c>
    </row>
    <row r="862" spans="1:5" x14ac:dyDescent="0.35">
      <c r="A862">
        <v>206</v>
      </c>
      <c r="B862" t="s">
        <v>153</v>
      </c>
      <c r="C862" s="1" t="s">
        <v>178</v>
      </c>
      <c r="D862">
        <v>0</v>
      </c>
      <c r="E862">
        <v>-210</v>
      </c>
    </row>
    <row r="863" spans="1:5" x14ac:dyDescent="0.35">
      <c r="A863">
        <v>206</v>
      </c>
      <c r="B863" t="s">
        <v>151</v>
      </c>
      <c r="C863" s="1" t="s">
        <v>182</v>
      </c>
      <c r="D863">
        <v>4</v>
      </c>
      <c r="E863">
        <v>200</v>
      </c>
    </row>
    <row r="864" spans="1:5" x14ac:dyDescent="0.35">
      <c r="A864">
        <v>206</v>
      </c>
      <c r="B864" t="s">
        <v>153</v>
      </c>
      <c r="C864" s="1" t="s">
        <v>167</v>
      </c>
      <c r="D864">
        <v>3</v>
      </c>
      <c r="E864">
        <v>-220</v>
      </c>
    </row>
    <row r="865" spans="1:5" x14ac:dyDescent="0.35">
      <c r="A865">
        <v>206</v>
      </c>
      <c r="B865" t="s">
        <v>151</v>
      </c>
      <c r="C865" s="1" t="s">
        <v>183</v>
      </c>
      <c r="D865">
        <v>3</v>
      </c>
      <c r="E865">
        <v>170</v>
      </c>
    </row>
    <row r="866" spans="1:5" x14ac:dyDescent="0.35">
      <c r="A866">
        <v>206</v>
      </c>
      <c r="B866" t="s">
        <v>153</v>
      </c>
      <c r="C866" s="1" t="s">
        <v>180</v>
      </c>
      <c r="D866">
        <v>5</v>
      </c>
      <c r="E866">
        <v>-190</v>
      </c>
    </row>
    <row r="867" spans="1:5" x14ac:dyDescent="0.35">
      <c r="A867">
        <v>206</v>
      </c>
      <c r="B867" t="s">
        <v>151</v>
      </c>
      <c r="C867" s="1" t="s">
        <v>176</v>
      </c>
      <c r="D867">
        <v>2</v>
      </c>
      <c r="E867">
        <v>140</v>
      </c>
    </row>
    <row r="868" spans="1:5" x14ac:dyDescent="0.35">
      <c r="A868">
        <v>206</v>
      </c>
      <c r="B868" t="s">
        <v>153</v>
      </c>
      <c r="C868" s="1" t="s">
        <v>163</v>
      </c>
      <c r="D868">
        <v>3</v>
      </c>
      <c r="E868">
        <v>-155</v>
      </c>
    </row>
    <row r="869" spans="1:5" x14ac:dyDescent="0.35">
      <c r="A869">
        <v>206</v>
      </c>
      <c r="B869" t="s">
        <v>151</v>
      </c>
      <c r="C869" s="1" t="s">
        <v>160</v>
      </c>
      <c r="D869">
        <v>7</v>
      </c>
      <c r="E869">
        <v>-130</v>
      </c>
    </row>
    <row r="870" spans="1:5" x14ac:dyDescent="0.35">
      <c r="A870">
        <v>206</v>
      </c>
      <c r="B870" t="s">
        <v>153</v>
      </c>
      <c r="C870" s="1" t="s">
        <v>161</v>
      </c>
      <c r="D870">
        <v>2</v>
      </c>
      <c r="E870">
        <v>120</v>
      </c>
    </row>
    <row r="871" spans="1:5" x14ac:dyDescent="0.35">
      <c r="A871">
        <v>206</v>
      </c>
      <c r="B871" t="s">
        <v>151</v>
      </c>
      <c r="C871" s="1" t="s">
        <v>174</v>
      </c>
      <c r="D871">
        <v>4</v>
      </c>
      <c r="E871">
        <v>-205</v>
      </c>
    </row>
    <row r="872" spans="1:5" x14ac:dyDescent="0.35">
      <c r="A872">
        <v>206</v>
      </c>
      <c r="B872" t="s">
        <v>153</v>
      </c>
      <c r="C872" s="1" t="s">
        <v>152</v>
      </c>
      <c r="D872">
        <v>1</v>
      </c>
      <c r="E872">
        <v>185</v>
      </c>
    </row>
    <row r="873" spans="1:5" x14ac:dyDescent="0.35">
      <c r="A873">
        <v>206</v>
      </c>
      <c r="B873" t="s">
        <v>151</v>
      </c>
      <c r="C873" s="1" t="s">
        <v>157</v>
      </c>
      <c r="D873">
        <v>2</v>
      </c>
      <c r="E873">
        <v>110</v>
      </c>
    </row>
    <row r="874" spans="1:5" x14ac:dyDescent="0.35">
      <c r="A874">
        <v>206</v>
      </c>
      <c r="B874" t="s">
        <v>153</v>
      </c>
      <c r="C874" s="1" t="s">
        <v>169</v>
      </c>
      <c r="D874">
        <v>4</v>
      </c>
      <c r="E874">
        <v>-120</v>
      </c>
    </row>
    <row r="875" spans="1:5" x14ac:dyDescent="0.35">
      <c r="A875">
        <v>206</v>
      </c>
      <c r="B875" t="s">
        <v>151</v>
      </c>
      <c r="C875" s="1" t="s">
        <v>165</v>
      </c>
      <c r="D875">
        <v>4</v>
      </c>
      <c r="E875">
        <v>180</v>
      </c>
    </row>
    <row r="876" spans="1:5" x14ac:dyDescent="0.35">
      <c r="A876">
        <v>206</v>
      </c>
      <c r="B876" t="s">
        <v>153</v>
      </c>
      <c r="C876" s="1" t="s">
        <v>156</v>
      </c>
      <c r="D876">
        <v>2</v>
      </c>
      <c r="E876">
        <v>-200</v>
      </c>
    </row>
    <row r="877" spans="1:5" x14ac:dyDescent="0.35">
      <c r="A877">
        <v>206</v>
      </c>
      <c r="B877" t="s">
        <v>151</v>
      </c>
      <c r="C877" s="1" t="s">
        <v>164</v>
      </c>
      <c r="D877">
        <v>5</v>
      </c>
      <c r="E877">
        <v>-110</v>
      </c>
    </row>
    <row r="878" spans="1:5" x14ac:dyDescent="0.35">
      <c r="A878">
        <v>206</v>
      </c>
      <c r="B878" t="s">
        <v>153</v>
      </c>
      <c r="C878" s="1" t="s">
        <v>175</v>
      </c>
      <c r="D878">
        <v>3</v>
      </c>
      <c r="E878">
        <v>100</v>
      </c>
    </row>
    <row r="879" spans="1:5" x14ac:dyDescent="0.35">
      <c r="A879">
        <v>206</v>
      </c>
      <c r="B879" t="s">
        <v>151</v>
      </c>
      <c r="C879" s="1" t="s">
        <v>170</v>
      </c>
      <c r="D879">
        <v>3</v>
      </c>
      <c r="E879">
        <v>-108</v>
      </c>
    </row>
    <row r="880" spans="1:5" x14ac:dyDescent="0.35">
      <c r="A880">
        <v>206</v>
      </c>
      <c r="B880" t="s">
        <v>153</v>
      </c>
      <c r="C880" s="1" t="s">
        <v>173</v>
      </c>
      <c r="D880">
        <v>2</v>
      </c>
      <c r="E880">
        <v>-102</v>
      </c>
    </row>
    <row r="881" spans="1:5" x14ac:dyDescent="0.35">
      <c r="A881">
        <v>206</v>
      </c>
      <c r="B881" t="s">
        <v>151</v>
      </c>
      <c r="C881" s="1" t="s">
        <v>159</v>
      </c>
      <c r="D881">
        <v>6</v>
      </c>
      <c r="E881">
        <v>150</v>
      </c>
    </row>
    <row r="882" spans="1:5" x14ac:dyDescent="0.35">
      <c r="A882">
        <v>206</v>
      </c>
      <c r="B882" t="s">
        <v>153</v>
      </c>
      <c r="C882" s="1" t="s">
        <v>158</v>
      </c>
      <c r="D882">
        <v>3</v>
      </c>
      <c r="E882">
        <v>-165</v>
      </c>
    </row>
    <row r="883" spans="1:5" x14ac:dyDescent="0.35">
      <c r="A883">
        <v>207</v>
      </c>
      <c r="B883" t="s">
        <v>151</v>
      </c>
      <c r="C883" s="1" t="s">
        <v>176</v>
      </c>
      <c r="D883">
        <v>4</v>
      </c>
      <c r="E883">
        <v>210</v>
      </c>
    </row>
    <row r="884" spans="1:5" x14ac:dyDescent="0.35">
      <c r="A884">
        <v>207</v>
      </c>
      <c r="B884" t="s">
        <v>153</v>
      </c>
      <c r="C884" s="1" t="s">
        <v>154</v>
      </c>
      <c r="D884">
        <v>5</v>
      </c>
      <c r="E884">
        <v>-240</v>
      </c>
    </row>
    <row r="885" spans="1:5" x14ac:dyDescent="0.35">
      <c r="A885">
        <v>207</v>
      </c>
      <c r="B885" t="s">
        <v>151</v>
      </c>
      <c r="C885" s="1" t="s">
        <v>167</v>
      </c>
      <c r="D885">
        <v>3</v>
      </c>
      <c r="E885">
        <v>150</v>
      </c>
    </row>
    <row r="886" spans="1:5" x14ac:dyDescent="0.35">
      <c r="A886">
        <v>207</v>
      </c>
      <c r="B886" t="s">
        <v>153</v>
      </c>
      <c r="C886" s="1" t="s">
        <v>166</v>
      </c>
      <c r="D886">
        <v>2</v>
      </c>
      <c r="E886">
        <v>-165</v>
      </c>
    </row>
    <row r="887" spans="1:5" x14ac:dyDescent="0.35">
      <c r="A887">
        <v>207</v>
      </c>
      <c r="B887" t="s">
        <v>151</v>
      </c>
      <c r="C887" s="1" t="s">
        <v>182</v>
      </c>
      <c r="D887">
        <v>0</v>
      </c>
      <c r="E887">
        <v>290</v>
      </c>
    </row>
    <row r="888" spans="1:5" x14ac:dyDescent="0.35">
      <c r="A888">
        <v>207</v>
      </c>
      <c r="B888" t="s">
        <v>153</v>
      </c>
      <c r="C888" s="1" t="s">
        <v>179</v>
      </c>
      <c r="D888">
        <v>2</v>
      </c>
      <c r="E888">
        <v>-340</v>
      </c>
    </row>
    <row r="889" spans="1:5" x14ac:dyDescent="0.35">
      <c r="A889">
        <v>207</v>
      </c>
      <c r="B889" t="s">
        <v>151</v>
      </c>
      <c r="C889" s="1" t="s">
        <v>169</v>
      </c>
      <c r="D889">
        <v>3</v>
      </c>
      <c r="E889">
        <v>165</v>
      </c>
    </row>
    <row r="890" spans="1:5" x14ac:dyDescent="0.35">
      <c r="A890">
        <v>207</v>
      </c>
      <c r="B890" t="s">
        <v>153</v>
      </c>
      <c r="C890" s="1" t="s">
        <v>172</v>
      </c>
      <c r="D890">
        <v>2</v>
      </c>
      <c r="E890">
        <v>-185</v>
      </c>
    </row>
    <row r="891" spans="1:5" x14ac:dyDescent="0.35">
      <c r="A891">
        <v>208</v>
      </c>
      <c r="B891" t="s">
        <v>151</v>
      </c>
      <c r="C891" s="1" t="s">
        <v>152</v>
      </c>
      <c r="D891">
        <v>2</v>
      </c>
      <c r="E891">
        <v>140</v>
      </c>
    </row>
    <row r="892" spans="1:5" x14ac:dyDescent="0.35">
      <c r="A892">
        <v>208</v>
      </c>
      <c r="B892" t="s">
        <v>153</v>
      </c>
      <c r="C892" s="1" t="s">
        <v>165</v>
      </c>
      <c r="D892">
        <v>5</v>
      </c>
      <c r="E892">
        <v>-155</v>
      </c>
    </row>
    <row r="893" spans="1:5" x14ac:dyDescent="0.35">
      <c r="A893">
        <v>208</v>
      </c>
      <c r="B893" t="s">
        <v>151</v>
      </c>
      <c r="C893" s="1" t="s">
        <v>175</v>
      </c>
      <c r="D893">
        <v>2</v>
      </c>
      <c r="E893">
        <v>200</v>
      </c>
    </row>
    <row r="894" spans="1:5" x14ac:dyDescent="0.35">
      <c r="A894">
        <v>208</v>
      </c>
      <c r="B894" t="s">
        <v>153</v>
      </c>
      <c r="C894" s="1" t="s">
        <v>171</v>
      </c>
      <c r="D894">
        <v>4</v>
      </c>
      <c r="E894">
        <v>-220</v>
      </c>
    </row>
    <row r="895" spans="1:5" x14ac:dyDescent="0.35">
      <c r="A895">
        <v>208</v>
      </c>
      <c r="B895" t="s">
        <v>151</v>
      </c>
      <c r="C895" s="1" t="s">
        <v>183</v>
      </c>
      <c r="D895">
        <v>0</v>
      </c>
      <c r="E895">
        <v>-105</v>
      </c>
    </row>
    <row r="896" spans="1:5" x14ac:dyDescent="0.35">
      <c r="A896">
        <v>208</v>
      </c>
      <c r="B896" t="s">
        <v>153</v>
      </c>
      <c r="C896" s="1" t="s">
        <v>181</v>
      </c>
      <c r="D896">
        <v>3</v>
      </c>
      <c r="E896">
        <v>-105</v>
      </c>
    </row>
    <row r="897" spans="1:5" x14ac:dyDescent="0.35">
      <c r="A897">
        <v>208</v>
      </c>
      <c r="B897" t="s">
        <v>151</v>
      </c>
      <c r="C897" s="1" t="s">
        <v>170</v>
      </c>
      <c r="D897">
        <v>2</v>
      </c>
      <c r="E897">
        <v>-115</v>
      </c>
    </row>
    <row r="898" spans="1:5" x14ac:dyDescent="0.35">
      <c r="A898">
        <v>208</v>
      </c>
      <c r="B898" t="s">
        <v>153</v>
      </c>
      <c r="C898" s="1" t="s">
        <v>158</v>
      </c>
      <c r="D898">
        <v>3</v>
      </c>
      <c r="E898">
        <v>105</v>
      </c>
    </row>
    <row r="899" spans="1:5" x14ac:dyDescent="0.35">
      <c r="A899">
        <v>208</v>
      </c>
      <c r="B899" t="s">
        <v>151</v>
      </c>
      <c r="C899" s="1" t="s">
        <v>174</v>
      </c>
      <c r="D899">
        <v>2</v>
      </c>
      <c r="E899">
        <v>-135</v>
      </c>
    </row>
    <row r="900" spans="1:5" x14ac:dyDescent="0.35">
      <c r="A900">
        <v>208</v>
      </c>
      <c r="B900" t="s">
        <v>153</v>
      </c>
      <c r="C900" s="1" t="s">
        <v>179</v>
      </c>
      <c r="D900">
        <v>1</v>
      </c>
      <c r="E900">
        <v>125</v>
      </c>
    </row>
    <row r="901" spans="1:5" x14ac:dyDescent="0.35">
      <c r="A901">
        <v>208</v>
      </c>
      <c r="B901" t="s">
        <v>151</v>
      </c>
      <c r="C901" s="1" t="s">
        <v>154</v>
      </c>
      <c r="D901">
        <v>1</v>
      </c>
      <c r="E901">
        <v>100</v>
      </c>
    </row>
    <row r="902" spans="1:5" x14ac:dyDescent="0.35">
      <c r="A902">
        <v>208</v>
      </c>
      <c r="B902" t="s">
        <v>153</v>
      </c>
      <c r="C902" s="1" t="s">
        <v>163</v>
      </c>
      <c r="D902">
        <v>2</v>
      </c>
      <c r="E902">
        <v>-110</v>
      </c>
    </row>
    <row r="903" spans="1:5" x14ac:dyDescent="0.35">
      <c r="A903">
        <v>208</v>
      </c>
      <c r="B903" t="s">
        <v>151</v>
      </c>
      <c r="C903" s="1" t="s">
        <v>168</v>
      </c>
      <c r="D903">
        <v>3</v>
      </c>
      <c r="E903">
        <v>-115</v>
      </c>
    </row>
    <row r="904" spans="1:5" x14ac:dyDescent="0.35">
      <c r="A904">
        <v>208</v>
      </c>
      <c r="B904" t="s">
        <v>153</v>
      </c>
      <c r="C904" s="1" t="s">
        <v>161</v>
      </c>
      <c r="D904">
        <v>2</v>
      </c>
      <c r="E904">
        <v>105</v>
      </c>
    </row>
    <row r="905" spans="1:5" x14ac:dyDescent="0.35">
      <c r="A905">
        <v>208</v>
      </c>
      <c r="B905" t="s">
        <v>151</v>
      </c>
      <c r="C905" s="1" t="s">
        <v>178</v>
      </c>
      <c r="D905">
        <v>7</v>
      </c>
      <c r="E905">
        <v>155</v>
      </c>
    </row>
    <row r="906" spans="1:5" x14ac:dyDescent="0.35">
      <c r="A906">
        <v>208</v>
      </c>
      <c r="B906" t="s">
        <v>153</v>
      </c>
      <c r="C906" s="1" t="s">
        <v>155</v>
      </c>
      <c r="D906">
        <v>2</v>
      </c>
      <c r="E906">
        <v>-170</v>
      </c>
    </row>
    <row r="907" spans="1:5" x14ac:dyDescent="0.35">
      <c r="A907">
        <v>208</v>
      </c>
      <c r="B907" t="s">
        <v>151</v>
      </c>
      <c r="C907" s="1" t="s">
        <v>180</v>
      </c>
      <c r="D907">
        <v>1</v>
      </c>
      <c r="E907">
        <v>180</v>
      </c>
    </row>
    <row r="908" spans="1:5" x14ac:dyDescent="0.35">
      <c r="A908">
        <v>208</v>
      </c>
      <c r="B908" t="s">
        <v>153</v>
      </c>
      <c r="C908" s="1" t="s">
        <v>162</v>
      </c>
      <c r="D908">
        <v>3</v>
      </c>
      <c r="E908">
        <v>-200</v>
      </c>
    </row>
    <row r="909" spans="1:5" x14ac:dyDescent="0.35">
      <c r="A909">
        <v>208</v>
      </c>
      <c r="B909" t="s">
        <v>151</v>
      </c>
      <c r="C909" s="1" t="s">
        <v>172</v>
      </c>
      <c r="D909">
        <v>3</v>
      </c>
      <c r="E909">
        <v>140</v>
      </c>
    </row>
    <row r="910" spans="1:5" x14ac:dyDescent="0.35">
      <c r="A910">
        <v>208</v>
      </c>
      <c r="B910" t="s">
        <v>153</v>
      </c>
      <c r="C910" s="1" t="s">
        <v>156</v>
      </c>
      <c r="D910">
        <v>2</v>
      </c>
      <c r="E910">
        <v>-155</v>
      </c>
    </row>
    <row r="911" spans="1:5" x14ac:dyDescent="0.35">
      <c r="A911">
        <v>208</v>
      </c>
      <c r="B911" t="s">
        <v>151</v>
      </c>
      <c r="C911" s="1" t="s">
        <v>173</v>
      </c>
      <c r="D911">
        <v>6</v>
      </c>
      <c r="E911">
        <v>115</v>
      </c>
    </row>
    <row r="912" spans="1:5" x14ac:dyDescent="0.35">
      <c r="A912">
        <v>208</v>
      </c>
      <c r="B912" t="s">
        <v>153</v>
      </c>
      <c r="C912" s="1" t="s">
        <v>157</v>
      </c>
      <c r="D912">
        <v>2</v>
      </c>
      <c r="E912">
        <v>-125</v>
      </c>
    </row>
    <row r="913" spans="1:5" x14ac:dyDescent="0.35">
      <c r="A913">
        <v>208</v>
      </c>
      <c r="B913" t="s">
        <v>151</v>
      </c>
      <c r="C913" s="1" t="s">
        <v>164</v>
      </c>
      <c r="D913">
        <v>6</v>
      </c>
      <c r="E913">
        <v>125</v>
      </c>
    </row>
    <row r="914" spans="1:5" x14ac:dyDescent="0.35">
      <c r="A914">
        <v>208</v>
      </c>
      <c r="B914" t="s">
        <v>153</v>
      </c>
      <c r="C914" s="1" t="s">
        <v>160</v>
      </c>
      <c r="D914">
        <v>5</v>
      </c>
      <c r="E914">
        <v>-135</v>
      </c>
    </row>
    <row r="915" spans="1:5" x14ac:dyDescent="0.35">
      <c r="A915">
        <v>209</v>
      </c>
      <c r="B915" t="s">
        <v>151</v>
      </c>
      <c r="C915" s="1" t="s">
        <v>171</v>
      </c>
      <c r="D915">
        <v>1</v>
      </c>
      <c r="E915">
        <v>-340</v>
      </c>
    </row>
    <row r="916" spans="1:5" x14ac:dyDescent="0.35">
      <c r="A916">
        <v>209</v>
      </c>
      <c r="B916" t="s">
        <v>153</v>
      </c>
      <c r="C916" s="1" t="s">
        <v>182</v>
      </c>
      <c r="D916">
        <v>3</v>
      </c>
      <c r="E916">
        <v>290</v>
      </c>
    </row>
    <row r="917" spans="1:5" x14ac:dyDescent="0.35">
      <c r="A917">
        <v>209</v>
      </c>
      <c r="B917" t="s">
        <v>151</v>
      </c>
      <c r="C917" s="1" t="s">
        <v>176</v>
      </c>
      <c r="D917">
        <v>3</v>
      </c>
      <c r="E917">
        <v>110</v>
      </c>
    </row>
    <row r="918" spans="1:5" x14ac:dyDescent="0.35">
      <c r="A918">
        <v>209</v>
      </c>
      <c r="B918" t="s">
        <v>153</v>
      </c>
      <c r="C918" s="1" t="s">
        <v>167</v>
      </c>
      <c r="D918">
        <v>2</v>
      </c>
      <c r="E918">
        <v>-120</v>
      </c>
    </row>
    <row r="919" spans="1:5" x14ac:dyDescent="0.35">
      <c r="A919">
        <v>209</v>
      </c>
      <c r="B919" t="s">
        <v>151</v>
      </c>
      <c r="C919" s="1" t="s">
        <v>183</v>
      </c>
      <c r="D919">
        <v>1</v>
      </c>
      <c r="E919">
        <v>155</v>
      </c>
    </row>
    <row r="920" spans="1:5" x14ac:dyDescent="0.35">
      <c r="A920">
        <v>209</v>
      </c>
      <c r="B920" t="s">
        <v>153</v>
      </c>
      <c r="C920" s="1" t="s">
        <v>166</v>
      </c>
      <c r="D920">
        <v>4</v>
      </c>
      <c r="E920">
        <v>-170</v>
      </c>
    </row>
    <row r="921" spans="1:5" x14ac:dyDescent="0.35">
      <c r="A921">
        <v>209</v>
      </c>
      <c r="B921" t="s">
        <v>151</v>
      </c>
      <c r="C921" s="1" t="s">
        <v>177</v>
      </c>
      <c r="D921">
        <v>2</v>
      </c>
      <c r="E921">
        <v>105</v>
      </c>
    </row>
    <row r="922" spans="1:5" x14ac:dyDescent="0.35">
      <c r="A922">
        <v>209</v>
      </c>
      <c r="B922" t="s">
        <v>153</v>
      </c>
      <c r="C922" s="1" t="s">
        <v>165</v>
      </c>
      <c r="D922">
        <v>5</v>
      </c>
      <c r="E922">
        <v>-115</v>
      </c>
    </row>
    <row r="923" spans="1:5" x14ac:dyDescent="0.35">
      <c r="A923">
        <v>209</v>
      </c>
      <c r="B923" t="s">
        <v>151</v>
      </c>
      <c r="C923" s="1" t="s">
        <v>174</v>
      </c>
      <c r="D923">
        <v>3</v>
      </c>
      <c r="E923">
        <v>-127</v>
      </c>
    </row>
    <row r="924" spans="1:5" x14ac:dyDescent="0.35">
      <c r="A924">
        <v>209</v>
      </c>
      <c r="B924" t="s">
        <v>153</v>
      </c>
      <c r="C924" s="1" t="s">
        <v>169</v>
      </c>
      <c r="D924">
        <v>2</v>
      </c>
      <c r="E924">
        <v>117</v>
      </c>
    </row>
    <row r="925" spans="1:5" x14ac:dyDescent="0.35">
      <c r="A925">
        <v>210</v>
      </c>
      <c r="B925" t="s">
        <v>151</v>
      </c>
      <c r="C925" s="1" t="s">
        <v>175</v>
      </c>
      <c r="D925">
        <v>3</v>
      </c>
      <c r="E925">
        <v>125</v>
      </c>
    </row>
    <row r="926" spans="1:5" x14ac:dyDescent="0.35">
      <c r="A926">
        <v>210</v>
      </c>
      <c r="B926" t="s">
        <v>153</v>
      </c>
      <c r="C926" s="1" t="s">
        <v>163</v>
      </c>
      <c r="D926">
        <v>2</v>
      </c>
      <c r="E926">
        <v>-135</v>
      </c>
    </row>
    <row r="927" spans="1:5" x14ac:dyDescent="0.35">
      <c r="A927">
        <v>210</v>
      </c>
      <c r="B927" t="s">
        <v>151</v>
      </c>
      <c r="C927" s="1" t="s">
        <v>161</v>
      </c>
      <c r="D927">
        <v>1</v>
      </c>
      <c r="E927">
        <v>120</v>
      </c>
    </row>
    <row r="928" spans="1:5" x14ac:dyDescent="0.35">
      <c r="A928">
        <v>210</v>
      </c>
      <c r="B928" t="s">
        <v>153</v>
      </c>
      <c r="C928" s="1" t="s">
        <v>178</v>
      </c>
      <c r="D928">
        <v>4</v>
      </c>
      <c r="E928">
        <v>-130</v>
      </c>
    </row>
    <row r="929" spans="1:5" x14ac:dyDescent="0.35">
      <c r="A929">
        <v>210</v>
      </c>
      <c r="B929" t="s">
        <v>151</v>
      </c>
      <c r="C929" s="1" t="s">
        <v>180</v>
      </c>
      <c r="D929">
        <v>5</v>
      </c>
      <c r="E929">
        <v>150</v>
      </c>
    </row>
    <row r="930" spans="1:5" x14ac:dyDescent="0.35">
      <c r="A930">
        <v>210</v>
      </c>
      <c r="B930" t="s">
        <v>153</v>
      </c>
      <c r="C930" s="1" t="s">
        <v>155</v>
      </c>
      <c r="D930">
        <v>3</v>
      </c>
      <c r="E930">
        <v>-165</v>
      </c>
    </row>
    <row r="931" spans="1:5" x14ac:dyDescent="0.35">
      <c r="A931">
        <v>210</v>
      </c>
      <c r="B931" t="s">
        <v>151</v>
      </c>
      <c r="C931" s="1" t="s">
        <v>162</v>
      </c>
      <c r="D931">
        <v>2</v>
      </c>
      <c r="E931">
        <v>-155</v>
      </c>
    </row>
    <row r="932" spans="1:5" x14ac:dyDescent="0.35">
      <c r="A932">
        <v>210</v>
      </c>
      <c r="B932" t="s">
        <v>153</v>
      </c>
      <c r="C932" s="1" t="s">
        <v>179</v>
      </c>
      <c r="D932">
        <v>1</v>
      </c>
      <c r="E932">
        <v>140</v>
      </c>
    </row>
    <row r="933" spans="1:5" x14ac:dyDescent="0.35">
      <c r="A933">
        <v>210</v>
      </c>
      <c r="B933" t="s">
        <v>151</v>
      </c>
      <c r="C933" s="1" t="s">
        <v>170</v>
      </c>
      <c r="D933">
        <v>2</v>
      </c>
      <c r="E933">
        <v>-115</v>
      </c>
    </row>
    <row r="934" spans="1:5" x14ac:dyDescent="0.35">
      <c r="A934">
        <v>210</v>
      </c>
      <c r="B934" t="s">
        <v>153</v>
      </c>
      <c r="C934" s="1" t="s">
        <v>157</v>
      </c>
      <c r="D934">
        <v>6</v>
      </c>
      <c r="E934">
        <v>105</v>
      </c>
    </row>
    <row r="935" spans="1:5" x14ac:dyDescent="0.35">
      <c r="A935">
        <v>210</v>
      </c>
      <c r="B935" t="s">
        <v>151</v>
      </c>
      <c r="C935" s="1" t="s">
        <v>173</v>
      </c>
      <c r="D935">
        <v>6</v>
      </c>
      <c r="E935">
        <v>-115</v>
      </c>
    </row>
    <row r="936" spans="1:5" x14ac:dyDescent="0.35">
      <c r="A936">
        <v>210</v>
      </c>
      <c r="B936" t="s">
        <v>153</v>
      </c>
      <c r="C936" s="1" t="s">
        <v>159</v>
      </c>
      <c r="D936">
        <v>2</v>
      </c>
      <c r="E936">
        <v>105</v>
      </c>
    </row>
    <row r="937" spans="1:5" x14ac:dyDescent="0.35">
      <c r="A937">
        <v>211</v>
      </c>
      <c r="B937" t="s">
        <v>151</v>
      </c>
      <c r="C937" s="1" t="s">
        <v>175</v>
      </c>
      <c r="D937">
        <v>2</v>
      </c>
      <c r="E937">
        <v>170</v>
      </c>
    </row>
    <row r="938" spans="1:5" x14ac:dyDescent="0.35">
      <c r="A938">
        <v>211</v>
      </c>
      <c r="B938" t="s">
        <v>153</v>
      </c>
      <c r="C938" s="1" t="s">
        <v>154</v>
      </c>
      <c r="D938">
        <v>3</v>
      </c>
      <c r="E938">
        <v>-190</v>
      </c>
    </row>
    <row r="939" spans="1:5" x14ac:dyDescent="0.35">
      <c r="A939">
        <v>211</v>
      </c>
      <c r="B939" t="s">
        <v>151</v>
      </c>
      <c r="C939" s="1" t="s">
        <v>182</v>
      </c>
      <c r="D939">
        <v>2</v>
      </c>
      <c r="E939">
        <v>180</v>
      </c>
    </row>
    <row r="940" spans="1:5" x14ac:dyDescent="0.35">
      <c r="A940">
        <v>211</v>
      </c>
      <c r="B940" t="s">
        <v>153</v>
      </c>
      <c r="C940" s="1" t="s">
        <v>167</v>
      </c>
      <c r="D940">
        <v>3</v>
      </c>
      <c r="E940">
        <v>-200</v>
      </c>
    </row>
    <row r="941" spans="1:5" x14ac:dyDescent="0.35">
      <c r="A941">
        <v>211</v>
      </c>
      <c r="B941" t="s">
        <v>151</v>
      </c>
      <c r="C941" s="1" t="s">
        <v>162</v>
      </c>
      <c r="D941">
        <v>2</v>
      </c>
      <c r="E941">
        <v>105</v>
      </c>
    </row>
    <row r="942" spans="1:5" x14ac:dyDescent="0.35">
      <c r="A942">
        <v>211</v>
      </c>
      <c r="B942" t="s">
        <v>153</v>
      </c>
      <c r="C942" s="1" t="s">
        <v>168</v>
      </c>
      <c r="D942">
        <v>1</v>
      </c>
      <c r="E942">
        <v>-115</v>
      </c>
    </row>
    <row r="943" spans="1:5" x14ac:dyDescent="0.35">
      <c r="A943">
        <v>211</v>
      </c>
      <c r="B943" t="s">
        <v>151</v>
      </c>
      <c r="C943" s="1" t="s">
        <v>161</v>
      </c>
      <c r="D943">
        <v>5</v>
      </c>
      <c r="E943">
        <v>-120</v>
      </c>
    </row>
    <row r="944" spans="1:5" x14ac:dyDescent="0.35">
      <c r="A944">
        <v>211</v>
      </c>
      <c r="B944" t="s">
        <v>153</v>
      </c>
      <c r="C944" s="1" t="s">
        <v>181</v>
      </c>
      <c r="D944">
        <v>3</v>
      </c>
      <c r="E944">
        <v>110</v>
      </c>
    </row>
    <row r="945" spans="1:5" x14ac:dyDescent="0.35">
      <c r="A945">
        <v>211</v>
      </c>
      <c r="B945" t="s">
        <v>151</v>
      </c>
      <c r="C945" s="1" t="s">
        <v>178</v>
      </c>
      <c r="D945">
        <v>3</v>
      </c>
      <c r="E945">
        <v>115</v>
      </c>
    </row>
    <row r="946" spans="1:5" x14ac:dyDescent="0.35">
      <c r="A946">
        <v>211</v>
      </c>
      <c r="B946" t="s">
        <v>153</v>
      </c>
      <c r="C946" s="1" t="s">
        <v>180</v>
      </c>
      <c r="D946">
        <v>5</v>
      </c>
      <c r="E946">
        <v>-125</v>
      </c>
    </row>
    <row r="947" spans="1:5" x14ac:dyDescent="0.35">
      <c r="A947">
        <v>211</v>
      </c>
      <c r="B947" t="s">
        <v>151</v>
      </c>
      <c r="C947" s="1" t="s">
        <v>166</v>
      </c>
      <c r="D947">
        <v>4</v>
      </c>
      <c r="E947">
        <v>110</v>
      </c>
    </row>
    <row r="948" spans="1:5" x14ac:dyDescent="0.35">
      <c r="A948">
        <v>211</v>
      </c>
      <c r="B948" t="s">
        <v>153</v>
      </c>
      <c r="C948" s="1" t="s">
        <v>165</v>
      </c>
      <c r="D948">
        <v>1</v>
      </c>
      <c r="E948">
        <v>-120</v>
      </c>
    </row>
    <row r="949" spans="1:5" x14ac:dyDescent="0.35">
      <c r="A949">
        <v>211</v>
      </c>
      <c r="B949" t="s">
        <v>151</v>
      </c>
      <c r="C949" s="1" t="s">
        <v>160</v>
      </c>
      <c r="D949">
        <v>0</v>
      </c>
      <c r="E949">
        <v>-145</v>
      </c>
    </row>
    <row r="950" spans="1:5" x14ac:dyDescent="0.35">
      <c r="A950">
        <v>211</v>
      </c>
      <c r="B950" t="s">
        <v>153</v>
      </c>
      <c r="C950" s="1" t="s">
        <v>169</v>
      </c>
      <c r="D950">
        <v>4</v>
      </c>
      <c r="E950">
        <v>132</v>
      </c>
    </row>
    <row r="951" spans="1:5" x14ac:dyDescent="0.35">
      <c r="A951">
        <v>211</v>
      </c>
      <c r="B951" t="s">
        <v>151</v>
      </c>
      <c r="C951" s="1" t="s">
        <v>164</v>
      </c>
      <c r="D951">
        <v>1</v>
      </c>
      <c r="E951">
        <v>105</v>
      </c>
    </row>
    <row r="952" spans="1:5" x14ac:dyDescent="0.35">
      <c r="A952">
        <v>211</v>
      </c>
      <c r="B952" t="s">
        <v>153</v>
      </c>
      <c r="C952" s="1" t="s">
        <v>172</v>
      </c>
      <c r="D952">
        <v>4</v>
      </c>
      <c r="E952">
        <v>-115</v>
      </c>
    </row>
    <row r="953" spans="1:5" x14ac:dyDescent="0.35">
      <c r="A953">
        <v>211</v>
      </c>
      <c r="B953" t="s">
        <v>151</v>
      </c>
      <c r="C953" s="1" t="s">
        <v>152</v>
      </c>
      <c r="D953">
        <v>0</v>
      </c>
      <c r="E953">
        <v>230</v>
      </c>
    </row>
    <row r="954" spans="1:5" x14ac:dyDescent="0.35">
      <c r="A954">
        <v>211</v>
      </c>
      <c r="B954" t="s">
        <v>153</v>
      </c>
      <c r="C954" s="1" t="s">
        <v>174</v>
      </c>
      <c r="D954">
        <v>3</v>
      </c>
      <c r="E954">
        <v>-260</v>
      </c>
    </row>
    <row r="955" spans="1:5" x14ac:dyDescent="0.35">
      <c r="A955">
        <v>211</v>
      </c>
      <c r="B955" t="s">
        <v>151</v>
      </c>
      <c r="C955" s="1" t="s">
        <v>177</v>
      </c>
      <c r="D955">
        <v>3</v>
      </c>
      <c r="E955">
        <v>102</v>
      </c>
    </row>
    <row r="956" spans="1:5" x14ac:dyDescent="0.35">
      <c r="A956">
        <v>211</v>
      </c>
      <c r="B956" t="s">
        <v>153</v>
      </c>
      <c r="C956" s="1" t="s">
        <v>158</v>
      </c>
      <c r="D956">
        <v>5</v>
      </c>
      <c r="E956">
        <v>-112</v>
      </c>
    </row>
    <row r="957" spans="1:5" x14ac:dyDescent="0.35">
      <c r="A957">
        <v>212</v>
      </c>
      <c r="B957" t="s">
        <v>151</v>
      </c>
      <c r="C957" s="1" t="s">
        <v>163</v>
      </c>
      <c r="D957">
        <v>1</v>
      </c>
      <c r="E957">
        <v>190</v>
      </c>
    </row>
    <row r="958" spans="1:5" x14ac:dyDescent="0.35">
      <c r="A958">
        <v>212</v>
      </c>
      <c r="B958" t="s">
        <v>153</v>
      </c>
      <c r="C958" s="1" t="s">
        <v>171</v>
      </c>
      <c r="D958">
        <v>4</v>
      </c>
      <c r="E958">
        <v>-210</v>
      </c>
    </row>
    <row r="959" spans="1:5" x14ac:dyDescent="0.35">
      <c r="A959">
        <v>212</v>
      </c>
      <c r="B959" t="s">
        <v>151</v>
      </c>
      <c r="C959" s="1" t="s">
        <v>173</v>
      </c>
      <c r="D959">
        <v>3</v>
      </c>
      <c r="E959">
        <v>-130</v>
      </c>
    </row>
    <row r="960" spans="1:5" x14ac:dyDescent="0.35">
      <c r="A960">
        <v>212</v>
      </c>
      <c r="B960" t="s">
        <v>153</v>
      </c>
      <c r="C960" s="1" t="s">
        <v>183</v>
      </c>
      <c r="D960">
        <v>5</v>
      </c>
      <c r="E960">
        <v>120</v>
      </c>
    </row>
    <row r="961" spans="1:5" x14ac:dyDescent="0.35">
      <c r="A961">
        <v>212</v>
      </c>
      <c r="B961" t="s">
        <v>151</v>
      </c>
      <c r="C961" s="1" t="s">
        <v>177</v>
      </c>
      <c r="D961">
        <v>0</v>
      </c>
      <c r="E961">
        <v>135</v>
      </c>
    </row>
    <row r="962" spans="1:5" x14ac:dyDescent="0.35">
      <c r="A962">
        <v>212</v>
      </c>
      <c r="B962" t="s">
        <v>153</v>
      </c>
      <c r="C962" s="1" t="s">
        <v>157</v>
      </c>
      <c r="D962">
        <v>3</v>
      </c>
      <c r="E962">
        <v>-150</v>
      </c>
    </row>
    <row r="963" spans="1:5" x14ac:dyDescent="0.35">
      <c r="A963">
        <v>213</v>
      </c>
      <c r="B963" t="s">
        <v>151</v>
      </c>
      <c r="C963" s="1" t="s">
        <v>172</v>
      </c>
      <c r="D963">
        <v>3</v>
      </c>
      <c r="E963">
        <v>130</v>
      </c>
    </row>
    <row r="964" spans="1:5" x14ac:dyDescent="0.35">
      <c r="A964">
        <v>213</v>
      </c>
      <c r="B964" t="s">
        <v>153</v>
      </c>
      <c r="C964" s="1" t="s">
        <v>154</v>
      </c>
      <c r="D964">
        <v>2</v>
      </c>
      <c r="E964">
        <v>-140</v>
      </c>
    </row>
    <row r="965" spans="1:5" x14ac:dyDescent="0.35">
      <c r="A965">
        <v>213</v>
      </c>
      <c r="B965" t="s">
        <v>151</v>
      </c>
      <c r="C965" s="1" t="s">
        <v>182</v>
      </c>
      <c r="D965">
        <v>1</v>
      </c>
      <c r="E965">
        <v>150</v>
      </c>
    </row>
    <row r="966" spans="1:5" x14ac:dyDescent="0.35">
      <c r="A966">
        <v>213</v>
      </c>
      <c r="B966" t="s">
        <v>153</v>
      </c>
      <c r="C966" s="1" t="s">
        <v>181</v>
      </c>
      <c r="D966">
        <v>4</v>
      </c>
      <c r="E966">
        <v>-165</v>
      </c>
    </row>
    <row r="967" spans="1:5" x14ac:dyDescent="0.35">
      <c r="A967">
        <v>213</v>
      </c>
      <c r="B967" t="s">
        <v>151</v>
      </c>
      <c r="C967" s="1" t="s">
        <v>179</v>
      </c>
      <c r="D967">
        <v>3</v>
      </c>
      <c r="E967">
        <v>-105</v>
      </c>
    </row>
    <row r="968" spans="1:5" x14ac:dyDescent="0.35">
      <c r="A968">
        <v>213</v>
      </c>
      <c r="B968" t="s">
        <v>153</v>
      </c>
      <c r="C968" s="1" t="s">
        <v>167</v>
      </c>
      <c r="D968">
        <v>4</v>
      </c>
      <c r="E968">
        <v>-105</v>
      </c>
    </row>
    <row r="969" spans="1:5" x14ac:dyDescent="0.35">
      <c r="A969">
        <v>213</v>
      </c>
      <c r="B969" t="s">
        <v>151</v>
      </c>
      <c r="C969" s="1" t="s">
        <v>158</v>
      </c>
      <c r="D969">
        <v>1</v>
      </c>
      <c r="E969">
        <v>170</v>
      </c>
    </row>
    <row r="970" spans="1:5" x14ac:dyDescent="0.35">
      <c r="A970">
        <v>213</v>
      </c>
      <c r="B970" t="s">
        <v>153</v>
      </c>
      <c r="C970" s="1" t="s">
        <v>162</v>
      </c>
      <c r="D970">
        <v>3</v>
      </c>
      <c r="E970">
        <v>-190</v>
      </c>
    </row>
    <row r="971" spans="1:5" x14ac:dyDescent="0.35">
      <c r="A971">
        <v>213</v>
      </c>
      <c r="B971" t="s">
        <v>151</v>
      </c>
      <c r="C971" s="1" t="s">
        <v>178</v>
      </c>
      <c r="D971">
        <v>6</v>
      </c>
      <c r="E971">
        <v>110</v>
      </c>
    </row>
    <row r="972" spans="1:5" x14ac:dyDescent="0.35">
      <c r="A972">
        <v>213</v>
      </c>
      <c r="B972" t="s">
        <v>153</v>
      </c>
      <c r="C972" s="1" t="s">
        <v>161</v>
      </c>
      <c r="D972">
        <v>2</v>
      </c>
      <c r="E972">
        <v>-120</v>
      </c>
    </row>
    <row r="973" spans="1:5" x14ac:dyDescent="0.35">
      <c r="A973">
        <v>213</v>
      </c>
      <c r="B973" t="s">
        <v>151</v>
      </c>
      <c r="C973" s="1" t="s">
        <v>175</v>
      </c>
      <c r="D973">
        <v>2</v>
      </c>
      <c r="E973">
        <v>-130</v>
      </c>
    </row>
    <row r="974" spans="1:5" x14ac:dyDescent="0.35">
      <c r="A974">
        <v>213</v>
      </c>
      <c r="B974" t="s">
        <v>153</v>
      </c>
      <c r="C974" s="1" t="s">
        <v>152</v>
      </c>
      <c r="D974">
        <v>3</v>
      </c>
      <c r="E974">
        <v>120</v>
      </c>
    </row>
    <row r="975" spans="1:5" x14ac:dyDescent="0.35">
      <c r="A975">
        <v>213</v>
      </c>
      <c r="B975" t="s">
        <v>151</v>
      </c>
      <c r="C975" s="1" t="s">
        <v>180</v>
      </c>
      <c r="D975">
        <v>0</v>
      </c>
      <c r="E975">
        <v>125</v>
      </c>
    </row>
    <row r="976" spans="1:5" x14ac:dyDescent="0.35">
      <c r="A976">
        <v>213</v>
      </c>
      <c r="B976" t="s">
        <v>153</v>
      </c>
      <c r="C976" s="1" t="s">
        <v>170</v>
      </c>
      <c r="D976">
        <v>5</v>
      </c>
      <c r="E976">
        <v>-135</v>
      </c>
    </row>
    <row r="977" spans="1:5" x14ac:dyDescent="0.35">
      <c r="A977">
        <v>213</v>
      </c>
      <c r="B977" t="s">
        <v>151</v>
      </c>
      <c r="C977" s="1" t="s">
        <v>166</v>
      </c>
      <c r="D977">
        <v>4</v>
      </c>
      <c r="E977">
        <v>125</v>
      </c>
    </row>
    <row r="978" spans="1:5" x14ac:dyDescent="0.35">
      <c r="A978">
        <v>213</v>
      </c>
      <c r="B978" t="s">
        <v>153</v>
      </c>
      <c r="C978" s="1" t="s">
        <v>169</v>
      </c>
      <c r="D978">
        <v>3</v>
      </c>
      <c r="E978">
        <v>-135</v>
      </c>
    </row>
    <row r="979" spans="1:5" x14ac:dyDescent="0.35">
      <c r="A979">
        <v>213</v>
      </c>
      <c r="B979" t="s">
        <v>151</v>
      </c>
      <c r="C979" s="1" t="s">
        <v>155</v>
      </c>
      <c r="D979">
        <v>3</v>
      </c>
      <c r="E979">
        <v>115</v>
      </c>
    </row>
    <row r="980" spans="1:5" x14ac:dyDescent="0.35">
      <c r="A980">
        <v>213</v>
      </c>
      <c r="B980" t="s">
        <v>153</v>
      </c>
      <c r="C980" s="1" t="s">
        <v>174</v>
      </c>
      <c r="D980">
        <v>2</v>
      </c>
      <c r="E980">
        <v>-125</v>
      </c>
    </row>
    <row r="981" spans="1:5" x14ac:dyDescent="0.35">
      <c r="A981">
        <v>213</v>
      </c>
      <c r="B981" t="s">
        <v>151</v>
      </c>
      <c r="C981" s="1" t="s">
        <v>156</v>
      </c>
      <c r="D981">
        <v>5</v>
      </c>
      <c r="E981">
        <v>125</v>
      </c>
    </row>
    <row r="982" spans="1:5" x14ac:dyDescent="0.35">
      <c r="A982">
        <v>213</v>
      </c>
      <c r="B982" t="s">
        <v>153</v>
      </c>
      <c r="C982" s="1" t="s">
        <v>160</v>
      </c>
      <c r="D982">
        <v>6</v>
      </c>
      <c r="E982">
        <v>-135</v>
      </c>
    </row>
    <row r="983" spans="1:5" x14ac:dyDescent="0.35">
      <c r="A983">
        <v>213</v>
      </c>
      <c r="B983" t="s">
        <v>151</v>
      </c>
      <c r="C983" s="1" t="s">
        <v>173</v>
      </c>
      <c r="D983">
        <v>6</v>
      </c>
      <c r="E983">
        <v>-105</v>
      </c>
    </row>
    <row r="984" spans="1:5" x14ac:dyDescent="0.35">
      <c r="A984">
        <v>213</v>
      </c>
      <c r="B984" t="s">
        <v>153</v>
      </c>
      <c r="C984" s="1" t="s">
        <v>176</v>
      </c>
      <c r="D984">
        <v>0</v>
      </c>
      <c r="E984">
        <v>-105</v>
      </c>
    </row>
    <row r="985" spans="1:5" x14ac:dyDescent="0.35">
      <c r="A985">
        <v>214</v>
      </c>
      <c r="B985" t="s">
        <v>151</v>
      </c>
      <c r="C985" s="1" t="s">
        <v>159</v>
      </c>
      <c r="D985">
        <v>3</v>
      </c>
      <c r="E985">
        <v>140</v>
      </c>
    </row>
    <row r="986" spans="1:5" x14ac:dyDescent="0.35">
      <c r="A986">
        <v>214</v>
      </c>
      <c r="B986" t="s">
        <v>153</v>
      </c>
      <c r="C986" s="1" t="s">
        <v>165</v>
      </c>
      <c r="D986">
        <v>2</v>
      </c>
      <c r="E986">
        <v>-155</v>
      </c>
    </row>
    <row r="987" spans="1:5" x14ac:dyDescent="0.35">
      <c r="A987">
        <v>214</v>
      </c>
      <c r="B987" t="s">
        <v>151</v>
      </c>
      <c r="C987" s="1" t="s">
        <v>166</v>
      </c>
      <c r="D987">
        <v>3</v>
      </c>
      <c r="E987">
        <v>132</v>
      </c>
    </row>
    <row r="988" spans="1:5" x14ac:dyDescent="0.35">
      <c r="A988">
        <v>214</v>
      </c>
      <c r="B988" t="s">
        <v>153</v>
      </c>
      <c r="C988" s="1" t="s">
        <v>179</v>
      </c>
      <c r="D988">
        <v>1</v>
      </c>
      <c r="E988">
        <v>-145</v>
      </c>
    </row>
    <row r="989" spans="1:5" x14ac:dyDescent="0.35">
      <c r="A989">
        <v>214</v>
      </c>
      <c r="B989" t="s">
        <v>151</v>
      </c>
      <c r="C989" s="1" t="s">
        <v>181</v>
      </c>
      <c r="D989">
        <v>2</v>
      </c>
      <c r="E989">
        <v>245</v>
      </c>
    </row>
    <row r="990" spans="1:5" x14ac:dyDescent="0.35">
      <c r="A990">
        <v>214</v>
      </c>
      <c r="B990" t="s">
        <v>153</v>
      </c>
      <c r="C990" s="1" t="s">
        <v>164</v>
      </c>
      <c r="D990">
        <v>5</v>
      </c>
      <c r="E990">
        <v>-275</v>
      </c>
    </row>
    <row r="991" spans="1:5" x14ac:dyDescent="0.35">
      <c r="A991">
        <v>214</v>
      </c>
      <c r="B991" t="s">
        <v>151</v>
      </c>
      <c r="C991" s="1" t="s">
        <v>163</v>
      </c>
      <c r="D991">
        <v>1</v>
      </c>
      <c r="E991">
        <v>155</v>
      </c>
    </row>
    <row r="992" spans="1:5" x14ac:dyDescent="0.35">
      <c r="A992">
        <v>214</v>
      </c>
      <c r="B992" t="s">
        <v>153</v>
      </c>
      <c r="C992" s="1" t="s">
        <v>168</v>
      </c>
      <c r="D992">
        <v>4</v>
      </c>
      <c r="E992">
        <v>-170</v>
      </c>
    </row>
    <row r="993" spans="1:5" x14ac:dyDescent="0.35">
      <c r="A993">
        <v>215</v>
      </c>
      <c r="B993" t="s">
        <v>151</v>
      </c>
      <c r="C993" s="1" t="s">
        <v>182</v>
      </c>
      <c r="D993">
        <v>1</v>
      </c>
      <c r="E993">
        <v>450</v>
      </c>
    </row>
    <row r="994" spans="1:5" x14ac:dyDescent="0.35">
      <c r="A994">
        <v>215</v>
      </c>
      <c r="B994" t="s">
        <v>153</v>
      </c>
      <c r="C994" s="1" t="s">
        <v>171</v>
      </c>
      <c r="D994">
        <v>4</v>
      </c>
      <c r="E994">
        <v>-600</v>
      </c>
    </row>
    <row r="995" spans="1:5" x14ac:dyDescent="0.35">
      <c r="A995">
        <v>215</v>
      </c>
      <c r="B995" t="s">
        <v>151</v>
      </c>
      <c r="C995" s="1" t="s">
        <v>170</v>
      </c>
      <c r="D995">
        <v>4</v>
      </c>
      <c r="E995">
        <v>125</v>
      </c>
    </row>
    <row r="996" spans="1:5" x14ac:dyDescent="0.35">
      <c r="A996">
        <v>215</v>
      </c>
      <c r="B996" t="s">
        <v>153</v>
      </c>
      <c r="C996" s="1" t="s">
        <v>156</v>
      </c>
      <c r="D996">
        <v>3</v>
      </c>
      <c r="E996">
        <v>-135</v>
      </c>
    </row>
    <row r="997" spans="1:5" x14ac:dyDescent="0.35">
      <c r="A997">
        <v>215</v>
      </c>
      <c r="B997" t="s">
        <v>151</v>
      </c>
      <c r="C997" s="1" t="s">
        <v>158</v>
      </c>
      <c r="D997">
        <v>4</v>
      </c>
      <c r="E997">
        <v>140</v>
      </c>
    </row>
    <row r="998" spans="1:5" x14ac:dyDescent="0.35">
      <c r="A998">
        <v>215</v>
      </c>
      <c r="B998" t="s">
        <v>153</v>
      </c>
      <c r="C998" s="1" t="s">
        <v>161</v>
      </c>
      <c r="D998">
        <v>1</v>
      </c>
      <c r="E998">
        <v>-155</v>
      </c>
    </row>
    <row r="999" spans="1:5" x14ac:dyDescent="0.35">
      <c r="A999">
        <v>215</v>
      </c>
      <c r="B999" t="s">
        <v>151</v>
      </c>
      <c r="C999" s="1" t="s">
        <v>178</v>
      </c>
      <c r="D999">
        <v>3</v>
      </c>
      <c r="E999">
        <v>175</v>
      </c>
    </row>
    <row r="1000" spans="1:5" x14ac:dyDescent="0.35">
      <c r="A1000">
        <v>215</v>
      </c>
      <c r="B1000" t="s">
        <v>153</v>
      </c>
      <c r="C1000" s="1" t="s">
        <v>162</v>
      </c>
      <c r="D1000">
        <v>5</v>
      </c>
      <c r="E1000">
        <v>-195</v>
      </c>
    </row>
    <row r="1001" spans="1:5" x14ac:dyDescent="0.35">
      <c r="A1001">
        <v>215</v>
      </c>
      <c r="B1001" t="s">
        <v>151</v>
      </c>
      <c r="C1001" s="1" t="s">
        <v>159</v>
      </c>
      <c r="D1001">
        <v>2</v>
      </c>
      <c r="E1001">
        <v>190</v>
      </c>
    </row>
    <row r="1002" spans="1:5" x14ac:dyDescent="0.35">
      <c r="A1002">
        <v>215</v>
      </c>
      <c r="B1002" t="s">
        <v>153</v>
      </c>
      <c r="C1002" s="1" t="s">
        <v>169</v>
      </c>
      <c r="D1002">
        <v>0</v>
      </c>
      <c r="E1002">
        <v>-210</v>
      </c>
    </row>
    <row r="1003" spans="1:5" x14ac:dyDescent="0.35">
      <c r="A1003">
        <v>215</v>
      </c>
      <c r="B1003" t="s">
        <v>151</v>
      </c>
      <c r="C1003" s="1" t="s">
        <v>172</v>
      </c>
      <c r="D1003">
        <v>4</v>
      </c>
      <c r="E1003">
        <v>-115</v>
      </c>
    </row>
    <row r="1004" spans="1:5" x14ac:dyDescent="0.35">
      <c r="A1004">
        <v>215</v>
      </c>
      <c r="B1004" t="s">
        <v>153</v>
      </c>
      <c r="C1004" s="1" t="s">
        <v>163</v>
      </c>
      <c r="D1004">
        <v>3</v>
      </c>
      <c r="E1004">
        <v>105</v>
      </c>
    </row>
    <row r="1005" spans="1:5" x14ac:dyDescent="0.35">
      <c r="A1005">
        <v>215</v>
      </c>
      <c r="B1005" t="s">
        <v>151</v>
      </c>
      <c r="C1005" s="1" t="s">
        <v>154</v>
      </c>
      <c r="D1005">
        <v>4</v>
      </c>
      <c r="E1005">
        <v>-170</v>
      </c>
    </row>
    <row r="1006" spans="1:5" x14ac:dyDescent="0.35">
      <c r="A1006">
        <v>215</v>
      </c>
      <c r="B1006" t="s">
        <v>153</v>
      </c>
      <c r="C1006" s="1" t="s">
        <v>152</v>
      </c>
      <c r="D1006">
        <v>2</v>
      </c>
      <c r="E1006">
        <v>155</v>
      </c>
    </row>
    <row r="1007" spans="1:5" x14ac:dyDescent="0.35">
      <c r="A1007">
        <v>215</v>
      </c>
      <c r="B1007" t="s">
        <v>151</v>
      </c>
      <c r="C1007" s="1" t="s">
        <v>183</v>
      </c>
      <c r="D1007">
        <v>3</v>
      </c>
      <c r="E1007">
        <v>230</v>
      </c>
    </row>
    <row r="1008" spans="1:5" x14ac:dyDescent="0.35">
      <c r="A1008">
        <v>215</v>
      </c>
      <c r="B1008" t="s">
        <v>153</v>
      </c>
      <c r="C1008" s="1" t="s">
        <v>174</v>
      </c>
      <c r="D1008">
        <v>1</v>
      </c>
      <c r="E1008">
        <v>-260</v>
      </c>
    </row>
    <row r="1009" spans="1:5" x14ac:dyDescent="0.35">
      <c r="A1009">
        <v>215</v>
      </c>
      <c r="B1009" t="s">
        <v>151</v>
      </c>
      <c r="C1009" s="1" t="s">
        <v>177</v>
      </c>
      <c r="D1009">
        <v>8</v>
      </c>
      <c r="E1009">
        <v>120</v>
      </c>
    </row>
    <row r="1010" spans="1:5" x14ac:dyDescent="0.35">
      <c r="A1010">
        <v>215</v>
      </c>
      <c r="B1010" t="s">
        <v>153</v>
      </c>
      <c r="C1010" s="1" t="s">
        <v>173</v>
      </c>
      <c r="D1010">
        <v>4</v>
      </c>
      <c r="E1010">
        <v>-130</v>
      </c>
    </row>
    <row r="1011" spans="1:5" x14ac:dyDescent="0.35">
      <c r="A1011">
        <v>215</v>
      </c>
      <c r="B1011" t="s">
        <v>151</v>
      </c>
      <c r="C1011" s="1" t="s">
        <v>155</v>
      </c>
      <c r="D1011">
        <v>1</v>
      </c>
      <c r="E1011">
        <v>-125</v>
      </c>
    </row>
    <row r="1012" spans="1:5" x14ac:dyDescent="0.35">
      <c r="A1012">
        <v>215</v>
      </c>
      <c r="B1012" t="s">
        <v>153</v>
      </c>
      <c r="C1012" s="1" t="s">
        <v>175</v>
      </c>
      <c r="D1012">
        <v>3</v>
      </c>
      <c r="E1012">
        <v>115</v>
      </c>
    </row>
    <row r="1013" spans="1:5" x14ac:dyDescent="0.35">
      <c r="A1013">
        <v>215</v>
      </c>
      <c r="B1013" t="s">
        <v>151</v>
      </c>
      <c r="C1013" s="1" t="s">
        <v>180</v>
      </c>
      <c r="D1013">
        <v>0</v>
      </c>
      <c r="E1013">
        <v>158</v>
      </c>
    </row>
    <row r="1014" spans="1:5" x14ac:dyDescent="0.35">
      <c r="A1014">
        <v>215</v>
      </c>
      <c r="B1014" t="s">
        <v>153</v>
      </c>
      <c r="C1014" s="1" t="s">
        <v>160</v>
      </c>
      <c r="D1014">
        <v>1</v>
      </c>
      <c r="E1014">
        <v>-176</v>
      </c>
    </row>
    <row r="1015" spans="1:5" x14ac:dyDescent="0.35">
      <c r="A1015">
        <v>216</v>
      </c>
      <c r="B1015" t="s">
        <v>151</v>
      </c>
      <c r="C1015" s="1" t="s">
        <v>182</v>
      </c>
      <c r="D1015">
        <v>1</v>
      </c>
      <c r="E1015">
        <v>400</v>
      </c>
    </row>
    <row r="1016" spans="1:5" x14ac:dyDescent="0.35">
      <c r="A1016">
        <v>216</v>
      </c>
      <c r="B1016" t="s">
        <v>153</v>
      </c>
      <c r="C1016" s="1" t="s">
        <v>168</v>
      </c>
      <c r="D1016">
        <v>5</v>
      </c>
      <c r="E1016">
        <v>-500</v>
      </c>
    </row>
    <row r="1017" spans="1:5" x14ac:dyDescent="0.35">
      <c r="A1017">
        <v>216</v>
      </c>
      <c r="B1017" t="s">
        <v>151</v>
      </c>
      <c r="C1017" s="1" t="s">
        <v>171</v>
      </c>
      <c r="D1017">
        <v>3</v>
      </c>
      <c r="E1017">
        <v>-145</v>
      </c>
    </row>
    <row r="1018" spans="1:5" x14ac:dyDescent="0.35">
      <c r="A1018">
        <v>216</v>
      </c>
      <c r="B1018" t="s">
        <v>153</v>
      </c>
      <c r="C1018" s="1" t="s">
        <v>166</v>
      </c>
      <c r="D1018">
        <v>1</v>
      </c>
      <c r="E1018">
        <v>132</v>
      </c>
    </row>
    <row r="1019" spans="1:5" x14ac:dyDescent="0.35">
      <c r="A1019">
        <v>216</v>
      </c>
      <c r="B1019" t="s">
        <v>151</v>
      </c>
      <c r="C1019" s="1" t="s">
        <v>158</v>
      </c>
      <c r="D1019">
        <v>4</v>
      </c>
      <c r="E1019">
        <v>190</v>
      </c>
    </row>
    <row r="1020" spans="1:5" x14ac:dyDescent="0.35">
      <c r="A1020">
        <v>216</v>
      </c>
      <c r="B1020" t="s">
        <v>153</v>
      </c>
      <c r="C1020" s="1" t="s">
        <v>164</v>
      </c>
      <c r="D1020">
        <v>3</v>
      </c>
      <c r="E1020">
        <v>-210</v>
      </c>
    </row>
    <row r="1021" spans="1:5" x14ac:dyDescent="0.35">
      <c r="A1021">
        <v>216</v>
      </c>
      <c r="B1021" t="s">
        <v>151</v>
      </c>
      <c r="C1021" s="1" t="s">
        <v>176</v>
      </c>
      <c r="D1021">
        <v>5</v>
      </c>
      <c r="E1021">
        <v>132</v>
      </c>
    </row>
    <row r="1022" spans="1:5" x14ac:dyDescent="0.35">
      <c r="A1022">
        <v>216</v>
      </c>
      <c r="B1022" t="s">
        <v>153</v>
      </c>
      <c r="C1022" s="1" t="s">
        <v>157</v>
      </c>
      <c r="D1022">
        <v>1</v>
      </c>
      <c r="E1022">
        <v>-145</v>
      </c>
    </row>
    <row r="1023" spans="1:5" x14ac:dyDescent="0.35">
      <c r="A1023">
        <v>216</v>
      </c>
      <c r="B1023" t="s">
        <v>151</v>
      </c>
      <c r="C1023" s="1" t="s">
        <v>172</v>
      </c>
      <c r="D1023">
        <v>3</v>
      </c>
      <c r="E1023">
        <v>-155</v>
      </c>
    </row>
    <row r="1024" spans="1:5" x14ac:dyDescent="0.35">
      <c r="A1024">
        <v>216</v>
      </c>
      <c r="B1024" t="s">
        <v>153</v>
      </c>
      <c r="C1024" s="1" t="s">
        <v>152</v>
      </c>
      <c r="D1024">
        <v>4</v>
      </c>
      <c r="E1024">
        <v>140</v>
      </c>
    </row>
    <row r="1025" spans="1:5" x14ac:dyDescent="0.35">
      <c r="A1025">
        <v>216</v>
      </c>
      <c r="B1025" t="s">
        <v>151</v>
      </c>
      <c r="C1025" s="1" t="s">
        <v>179</v>
      </c>
      <c r="D1025">
        <v>3</v>
      </c>
      <c r="E1025">
        <v>-130</v>
      </c>
    </row>
    <row r="1026" spans="1:5" x14ac:dyDescent="0.35">
      <c r="A1026">
        <v>216</v>
      </c>
      <c r="B1026" t="s">
        <v>153</v>
      </c>
      <c r="C1026" s="1" t="s">
        <v>181</v>
      </c>
      <c r="D1026">
        <v>4</v>
      </c>
      <c r="E1026">
        <v>120</v>
      </c>
    </row>
    <row r="1027" spans="1:5" x14ac:dyDescent="0.35">
      <c r="A1027">
        <v>216</v>
      </c>
      <c r="B1027" t="s">
        <v>151</v>
      </c>
      <c r="C1027" s="1" t="s">
        <v>156</v>
      </c>
      <c r="D1027">
        <v>1</v>
      </c>
      <c r="E1027">
        <v>-110</v>
      </c>
    </row>
    <row r="1028" spans="1:5" x14ac:dyDescent="0.35">
      <c r="A1028">
        <v>216</v>
      </c>
      <c r="B1028" t="s">
        <v>153</v>
      </c>
      <c r="C1028" s="1" t="s">
        <v>170</v>
      </c>
      <c r="D1028">
        <v>2</v>
      </c>
      <c r="E1028">
        <v>-100</v>
      </c>
    </row>
    <row r="1029" spans="1:5" x14ac:dyDescent="0.35">
      <c r="A1029">
        <v>216</v>
      </c>
      <c r="B1029" t="s">
        <v>151</v>
      </c>
      <c r="C1029" s="1" t="s">
        <v>154</v>
      </c>
      <c r="D1029">
        <v>2</v>
      </c>
      <c r="E1029">
        <v>-140</v>
      </c>
    </row>
    <row r="1030" spans="1:5" x14ac:dyDescent="0.35">
      <c r="A1030">
        <v>216</v>
      </c>
      <c r="B1030" t="s">
        <v>153</v>
      </c>
      <c r="C1030" s="1" t="s">
        <v>167</v>
      </c>
      <c r="D1030">
        <v>5</v>
      </c>
      <c r="E1030">
        <v>130</v>
      </c>
    </row>
    <row r="1031" spans="1:5" x14ac:dyDescent="0.35">
      <c r="A1031">
        <v>216</v>
      </c>
      <c r="B1031" t="s">
        <v>151</v>
      </c>
      <c r="C1031" s="1" t="s">
        <v>177</v>
      </c>
      <c r="D1031">
        <v>2</v>
      </c>
      <c r="E1031">
        <v>130</v>
      </c>
    </row>
    <row r="1032" spans="1:5" x14ac:dyDescent="0.35">
      <c r="A1032">
        <v>216</v>
      </c>
      <c r="B1032" t="s">
        <v>153</v>
      </c>
      <c r="C1032" s="1" t="s">
        <v>165</v>
      </c>
      <c r="D1032">
        <v>3</v>
      </c>
      <c r="E1032">
        <v>-140</v>
      </c>
    </row>
    <row r="1033" spans="1:5" x14ac:dyDescent="0.35">
      <c r="A1033">
        <v>217</v>
      </c>
      <c r="B1033" t="s">
        <v>151</v>
      </c>
      <c r="C1033" s="1" t="s">
        <v>161</v>
      </c>
      <c r="D1033">
        <v>5</v>
      </c>
      <c r="E1033">
        <v>-150</v>
      </c>
    </row>
    <row r="1034" spans="1:5" x14ac:dyDescent="0.35">
      <c r="A1034">
        <v>217</v>
      </c>
      <c r="B1034" t="s">
        <v>153</v>
      </c>
      <c r="C1034" s="1" t="s">
        <v>159</v>
      </c>
      <c r="D1034">
        <v>3</v>
      </c>
      <c r="E1034">
        <v>135</v>
      </c>
    </row>
    <row r="1035" spans="1:5" x14ac:dyDescent="0.35">
      <c r="A1035">
        <v>217</v>
      </c>
      <c r="B1035" t="s">
        <v>151</v>
      </c>
      <c r="C1035" s="1" t="s">
        <v>180</v>
      </c>
      <c r="D1035">
        <v>1</v>
      </c>
      <c r="E1035">
        <v>110</v>
      </c>
    </row>
    <row r="1036" spans="1:5" x14ac:dyDescent="0.35">
      <c r="A1036">
        <v>217</v>
      </c>
      <c r="B1036" t="s">
        <v>153</v>
      </c>
      <c r="C1036" s="1" t="s">
        <v>175</v>
      </c>
      <c r="D1036">
        <v>2</v>
      </c>
      <c r="E1036">
        <v>-120</v>
      </c>
    </row>
    <row r="1037" spans="1:5" x14ac:dyDescent="0.35">
      <c r="A1037">
        <v>217</v>
      </c>
      <c r="B1037" t="s">
        <v>151</v>
      </c>
      <c r="C1037" s="1" t="s">
        <v>176</v>
      </c>
      <c r="D1037">
        <v>4</v>
      </c>
      <c r="E1037">
        <v>165</v>
      </c>
    </row>
    <row r="1038" spans="1:5" x14ac:dyDescent="0.35">
      <c r="A1038">
        <v>217</v>
      </c>
      <c r="B1038" t="s">
        <v>153</v>
      </c>
      <c r="C1038" s="1" t="s">
        <v>173</v>
      </c>
      <c r="D1038">
        <v>6</v>
      </c>
      <c r="E1038">
        <v>-185</v>
      </c>
    </row>
    <row r="1039" spans="1:5" x14ac:dyDescent="0.35">
      <c r="A1039">
        <v>217</v>
      </c>
      <c r="B1039" t="s">
        <v>151</v>
      </c>
      <c r="C1039" s="1" t="s">
        <v>155</v>
      </c>
      <c r="D1039">
        <v>2</v>
      </c>
      <c r="E1039">
        <v>120</v>
      </c>
    </row>
    <row r="1040" spans="1:5" x14ac:dyDescent="0.35">
      <c r="A1040">
        <v>217</v>
      </c>
      <c r="B1040" t="s">
        <v>153</v>
      </c>
      <c r="C1040" s="1" t="s">
        <v>160</v>
      </c>
      <c r="D1040">
        <v>3</v>
      </c>
      <c r="E1040">
        <v>-130</v>
      </c>
    </row>
    <row r="1041" spans="1:5" x14ac:dyDescent="0.35">
      <c r="A1041">
        <v>217</v>
      </c>
      <c r="B1041" t="s">
        <v>151</v>
      </c>
      <c r="C1041" s="1" t="s">
        <v>162</v>
      </c>
      <c r="D1041">
        <v>4</v>
      </c>
      <c r="E1041">
        <v>-109</v>
      </c>
    </row>
    <row r="1042" spans="1:5" x14ac:dyDescent="0.35">
      <c r="A1042">
        <v>217</v>
      </c>
      <c r="B1042" t="s">
        <v>153</v>
      </c>
      <c r="C1042" s="1" t="s">
        <v>174</v>
      </c>
      <c r="D1042">
        <v>3</v>
      </c>
      <c r="E1042">
        <v>-101</v>
      </c>
    </row>
    <row r="1043" spans="1:5" x14ac:dyDescent="0.35">
      <c r="A1043">
        <v>218</v>
      </c>
      <c r="B1043" t="s">
        <v>151</v>
      </c>
      <c r="C1043" s="1" t="s">
        <v>179</v>
      </c>
      <c r="D1043">
        <v>1</v>
      </c>
      <c r="E1043">
        <v>135</v>
      </c>
    </row>
    <row r="1044" spans="1:5" x14ac:dyDescent="0.35">
      <c r="A1044">
        <v>218</v>
      </c>
      <c r="B1044" t="s">
        <v>153</v>
      </c>
      <c r="C1044" s="1" t="s">
        <v>178</v>
      </c>
      <c r="D1044">
        <v>5</v>
      </c>
      <c r="E1044">
        <v>-150</v>
      </c>
    </row>
    <row r="1045" spans="1:5" x14ac:dyDescent="0.35">
      <c r="A1045">
        <v>218</v>
      </c>
      <c r="B1045" t="s">
        <v>151</v>
      </c>
      <c r="C1045" s="1" t="s">
        <v>154</v>
      </c>
      <c r="D1045">
        <v>2</v>
      </c>
      <c r="E1045">
        <v>130</v>
      </c>
    </row>
    <row r="1046" spans="1:5" x14ac:dyDescent="0.35">
      <c r="A1046">
        <v>218</v>
      </c>
      <c r="B1046" t="s">
        <v>153</v>
      </c>
      <c r="C1046" s="1" t="s">
        <v>168</v>
      </c>
      <c r="D1046">
        <v>5</v>
      </c>
      <c r="E1046">
        <v>-140</v>
      </c>
    </row>
    <row r="1047" spans="1:5" x14ac:dyDescent="0.35">
      <c r="A1047">
        <v>218</v>
      </c>
      <c r="B1047" t="s">
        <v>151</v>
      </c>
      <c r="C1047" s="1" t="s">
        <v>163</v>
      </c>
      <c r="D1047">
        <v>3</v>
      </c>
      <c r="E1047">
        <v>-200</v>
      </c>
    </row>
    <row r="1048" spans="1:5" x14ac:dyDescent="0.35">
      <c r="A1048">
        <v>218</v>
      </c>
      <c r="B1048" t="s">
        <v>153</v>
      </c>
      <c r="C1048" s="1" t="s">
        <v>182</v>
      </c>
      <c r="D1048">
        <v>4</v>
      </c>
      <c r="E1048">
        <v>180</v>
      </c>
    </row>
    <row r="1049" spans="1:5" x14ac:dyDescent="0.35">
      <c r="A1049">
        <v>218</v>
      </c>
      <c r="B1049" t="s">
        <v>151</v>
      </c>
      <c r="C1049" s="1" t="s">
        <v>167</v>
      </c>
      <c r="D1049">
        <v>4</v>
      </c>
      <c r="E1049">
        <v>-115</v>
      </c>
    </row>
    <row r="1050" spans="1:5" x14ac:dyDescent="0.35">
      <c r="A1050">
        <v>218</v>
      </c>
      <c r="B1050" t="s">
        <v>153</v>
      </c>
      <c r="C1050" s="1" t="s">
        <v>152</v>
      </c>
      <c r="D1050">
        <v>7</v>
      </c>
      <c r="E1050">
        <v>105</v>
      </c>
    </row>
    <row r="1051" spans="1:5" x14ac:dyDescent="0.35">
      <c r="A1051">
        <v>218</v>
      </c>
      <c r="B1051" t="s">
        <v>151</v>
      </c>
      <c r="C1051" s="1" t="s">
        <v>164</v>
      </c>
      <c r="D1051">
        <v>4</v>
      </c>
      <c r="E1051">
        <v>110</v>
      </c>
    </row>
    <row r="1052" spans="1:5" x14ac:dyDescent="0.35">
      <c r="A1052">
        <v>218</v>
      </c>
      <c r="B1052" t="s">
        <v>153</v>
      </c>
      <c r="C1052" s="1" t="s">
        <v>170</v>
      </c>
      <c r="D1052">
        <v>1</v>
      </c>
      <c r="E1052">
        <v>-120</v>
      </c>
    </row>
    <row r="1053" spans="1:5" x14ac:dyDescent="0.35">
      <c r="A1053">
        <v>218</v>
      </c>
      <c r="B1053" t="s">
        <v>151</v>
      </c>
      <c r="C1053" s="1" t="s">
        <v>181</v>
      </c>
      <c r="D1053">
        <v>0</v>
      </c>
      <c r="E1053">
        <v>260</v>
      </c>
    </row>
    <row r="1054" spans="1:5" x14ac:dyDescent="0.35">
      <c r="A1054">
        <v>218</v>
      </c>
      <c r="B1054" t="s">
        <v>153</v>
      </c>
      <c r="C1054" s="1" t="s">
        <v>156</v>
      </c>
      <c r="D1054">
        <v>3</v>
      </c>
      <c r="E1054">
        <v>-300</v>
      </c>
    </row>
    <row r="1055" spans="1:5" x14ac:dyDescent="0.35">
      <c r="A1055">
        <v>218</v>
      </c>
      <c r="B1055" t="s">
        <v>151</v>
      </c>
      <c r="C1055" s="1" t="s">
        <v>183</v>
      </c>
      <c r="D1055">
        <v>3</v>
      </c>
      <c r="E1055">
        <v>145</v>
      </c>
    </row>
    <row r="1056" spans="1:5" x14ac:dyDescent="0.35">
      <c r="A1056">
        <v>218</v>
      </c>
      <c r="B1056" t="s">
        <v>153</v>
      </c>
      <c r="C1056" s="1" t="s">
        <v>165</v>
      </c>
      <c r="D1056">
        <v>6</v>
      </c>
      <c r="E1056">
        <v>-160</v>
      </c>
    </row>
    <row r="1057" spans="1:5" x14ac:dyDescent="0.35">
      <c r="A1057">
        <v>219</v>
      </c>
      <c r="B1057" t="s">
        <v>151</v>
      </c>
      <c r="C1057" s="1" t="s">
        <v>166</v>
      </c>
      <c r="D1057">
        <v>6</v>
      </c>
      <c r="E1057">
        <v>122</v>
      </c>
    </row>
    <row r="1058" spans="1:5" x14ac:dyDescent="0.35">
      <c r="A1058">
        <v>219</v>
      </c>
      <c r="B1058" t="s">
        <v>153</v>
      </c>
      <c r="C1058" s="1" t="s">
        <v>177</v>
      </c>
      <c r="D1058">
        <v>3</v>
      </c>
      <c r="E1058">
        <v>-132</v>
      </c>
    </row>
    <row r="1059" spans="1:5" x14ac:dyDescent="0.35">
      <c r="A1059">
        <v>219</v>
      </c>
      <c r="B1059" t="s">
        <v>151</v>
      </c>
      <c r="C1059" s="1" t="s">
        <v>171</v>
      </c>
      <c r="D1059">
        <v>2</v>
      </c>
      <c r="E1059">
        <v>-185</v>
      </c>
    </row>
    <row r="1060" spans="1:5" x14ac:dyDescent="0.35">
      <c r="A1060">
        <v>219</v>
      </c>
      <c r="B1060" t="s">
        <v>153</v>
      </c>
      <c r="C1060" s="1" t="s">
        <v>158</v>
      </c>
      <c r="D1060">
        <v>1</v>
      </c>
      <c r="E1060">
        <v>165</v>
      </c>
    </row>
    <row r="1061" spans="1:5" x14ac:dyDescent="0.35">
      <c r="A1061">
        <v>219</v>
      </c>
      <c r="B1061" t="s">
        <v>151</v>
      </c>
      <c r="C1061" s="1" t="s">
        <v>175</v>
      </c>
      <c r="D1061">
        <v>2</v>
      </c>
      <c r="E1061">
        <v>150</v>
      </c>
    </row>
    <row r="1062" spans="1:5" x14ac:dyDescent="0.35">
      <c r="A1062">
        <v>219</v>
      </c>
      <c r="B1062" t="s">
        <v>153</v>
      </c>
      <c r="C1062" s="1" t="s">
        <v>172</v>
      </c>
      <c r="D1062">
        <v>3</v>
      </c>
      <c r="E1062">
        <v>-165</v>
      </c>
    </row>
    <row r="1063" spans="1:5" x14ac:dyDescent="0.35">
      <c r="A1063">
        <v>219</v>
      </c>
      <c r="B1063" t="s">
        <v>151</v>
      </c>
      <c r="C1063" s="1" t="s">
        <v>180</v>
      </c>
      <c r="D1063">
        <v>1</v>
      </c>
      <c r="E1063">
        <v>135</v>
      </c>
    </row>
    <row r="1064" spans="1:5" x14ac:dyDescent="0.35">
      <c r="A1064">
        <v>219</v>
      </c>
      <c r="B1064" t="s">
        <v>153</v>
      </c>
      <c r="C1064" s="1" t="s">
        <v>174</v>
      </c>
      <c r="D1064">
        <v>3</v>
      </c>
      <c r="E1064">
        <v>-150</v>
      </c>
    </row>
    <row r="1065" spans="1:5" x14ac:dyDescent="0.35">
      <c r="A1065">
        <v>219</v>
      </c>
      <c r="B1065" t="s">
        <v>151</v>
      </c>
      <c r="C1065" s="1" t="s">
        <v>161</v>
      </c>
      <c r="D1065">
        <v>4</v>
      </c>
      <c r="E1065">
        <v>-130</v>
      </c>
    </row>
    <row r="1066" spans="1:5" x14ac:dyDescent="0.35">
      <c r="A1066">
        <v>219</v>
      </c>
      <c r="B1066" t="s">
        <v>153</v>
      </c>
      <c r="C1066" s="1" t="s">
        <v>176</v>
      </c>
      <c r="D1066">
        <v>1</v>
      </c>
      <c r="E1066">
        <v>120</v>
      </c>
    </row>
    <row r="1067" spans="1:5" x14ac:dyDescent="0.35">
      <c r="A1067">
        <v>219</v>
      </c>
      <c r="B1067" t="s">
        <v>151</v>
      </c>
      <c r="C1067" s="1" t="s">
        <v>169</v>
      </c>
      <c r="D1067">
        <v>4</v>
      </c>
      <c r="E1067">
        <v>120</v>
      </c>
    </row>
    <row r="1068" spans="1:5" x14ac:dyDescent="0.35">
      <c r="A1068">
        <v>219</v>
      </c>
      <c r="B1068" t="s">
        <v>153</v>
      </c>
      <c r="C1068" s="1" t="s">
        <v>157</v>
      </c>
      <c r="D1068">
        <v>3</v>
      </c>
      <c r="E1068">
        <v>-130</v>
      </c>
    </row>
    <row r="1069" spans="1:5" x14ac:dyDescent="0.35">
      <c r="A1069">
        <v>220</v>
      </c>
      <c r="B1069" t="s">
        <v>151</v>
      </c>
      <c r="C1069" s="1" t="s">
        <v>159</v>
      </c>
      <c r="D1069">
        <v>1</v>
      </c>
      <c r="E1069">
        <v>115</v>
      </c>
    </row>
    <row r="1070" spans="1:5" x14ac:dyDescent="0.35">
      <c r="A1070">
        <v>220</v>
      </c>
      <c r="B1070" t="s">
        <v>153</v>
      </c>
      <c r="C1070" s="1" t="s">
        <v>181</v>
      </c>
      <c r="D1070">
        <v>2</v>
      </c>
      <c r="E1070">
        <v>-125</v>
      </c>
    </row>
    <row r="1071" spans="1:5" x14ac:dyDescent="0.35">
      <c r="A1071">
        <v>220</v>
      </c>
      <c r="B1071" t="s">
        <v>151</v>
      </c>
      <c r="C1071" s="1" t="s">
        <v>178</v>
      </c>
      <c r="D1071">
        <v>4</v>
      </c>
      <c r="E1071">
        <v>104</v>
      </c>
    </row>
    <row r="1072" spans="1:5" x14ac:dyDescent="0.35">
      <c r="A1072">
        <v>220</v>
      </c>
      <c r="B1072" t="s">
        <v>153</v>
      </c>
      <c r="C1072" s="1" t="s">
        <v>179</v>
      </c>
      <c r="D1072">
        <v>3</v>
      </c>
      <c r="E1072">
        <v>-114</v>
      </c>
    </row>
    <row r="1073" spans="1:5" x14ac:dyDescent="0.35">
      <c r="A1073">
        <v>220</v>
      </c>
      <c r="B1073" t="s">
        <v>151</v>
      </c>
      <c r="C1073" s="1" t="s">
        <v>163</v>
      </c>
      <c r="D1073">
        <v>4</v>
      </c>
      <c r="E1073">
        <v>160</v>
      </c>
    </row>
    <row r="1074" spans="1:5" x14ac:dyDescent="0.35">
      <c r="A1074">
        <v>220</v>
      </c>
      <c r="B1074" t="s">
        <v>153</v>
      </c>
      <c r="C1074" s="1" t="s">
        <v>155</v>
      </c>
      <c r="D1074">
        <v>3</v>
      </c>
      <c r="E1074">
        <v>-180</v>
      </c>
    </row>
    <row r="1075" spans="1:5" x14ac:dyDescent="0.35">
      <c r="A1075">
        <v>220</v>
      </c>
      <c r="B1075" t="s">
        <v>151</v>
      </c>
      <c r="C1075" s="1" t="s">
        <v>168</v>
      </c>
      <c r="D1075">
        <v>0</v>
      </c>
      <c r="E1075">
        <v>105</v>
      </c>
    </row>
    <row r="1076" spans="1:5" x14ac:dyDescent="0.35">
      <c r="A1076">
        <v>220</v>
      </c>
      <c r="B1076" t="s">
        <v>153</v>
      </c>
      <c r="C1076" s="1" t="s">
        <v>154</v>
      </c>
      <c r="D1076">
        <v>4</v>
      </c>
      <c r="E1076">
        <v>-115</v>
      </c>
    </row>
    <row r="1077" spans="1:5" x14ac:dyDescent="0.35">
      <c r="A1077">
        <v>220</v>
      </c>
      <c r="B1077" t="s">
        <v>151</v>
      </c>
      <c r="C1077" s="1" t="s">
        <v>165</v>
      </c>
      <c r="D1077">
        <v>5</v>
      </c>
      <c r="E1077">
        <v>-117</v>
      </c>
    </row>
    <row r="1078" spans="1:5" x14ac:dyDescent="0.35">
      <c r="A1078">
        <v>220</v>
      </c>
      <c r="B1078" t="s">
        <v>153</v>
      </c>
      <c r="C1078" s="1" t="s">
        <v>152</v>
      </c>
      <c r="D1078">
        <v>1</v>
      </c>
      <c r="E1078">
        <v>107</v>
      </c>
    </row>
    <row r="1079" spans="1:5" x14ac:dyDescent="0.35">
      <c r="A1079">
        <v>220</v>
      </c>
      <c r="B1079" t="s">
        <v>151</v>
      </c>
      <c r="C1079" s="1" t="s">
        <v>175</v>
      </c>
      <c r="D1079">
        <v>0</v>
      </c>
      <c r="E1079">
        <v>155</v>
      </c>
    </row>
    <row r="1080" spans="1:5" x14ac:dyDescent="0.35">
      <c r="A1080">
        <v>220</v>
      </c>
      <c r="B1080" t="s">
        <v>153</v>
      </c>
      <c r="C1080" s="1" t="s">
        <v>156</v>
      </c>
      <c r="D1080">
        <v>1</v>
      </c>
      <c r="E1080">
        <v>-170</v>
      </c>
    </row>
    <row r="1081" spans="1:5" x14ac:dyDescent="0.35">
      <c r="A1081">
        <v>220</v>
      </c>
      <c r="B1081" t="s">
        <v>151</v>
      </c>
      <c r="C1081" s="1" t="s">
        <v>162</v>
      </c>
      <c r="D1081">
        <v>3</v>
      </c>
      <c r="E1081">
        <v>-105</v>
      </c>
    </row>
    <row r="1082" spans="1:5" x14ac:dyDescent="0.35">
      <c r="A1082">
        <v>220</v>
      </c>
      <c r="B1082" t="s">
        <v>153</v>
      </c>
      <c r="C1082" s="1" t="s">
        <v>160</v>
      </c>
      <c r="D1082">
        <v>5</v>
      </c>
      <c r="E1082">
        <v>-105</v>
      </c>
    </row>
    <row r="1083" spans="1:5" x14ac:dyDescent="0.35">
      <c r="A1083">
        <v>220</v>
      </c>
      <c r="B1083" t="s">
        <v>151</v>
      </c>
      <c r="C1083" s="1" t="s">
        <v>161</v>
      </c>
      <c r="D1083">
        <v>4</v>
      </c>
      <c r="E1083">
        <v>-135</v>
      </c>
    </row>
    <row r="1084" spans="1:5" x14ac:dyDescent="0.35">
      <c r="A1084">
        <v>220</v>
      </c>
      <c r="B1084" t="s">
        <v>153</v>
      </c>
      <c r="C1084" s="1" t="s">
        <v>183</v>
      </c>
      <c r="D1084">
        <v>5</v>
      </c>
      <c r="E1084">
        <v>125</v>
      </c>
    </row>
    <row r="1085" spans="1:5" x14ac:dyDescent="0.35">
      <c r="A1085">
        <v>221</v>
      </c>
      <c r="B1085" t="s">
        <v>151</v>
      </c>
      <c r="C1085" s="1" t="s">
        <v>182</v>
      </c>
      <c r="D1085">
        <v>1</v>
      </c>
      <c r="E1085">
        <v>250</v>
      </c>
    </row>
    <row r="1086" spans="1:5" x14ac:dyDescent="0.35">
      <c r="A1086">
        <v>221</v>
      </c>
      <c r="B1086" t="s">
        <v>153</v>
      </c>
      <c r="C1086" s="1" t="s">
        <v>180</v>
      </c>
      <c r="D1086">
        <v>4</v>
      </c>
      <c r="E1086">
        <v>-290</v>
      </c>
    </row>
    <row r="1087" spans="1:5" x14ac:dyDescent="0.35">
      <c r="A1087">
        <v>221</v>
      </c>
      <c r="B1087" t="s">
        <v>151</v>
      </c>
      <c r="C1087" s="1" t="s">
        <v>166</v>
      </c>
      <c r="D1087">
        <v>5</v>
      </c>
      <c r="E1087">
        <v>135</v>
      </c>
    </row>
    <row r="1088" spans="1:5" x14ac:dyDescent="0.35">
      <c r="A1088">
        <v>221</v>
      </c>
      <c r="B1088" t="s">
        <v>153</v>
      </c>
      <c r="C1088" s="1" t="s">
        <v>164</v>
      </c>
      <c r="D1088">
        <v>2</v>
      </c>
      <c r="E1088">
        <v>-150</v>
      </c>
    </row>
    <row r="1089" spans="1:5" x14ac:dyDescent="0.35">
      <c r="A1089">
        <v>221</v>
      </c>
      <c r="B1089" t="s">
        <v>151</v>
      </c>
      <c r="C1089" s="1" t="s">
        <v>170</v>
      </c>
      <c r="D1089">
        <v>1</v>
      </c>
      <c r="E1089">
        <v>-116</v>
      </c>
    </row>
    <row r="1090" spans="1:5" x14ac:dyDescent="0.35">
      <c r="A1090">
        <v>221</v>
      </c>
      <c r="B1090" t="s">
        <v>153</v>
      </c>
      <c r="C1090" s="1" t="s">
        <v>177</v>
      </c>
      <c r="D1090">
        <v>2</v>
      </c>
      <c r="E1090">
        <v>106</v>
      </c>
    </row>
    <row r="1091" spans="1:5" x14ac:dyDescent="0.35">
      <c r="A1091">
        <v>221</v>
      </c>
      <c r="B1091" t="s">
        <v>151</v>
      </c>
      <c r="C1091" s="1" t="s">
        <v>156</v>
      </c>
      <c r="D1091">
        <v>5</v>
      </c>
      <c r="E1091">
        <v>150</v>
      </c>
    </row>
    <row r="1092" spans="1:5" x14ac:dyDescent="0.35">
      <c r="A1092">
        <v>221</v>
      </c>
      <c r="B1092" t="s">
        <v>153</v>
      </c>
      <c r="C1092" s="1" t="s">
        <v>172</v>
      </c>
      <c r="D1092">
        <v>1</v>
      </c>
      <c r="E1092">
        <v>-165</v>
      </c>
    </row>
    <row r="1093" spans="1:5" x14ac:dyDescent="0.35">
      <c r="A1093">
        <v>221</v>
      </c>
      <c r="B1093" t="s">
        <v>151</v>
      </c>
      <c r="C1093" s="1" t="s">
        <v>171</v>
      </c>
      <c r="D1093">
        <v>4</v>
      </c>
      <c r="E1093">
        <v>-135</v>
      </c>
    </row>
    <row r="1094" spans="1:5" x14ac:dyDescent="0.35">
      <c r="A1094">
        <v>221</v>
      </c>
      <c r="B1094" t="s">
        <v>153</v>
      </c>
      <c r="C1094" s="1" t="s">
        <v>173</v>
      </c>
      <c r="D1094">
        <v>3</v>
      </c>
      <c r="E1094">
        <v>125</v>
      </c>
    </row>
    <row r="1095" spans="1:5" x14ac:dyDescent="0.35">
      <c r="A1095">
        <v>221</v>
      </c>
      <c r="B1095" t="s">
        <v>151</v>
      </c>
      <c r="C1095" s="1" t="s">
        <v>169</v>
      </c>
      <c r="D1095">
        <v>5</v>
      </c>
      <c r="E1095">
        <v>102</v>
      </c>
    </row>
    <row r="1096" spans="1:5" x14ac:dyDescent="0.35">
      <c r="A1096">
        <v>221</v>
      </c>
      <c r="B1096" t="s">
        <v>153</v>
      </c>
      <c r="C1096" s="1" t="s">
        <v>158</v>
      </c>
      <c r="D1096">
        <v>3</v>
      </c>
      <c r="E1096">
        <v>-112</v>
      </c>
    </row>
    <row r="1097" spans="1:5" x14ac:dyDescent="0.35">
      <c r="A1097">
        <v>221</v>
      </c>
      <c r="B1097" t="s">
        <v>151</v>
      </c>
      <c r="C1097" s="1" t="s">
        <v>174</v>
      </c>
      <c r="D1097">
        <v>1</v>
      </c>
      <c r="E1097">
        <v>-160</v>
      </c>
    </row>
    <row r="1098" spans="1:5" x14ac:dyDescent="0.35">
      <c r="A1098">
        <v>221</v>
      </c>
      <c r="B1098" t="s">
        <v>153</v>
      </c>
      <c r="C1098" s="1" t="s">
        <v>176</v>
      </c>
      <c r="D1098">
        <v>0</v>
      </c>
      <c r="E1098">
        <v>145</v>
      </c>
    </row>
    <row r="1099" spans="1:5" x14ac:dyDescent="0.35">
      <c r="A1099">
        <v>222</v>
      </c>
      <c r="B1099" t="s">
        <v>151</v>
      </c>
      <c r="C1099" s="1" t="s">
        <v>155</v>
      </c>
      <c r="D1099">
        <v>2</v>
      </c>
      <c r="E1099">
        <v>-205</v>
      </c>
    </row>
    <row r="1100" spans="1:5" x14ac:dyDescent="0.35">
      <c r="A1100">
        <v>222</v>
      </c>
      <c r="B1100" t="s">
        <v>153</v>
      </c>
      <c r="C1100" s="1" t="s">
        <v>181</v>
      </c>
      <c r="D1100">
        <v>3</v>
      </c>
      <c r="E1100">
        <v>185</v>
      </c>
    </row>
    <row r="1101" spans="1:5" x14ac:dyDescent="0.35">
      <c r="A1101">
        <v>222</v>
      </c>
      <c r="B1101" t="s">
        <v>151</v>
      </c>
      <c r="C1101" s="1" t="s">
        <v>165</v>
      </c>
      <c r="D1101">
        <v>2</v>
      </c>
      <c r="E1101">
        <v>135</v>
      </c>
    </row>
    <row r="1102" spans="1:5" x14ac:dyDescent="0.35">
      <c r="A1102">
        <v>222</v>
      </c>
      <c r="B1102" t="s">
        <v>153</v>
      </c>
      <c r="C1102" s="1" t="s">
        <v>178</v>
      </c>
      <c r="D1102">
        <v>4</v>
      </c>
      <c r="E1102">
        <v>-150</v>
      </c>
    </row>
    <row r="1103" spans="1:5" x14ac:dyDescent="0.35">
      <c r="A1103">
        <v>222</v>
      </c>
      <c r="B1103" t="s">
        <v>151</v>
      </c>
      <c r="C1103" s="1" t="s">
        <v>167</v>
      </c>
      <c r="D1103">
        <v>5</v>
      </c>
      <c r="E1103">
        <v>200</v>
      </c>
    </row>
    <row r="1104" spans="1:5" x14ac:dyDescent="0.35">
      <c r="A1104">
        <v>222</v>
      </c>
      <c r="B1104" t="s">
        <v>153</v>
      </c>
      <c r="C1104" s="1" t="s">
        <v>168</v>
      </c>
      <c r="D1104">
        <v>2</v>
      </c>
      <c r="E1104">
        <v>-220</v>
      </c>
    </row>
    <row r="1105" spans="1:5" x14ac:dyDescent="0.35">
      <c r="A1105">
        <v>222</v>
      </c>
      <c r="B1105" t="s">
        <v>151</v>
      </c>
      <c r="C1105" s="1" t="s">
        <v>164</v>
      </c>
      <c r="D1105">
        <v>6</v>
      </c>
      <c r="E1105">
        <v>145</v>
      </c>
    </row>
    <row r="1106" spans="1:5" x14ac:dyDescent="0.35">
      <c r="A1106">
        <v>222</v>
      </c>
      <c r="B1106" t="s">
        <v>153</v>
      </c>
      <c r="C1106" s="1" t="s">
        <v>154</v>
      </c>
      <c r="D1106">
        <v>3</v>
      </c>
      <c r="E1106">
        <v>-160</v>
      </c>
    </row>
    <row r="1107" spans="1:5" x14ac:dyDescent="0.35">
      <c r="A1107">
        <v>222</v>
      </c>
      <c r="B1107" t="s">
        <v>151</v>
      </c>
      <c r="C1107" s="1" t="s">
        <v>163</v>
      </c>
      <c r="D1107">
        <v>3</v>
      </c>
      <c r="E1107">
        <v>-150</v>
      </c>
    </row>
    <row r="1108" spans="1:5" x14ac:dyDescent="0.35">
      <c r="A1108">
        <v>222</v>
      </c>
      <c r="B1108" t="s">
        <v>153</v>
      </c>
      <c r="C1108" s="1" t="s">
        <v>152</v>
      </c>
      <c r="D1108">
        <v>0</v>
      </c>
      <c r="E1108">
        <v>135</v>
      </c>
    </row>
    <row r="1109" spans="1:5" x14ac:dyDescent="0.35">
      <c r="A1109">
        <v>222</v>
      </c>
      <c r="B1109" t="s">
        <v>151</v>
      </c>
      <c r="C1109" s="1" t="s">
        <v>159</v>
      </c>
      <c r="D1109">
        <v>2</v>
      </c>
      <c r="E1109">
        <v>145</v>
      </c>
    </row>
    <row r="1110" spans="1:5" x14ac:dyDescent="0.35">
      <c r="A1110">
        <v>222</v>
      </c>
      <c r="B1110" t="s">
        <v>153</v>
      </c>
      <c r="C1110" s="1" t="s">
        <v>166</v>
      </c>
      <c r="D1110">
        <v>3</v>
      </c>
      <c r="E1110">
        <v>-160</v>
      </c>
    </row>
    <row r="1111" spans="1:5" x14ac:dyDescent="0.35">
      <c r="A1111">
        <v>222</v>
      </c>
      <c r="B1111" t="s">
        <v>151</v>
      </c>
      <c r="C1111" s="1" t="s">
        <v>162</v>
      </c>
      <c r="D1111">
        <v>3</v>
      </c>
      <c r="E1111">
        <v>-165</v>
      </c>
    </row>
    <row r="1112" spans="1:5" x14ac:dyDescent="0.35">
      <c r="A1112">
        <v>222</v>
      </c>
      <c r="B1112" t="s">
        <v>153</v>
      </c>
      <c r="C1112" s="1" t="s">
        <v>175</v>
      </c>
      <c r="D1112">
        <v>7</v>
      </c>
      <c r="E1112">
        <v>150</v>
      </c>
    </row>
    <row r="1113" spans="1:5" x14ac:dyDescent="0.35">
      <c r="A1113">
        <v>222</v>
      </c>
      <c r="B1113" t="s">
        <v>151</v>
      </c>
      <c r="C1113" s="1" t="s">
        <v>179</v>
      </c>
      <c r="D1113">
        <v>3</v>
      </c>
      <c r="E1113">
        <v>140</v>
      </c>
    </row>
    <row r="1114" spans="1:5" x14ac:dyDescent="0.35">
      <c r="A1114">
        <v>222</v>
      </c>
      <c r="B1114" t="s">
        <v>153</v>
      </c>
      <c r="C1114" s="1" t="s">
        <v>170</v>
      </c>
      <c r="D1114">
        <v>4</v>
      </c>
      <c r="E1114">
        <v>-155</v>
      </c>
    </row>
    <row r="1115" spans="1:5" x14ac:dyDescent="0.35">
      <c r="A1115">
        <v>222</v>
      </c>
      <c r="B1115" t="s">
        <v>151</v>
      </c>
      <c r="C1115" s="1" t="s">
        <v>161</v>
      </c>
      <c r="D1115">
        <v>3</v>
      </c>
      <c r="E1115">
        <v>180</v>
      </c>
    </row>
    <row r="1116" spans="1:5" x14ac:dyDescent="0.35">
      <c r="A1116">
        <v>222</v>
      </c>
      <c r="B1116" t="s">
        <v>153</v>
      </c>
      <c r="C1116" s="1" t="s">
        <v>160</v>
      </c>
      <c r="D1116">
        <v>5</v>
      </c>
      <c r="E1116">
        <v>-200</v>
      </c>
    </row>
    <row r="1117" spans="1:5" x14ac:dyDescent="0.35">
      <c r="A1117">
        <v>222</v>
      </c>
      <c r="B1117" t="s">
        <v>151</v>
      </c>
      <c r="C1117" s="1" t="s">
        <v>171</v>
      </c>
      <c r="D1117">
        <v>3</v>
      </c>
      <c r="E1117">
        <v>-135</v>
      </c>
    </row>
    <row r="1118" spans="1:5" x14ac:dyDescent="0.35">
      <c r="A1118">
        <v>222</v>
      </c>
      <c r="B1118" t="s">
        <v>153</v>
      </c>
      <c r="C1118" s="1" t="s">
        <v>157</v>
      </c>
      <c r="D1118">
        <v>9</v>
      </c>
      <c r="E1118">
        <v>125</v>
      </c>
    </row>
    <row r="1119" spans="1:5" x14ac:dyDescent="0.35">
      <c r="A1119">
        <v>222</v>
      </c>
      <c r="B1119" t="s">
        <v>151</v>
      </c>
      <c r="C1119" s="1" t="s">
        <v>174</v>
      </c>
      <c r="D1119">
        <v>2</v>
      </c>
      <c r="E1119">
        <v>-155</v>
      </c>
    </row>
    <row r="1120" spans="1:5" x14ac:dyDescent="0.35">
      <c r="A1120">
        <v>222</v>
      </c>
      <c r="B1120" t="s">
        <v>153</v>
      </c>
      <c r="C1120" s="1" t="s">
        <v>183</v>
      </c>
      <c r="D1120">
        <v>1</v>
      </c>
      <c r="E1120">
        <v>140</v>
      </c>
    </row>
    <row r="1121" spans="1:5" x14ac:dyDescent="0.35">
      <c r="A1121">
        <v>223</v>
      </c>
      <c r="B1121" t="s">
        <v>151</v>
      </c>
      <c r="C1121" s="1" t="s">
        <v>168</v>
      </c>
      <c r="D1121">
        <v>3</v>
      </c>
      <c r="E1121">
        <v>125</v>
      </c>
    </row>
    <row r="1122" spans="1:5" x14ac:dyDescent="0.35">
      <c r="A1122">
        <v>223</v>
      </c>
      <c r="B1122" t="s">
        <v>153</v>
      </c>
      <c r="C1122" s="1" t="s">
        <v>155</v>
      </c>
      <c r="D1122">
        <v>5</v>
      </c>
      <c r="E1122">
        <v>-135</v>
      </c>
    </row>
    <row r="1123" spans="1:5" x14ac:dyDescent="0.35">
      <c r="A1123">
        <v>223</v>
      </c>
      <c r="B1123" t="s">
        <v>151</v>
      </c>
      <c r="C1123" s="1" t="s">
        <v>165</v>
      </c>
      <c r="D1123">
        <v>1</v>
      </c>
      <c r="E1123">
        <v>-107</v>
      </c>
    </row>
    <row r="1124" spans="1:5" x14ac:dyDescent="0.35">
      <c r="A1124">
        <v>223</v>
      </c>
      <c r="B1124" t="s">
        <v>153</v>
      </c>
      <c r="C1124" s="1" t="s">
        <v>167</v>
      </c>
      <c r="D1124">
        <v>2</v>
      </c>
      <c r="E1124">
        <v>-103</v>
      </c>
    </row>
    <row r="1125" spans="1:5" x14ac:dyDescent="0.35">
      <c r="A1125">
        <v>223</v>
      </c>
      <c r="B1125" t="s">
        <v>151</v>
      </c>
      <c r="C1125" s="1" t="s">
        <v>177</v>
      </c>
      <c r="D1125">
        <v>1</v>
      </c>
      <c r="E1125">
        <v>170</v>
      </c>
    </row>
    <row r="1126" spans="1:5" x14ac:dyDescent="0.35">
      <c r="A1126">
        <v>223</v>
      </c>
      <c r="B1126" t="s">
        <v>153</v>
      </c>
      <c r="C1126" s="1" t="s">
        <v>172</v>
      </c>
      <c r="D1126">
        <v>2</v>
      </c>
      <c r="E1126">
        <v>-190</v>
      </c>
    </row>
    <row r="1127" spans="1:5" x14ac:dyDescent="0.35">
      <c r="A1127">
        <v>223</v>
      </c>
      <c r="B1127" t="s">
        <v>151</v>
      </c>
      <c r="C1127" s="1" t="s">
        <v>159</v>
      </c>
      <c r="D1127">
        <v>1</v>
      </c>
      <c r="E1127">
        <v>195</v>
      </c>
    </row>
    <row r="1128" spans="1:5" x14ac:dyDescent="0.35">
      <c r="A1128">
        <v>223</v>
      </c>
      <c r="B1128" t="s">
        <v>153</v>
      </c>
      <c r="C1128" s="1" t="s">
        <v>180</v>
      </c>
      <c r="D1128">
        <v>4</v>
      </c>
      <c r="E1128">
        <v>-215</v>
      </c>
    </row>
    <row r="1129" spans="1:5" x14ac:dyDescent="0.35">
      <c r="A1129">
        <v>223</v>
      </c>
      <c r="B1129" t="s">
        <v>151</v>
      </c>
      <c r="C1129" s="1" t="s">
        <v>173</v>
      </c>
      <c r="D1129">
        <v>4</v>
      </c>
      <c r="E1129">
        <v>-210</v>
      </c>
    </row>
    <row r="1130" spans="1:5" x14ac:dyDescent="0.35">
      <c r="A1130">
        <v>223</v>
      </c>
      <c r="B1130" t="s">
        <v>153</v>
      </c>
      <c r="C1130" s="1" t="s">
        <v>182</v>
      </c>
      <c r="D1130">
        <v>2</v>
      </c>
      <c r="E1130">
        <v>190</v>
      </c>
    </row>
    <row r="1131" spans="1:5" x14ac:dyDescent="0.35">
      <c r="A1131">
        <v>223</v>
      </c>
      <c r="B1131" t="s">
        <v>151</v>
      </c>
      <c r="C1131" s="1" t="s">
        <v>156</v>
      </c>
      <c r="D1131">
        <v>4</v>
      </c>
      <c r="E1131">
        <v>-110</v>
      </c>
    </row>
    <row r="1132" spans="1:5" x14ac:dyDescent="0.35">
      <c r="A1132">
        <v>223</v>
      </c>
      <c r="B1132" t="s">
        <v>153</v>
      </c>
      <c r="C1132" s="1" t="s">
        <v>169</v>
      </c>
      <c r="D1132">
        <v>1</v>
      </c>
      <c r="E1132">
        <v>100</v>
      </c>
    </row>
    <row r="1133" spans="1:5" x14ac:dyDescent="0.35">
      <c r="A1133">
        <v>223</v>
      </c>
      <c r="B1133" t="s">
        <v>151</v>
      </c>
      <c r="C1133" s="1" t="s">
        <v>158</v>
      </c>
      <c r="D1133">
        <v>4</v>
      </c>
      <c r="E1133">
        <v>-130</v>
      </c>
    </row>
    <row r="1134" spans="1:5" x14ac:dyDescent="0.35">
      <c r="A1134">
        <v>223</v>
      </c>
      <c r="B1134" t="s">
        <v>153</v>
      </c>
      <c r="C1134" s="1" t="s">
        <v>183</v>
      </c>
      <c r="D1134">
        <v>2</v>
      </c>
      <c r="E1134">
        <v>120</v>
      </c>
    </row>
    <row r="1135" spans="1:5" x14ac:dyDescent="0.35">
      <c r="A1135">
        <v>223</v>
      </c>
      <c r="B1135" t="s">
        <v>151</v>
      </c>
      <c r="C1135" s="1" t="s">
        <v>160</v>
      </c>
      <c r="D1135">
        <v>6</v>
      </c>
      <c r="E1135">
        <v>-155</v>
      </c>
    </row>
    <row r="1136" spans="1:5" x14ac:dyDescent="0.35">
      <c r="A1136">
        <v>223</v>
      </c>
      <c r="B1136" t="s">
        <v>153</v>
      </c>
      <c r="C1136" s="1" t="s">
        <v>176</v>
      </c>
      <c r="D1136">
        <v>5</v>
      </c>
      <c r="E1136">
        <v>140</v>
      </c>
    </row>
    <row r="1137" spans="1:5" x14ac:dyDescent="0.35">
      <c r="A1137">
        <v>224</v>
      </c>
      <c r="B1137" t="s">
        <v>151</v>
      </c>
      <c r="C1137" s="1" t="s">
        <v>152</v>
      </c>
      <c r="D1137">
        <v>3</v>
      </c>
      <c r="E1137">
        <v>205</v>
      </c>
    </row>
    <row r="1138" spans="1:5" x14ac:dyDescent="0.35">
      <c r="A1138">
        <v>224</v>
      </c>
      <c r="B1138" t="s">
        <v>153</v>
      </c>
      <c r="C1138" s="1" t="s">
        <v>179</v>
      </c>
      <c r="D1138">
        <v>4</v>
      </c>
      <c r="E1138">
        <v>-230</v>
      </c>
    </row>
    <row r="1139" spans="1:5" x14ac:dyDescent="0.35">
      <c r="A1139">
        <v>225</v>
      </c>
      <c r="B1139" t="s">
        <v>151</v>
      </c>
      <c r="C1139" s="1" t="s">
        <v>173</v>
      </c>
      <c r="D1139">
        <v>5</v>
      </c>
      <c r="E1139">
        <v>180</v>
      </c>
    </row>
    <row r="1140" spans="1:5" x14ac:dyDescent="0.35">
      <c r="A1140">
        <v>225</v>
      </c>
      <c r="B1140" t="s">
        <v>153</v>
      </c>
      <c r="C1140" s="1" t="s">
        <v>171</v>
      </c>
      <c r="D1140">
        <v>2</v>
      </c>
      <c r="E1140">
        <v>-200</v>
      </c>
    </row>
    <row r="1141" spans="1:5" x14ac:dyDescent="0.35">
      <c r="A1141">
        <v>225</v>
      </c>
      <c r="B1141" t="s">
        <v>151</v>
      </c>
      <c r="C1141" s="1" t="s">
        <v>157</v>
      </c>
      <c r="D1141">
        <v>4</v>
      </c>
      <c r="E1141">
        <v>125</v>
      </c>
    </row>
    <row r="1142" spans="1:5" x14ac:dyDescent="0.35">
      <c r="A1142">
        <v>225</v>
      </c>
      <c r="B1142" t="s">
        <v>153</v>
      </c>
      <c r="C1142" s="1" t="s">
        <v>163</v>
      </c>
      <c r="D1142">
        <v>3</v>
      </c>
      <c r="E1142">
        <v>-135</v>
      </c>
    </row>
    <row r="1143" spans="1:5" x14ac:dyDescent="0.35">
      <c r="A1143">
        <v>225</v>
      </c>
      <c r="B1143" t="s">
        <v>151</v>
      </c>
      <c r="C1143" s="1" t="s">
        <v>159</v>
      </c>
      <c r="D1143">
        <v>2</v>
      </c>
      <c r="E1143">
        <v>205</v>
      </c>
    </row>
    <row r="1144" spans="1:5" x14ac:dyDescent="0.35">
      <c r="A1144">
        <v>225</v>
      </c>
      <c r="B1144" t="s">
        <v>153</v>
      </c>
      <c r="C1144" s="1" t="s">
        <v>178</v>
      </c>
      <c r="D1144">
        <v>4</v>
      </c>
      <c r="E1144">
        <v>-230</v>
      </c>
    </row>
    <row r="1145" spans="1:5" x14ac:dyDescent="0.35">
      <c r="A1145">
        <v>225</v>
      </c>
      <c r="B1145" t="s">
        <v>151</v>
      </c>
      <c r="C1145" s="1" t="s">
        <v>172</v>
      </c>
      <c r="D1145">
        <v>4</v>
      </c>
      <c r="E1145">
        <v>100</v>
      </c>
    </row>
    <row r="1146" spans="1:5" x14ac:dyDescent="0.35">
      <c r="A1146">
        <v>225</v>
      </c>
      <c r="B1146" t="s">
        <v>153</v>
      </c>
      <c r="C1146" s="1" t="s">
        <v>164</v>
      </c>
      <c r="D1146">
        <v>1</v>
      </c>
      <c r="E1146">
        <v>-110</v>
      </c>
    </row>
    <row r="1147" spans="1:5" x14ac:dyDescent="0.35">
      <c r="A1147">
        <v>225</v>
      </c>
      <c r="B1147" t="s">
        <v>151</v>
      </c>
      <c r="C1147" s="1" t="s">
        <v>154</v>
      </c>
      <c r="D1147">
        <v>4</v>
      </c>
      <c r="E1147">
        <v>160</v>
      </c>
    </row>
    <row r="1148" spans="1:5" x14ac:dyDescent="0.35">
      <c r="A1148">
        <v>225</v>
      </c>
      <c r="B1148" t="s">
        <v>153</v>
      </c>
      <c r="C1148" s="1" t="s">
        <v>162</v>
      </c>
      <c r="D1148">
        <v>3</v>
      </c>
      <c r="E1148">
        <v>-180</v>
      </c>
    </row>
    <row r="1149" spans="1:5" x14ac:dyDescent="0.35">
      <c r="A1149">
        <v>225</v>
      </c>
      <c r="B1149" t="s">
        <v>151</v>
      </c>
      <c r="C1149" s="1" t="s">
        <v>166</v>
      </c>
      <c r="D1149">
        <v>4</v>
      </c>
      <c r="E1149">
        <v>130</v>
      </c>
    </row>
    <row r="1150" spans="1:5" x14ac:dyDescent="0.35">
      <c r="A1150">
        <v>225</v>
      </c>
      <c r="B1150" t="s">
        <v>153</v>
      </c>
      <c r="C1150" s="1" t="s">
        <v>180</v>
      </c>
      <c r="D1150">
        <v>3</v>
      </c>
      <c r="E1150">
        <v>-140</v>
      </c>
    </row>
    <row r="1151" spans="1:5" x14ac:dyDescent="0.35">
      <c r="A1151">
        <v>225</v>
      </c>
      <c r="B1151" t="s">
        <v>151</v>
      </c>
      <c r="C1151" s="1" t="s">
        <v>165</v>
      </c>
      <c r="D1151">
        <v>3</v>
      </c>
      <c r="E1151">
        <v>190</v>
      </c>
    </row>
    <row r="1152" spans="1:5" x14ac:dyDescent="0.35">
      <c r="A1152">
        <v>225</v>
      </c>
      <c r="B1152" t="s">
        <v>153</v>
      </c>
      <c r="C1152" s="1" t="s">
        <v>155</v>
      </c>
      <c r="D1152">
        <v>4</v>
      </c>
      <c r="E1152">
        <v>-210</v>
      </c>
    </row>
    <row r="1153" spans="1:5" x14ac:dyDescent="0.35">
      <c r="A1153">
        <v>225</v>
      </c>
      <c r="B1153" t="s">
        <v>151</v>
      </c>
      <c r="C1153" s="1" t="s">
        <v>181</v>
      </c>
      <c r="D1153">
        <v>4</v>
      </c>
      <c r="E1153">
        <v>-120</v>
      </c>
    </row>
    <row r="1154" spans="1:5" x14ac:dyDescent="0.35">
      <c r="A1154">
        <v>225</v>
      </c>
      <c r="B1154" t="s">
        <v>153</v>
      </c>
      <c r="C1154" s="1" t="s">
        <v>182</v>
      </c>
      <c r="D1154">
        <v>1</v>
      </c>
      <c r="E1154">
        <v>110</v>
      </c>
    </row>
    <row r="1155" spans="1:5" x14ac:dyDescent="0.35">
      <c r="A1155">
        <v>225</v>
      </c>
      <c r="B1155" t="s">
        <v>151</v>
      </c>
      <c r="C1155" s="1" t="s">
        <v>152</v>
      </c>
      <c r="D1155">
        <v>2</v>
      </c>
      <c r="E1155">
        <v>300</v>
      </c>
    </row>
    <row r="1156" spans="1:5" x14ac:dyDescent="0.35">
      <c r="A1156">
        <v>225</v>
      </c>
      <c r="B1156" t="s">
        <v>153</v>
      </c>
      <c r="C1156" s="1" t="s">
        <v>170</v>
      </c>
      <c r="D1156">
        <v>3</v>
      </c>
      <c r="E1156">
        <v>-350</v>
      </c>
    </row>
    <row r="1157" spans="1:5" x14ac:dyDescent="0.35">
      <c r="A1157">
        <v>225</v>
      </c>
      <c r="B1157" t="s">
        <v>151</v>
      </c>
      <c r="C1157" s="1" t="s">
        <v>177</v>
      </c>
      <c r="D1157">
        <v>5</v>
      </c>
      <c r="E1157">
        <v>180</v>
      </c>
    </row>
    <row r="1158" spans="1:5" x14ac:dyDescent="0.35">
      <c r="A1158">
        <v>225</v>
      </c>
      <c r="B1158" t="s">
        <v>153</v>
      </c>
      <c r="C1158" s="1" t="s">
        <v>156</v>
      </c>
      <c r="D1158">
        <v>6</v>
      </c>
      <c r="E1158">
        <v>-200</v>
      </c>
    </row>
    <row r="1159" spans="1:5" x14ac:dyDescent="0.35">
      <c r="A1159">
        <v>225</v>
      </c>
      <c r="B1159" t="s">
        <v>151</v>
      </c>
      <c r="C1159" s="1" t="s">
        <v>179</v>
      </c>
      <c r="D1159">
        <v>4</v>
      </c>
      <c r="E1159">
        <v>140</v>
      </c>
    </row>
    <row r="1160" spans="1:5" x14ac:dyDescent="0.35">
      <c r="A1160">
        <v>225</v>
      </c>
      <c r="B1160" t="s">
        <v>153</v>
      </c>
      <c r="C1160" s="1" t="s">
        <v>169</v>
      </c>
      <c r="D1160">
        <v>5</v>
      </c>
      <c r="E1160">
        <v>-155</v>
      </c>
    </row>
    <row r="1161" spans="1:5" x14ac:dyDescent="0.35">
      <c r="A1161">
        <v>225</v>
      </c>
      <c r="B1161" t="s">
        <v>151</v>
      </c>
      <c r="C1161" s="1" t="s">
        <v>161</v>
      </c>
      <c r="D1161">
        <v>2</v>
      </c>
      <c r="E1161">
        <v>125</v>
      </c>
    </row>
    <row r="1162" spans="1:5" x14ac:dyDescent="0.35">
      <c r="A1162">
        <v>225</v>
      </c>
      <c r="B1162" t="s">
        <v>153</v>
      </c>
      <c r="C1162" s="1" t="s">
        <v>175</v>
      </c>
      <c r="D1162">
        <v>1</v>
      </c>
      <c r="E1162">
        <v>-135</v>
      </c>
    </row>
    <row r="1163" spans="1:5" x14ac:dyDescent="0.35">
      <c r="A1163">
        <v>225</v>
      </c>
      <c r="B1163" t="s">
        <v>151</v>
      </c>
      <c r="C1163" s="1" t="s">
        <v>158</v>
      </c>
      <c r="D1163">
        <v>3</v>
      </c>
      <c r="E1163">
        <v>-145</v>
      </c>
    </row>
    <row r="1164" spans="1:5" x14ac:dyDescent="0.35">
      <c r="A1164">
        <v>225</v>
      </c>
      <c r="B1164" t="s">
        <v>153</v>
      </c>
      <c r="C1164" s="1" t="s">
        <v>176</v>
      </c>
      <c r="D1164">
        <v>4</v>
      </c>
      <c r="E1164">
        <v>132</v>
      </c>
    </row>
    <row r="1165" spans="1:5" x14ac:dyDescent="0.35">
      <c r="A1165">
        <v>226</v>
      </c>
      <c r="B1165" t="s">
        <v>151</v>
      </c>
      <c r="C1165" s="1" t="s">
        <v>167</v>
      </c>
      <c r="D1165">
        <v>2</v>
      </c>
      <c r="E1165">
        <v>180</v>
      </c>
    </row>
    <row r="1166" spans="1:5" x14ac:dyDescent="0.35">
      <c r="A1166">
        <v>226</v>
      </c>
      <c r="B1166" t="s">
        <v>153</v>
      </c>
      <c r="C1166" s="1" t="s">
        <v>174</v>
      </c>
      <c r="D1166">
        <v>3</v>
      </c>
      <c r="E1166">
        <v>-200</v>
      </c>
    </row>
    <row r="1167" spans="1:5" x14ac:dyDescent="0.35">
      <c r="A1167">
        <v>226</v>
      </c>
      <c r="B1167" t="s">
        <v>151</v>
      </c>
      <c r="C1167" s="1" t="s">
        <v>168</v>
      </c>
      <c r="D1167">
        <v>1</v>
      </c>
      <c r="E1167">
        <v>-200</v>
      </c>
    </row>
    <row r="1168" spans="1:5" x14ac:dyDescent="0.35">
      <c r="A1168">
        <v>226</v>
      </c>
      <c r="B1168" t="s">
        <v>153</v>
      </c>
      <c r="C1168" s="1" t="s">
        <v>183</v>
      </c>
      <c r="D1168">
        <v>2</v>
      </c>
      <c r="E1168">
        <v>180</v>
      </c>
    </row>
    <row r="1169" spans="1:5" x14ac:dyDescent="0.35">
      <c r="A1169">
        <v>226</v>
      </c>
      <c r="B1169" t="s">
        <v>151</v>
      </c>
      <c r="C1169" s="1" t="s">
        <v>158</v>
      </c>
      <c r="D1169">
        <v>0</v>
      </c>
      <c r="E1169">
        <v>200</v>
      </c>
    </row>
    <row r="1170" spans="1:5" x14ac:dyDescent="0.35">
      <c r="A1170">
        <v>226</v>
      </c>
      <c r="B1170" t="s">
        <v>153</v>
      </c>
      <c r="C1170" s="1" t="s">
        <v>160</v>
      </c>
      <c r="D1170">
        <v>3</v>
      </c>
      <c r="E1170">
        <v>-220</v>
      </c>
    </row>
    <row r="1171" spans="1:5" x14ac:dyDescent="0.35">
      <c r="A1171">
        <v>227</v>
      </c>
      <c r="B1171" t="s">
        <v>151</v>
      </c>
      <c r="C1171" s="1" t="s">
        <v>177</v>
      </c>
      <c r="D1171">
        <v>5</v>
      </c>
      <c r="E1171">
        <v>205</v>
      </c>
    </row>
    <row r="1172" spans="1:5" x14ac:dyDescent="0.35">
      <c r="A1172">
        <v>227</v>
      </c>
      <c r="B1172" t="s">
        <v>153</v>
      </c>
      <c r="C1172" s="1" t="s">
        <v>162</v>
      </c>
      <c r="D1172">
        <v>2</v>
      </c>
      <c r="E1172">
        <v>-230</v>
      </c>
    </row>
    <row r="1173" spans="1:5" x14ac:dyDescent="0.35">
      <c r="A1173">
        <v>227</v>
      </c>
      <c r="B1173" t="s">
        <v>151</v>
      </c>
      <c r="C1173" s="1" t="s">
        <v>154</v>
      </c>
      <c r="D1173">
        <v>5</v>
      </c>
      <c r="E1173">
        <v>-104</v>
      </c>
    </row>
    <row r="1174" spans="1:5" x14ac:dyDescent="0.35">
      <c r="A1174">
        <v>227</v>
      </c>
      <c r="B1174" t="s">
        <v>153</v>
      </c>
      <c r="C1174" s="1" t="s">
        <v>161</v>
      </c>
      <c r="D1174">
        <v>3</v>
      </c>
      <c r="E1174">
        <v>-106</v>
      </c>
    </row>
    <row r="1175" spans="1:5" x14ac:dyDescent="0.35">
      <c r="A1175">
        <v>227</v>
      </c>
      <c r="B1175" t="s">
        <v>151</v>
      </c>
      <c r="C1175" s="1" t="s">
        <v>166</v>
      </c>
      <c r="D1175">
        <v>5</v>
      </c>
      <c r="E1175">
        <v>115</v>
      </c>
    </row>
    <row r="1176" spans="1:5" x14ac:dyDescent="0.35">
      <c r="A1176">
        <v>227</v>
      </c>
      <c r="B1176" t="s">
        <v>153</v>
      </c>
      <c r="C1176" s="1" t="s">
        <v>163</v>
      </c>
      <c r="D1176">
        <v>2</v>
      </c>
      <c r="E1176">
        <v>-125</v>
      </c>
    </row>
    <row r="1177" spans="1:5" x14ac:dyDescent="0.35">
      <c r="A1177">
        <v>227</v>
      </c>
      <c r="B1177" t="s">
        <v>151</v>
      </c>
      <c r="C1177" s="1" t="s">
        <v>172</v>
      </c>
      <c r="D1177">
        <v>3</v>
      </c>
      <c r="E1177">
        <v>150</v>
      </c>
    </row>
    <row r="1178" spans="1:5" x14ac:dyDescent="0.35">
      <c r="A1178">
        <v>227</v>
      </c>
      <c r="B1178" t="s">
        <v>153</v>
      </c>
      <c r="C1178" s="1" t="s">
        <v>171</v>
      </c>
      <c r="D1178">
        <v>4</v>
      </c>
      <c r="E1178">
        <v>-165</v>
      </c>
    </row>
    <row r="1179" spans="1:5" x14ac:dyDescent="0.35">
      <c r="A1179">
        <v>227</v>
      </c>
      <c r="B1179" t="s">
        <v>151</v>
      </c>
      <c r="C1179" s="1" t="s">
        <v>157</v>
      </c>
      <c r="D1179">
        <v>2</v>
      </c>
      <c r="E1179">
        <v>-160</v>
      </c>
    </row>
    <row r="1180" spans="1:5" x14ac:dyDescent="0.35">
      <c r="A1180">
        <v>227</v>
      </c>
      <c r="B1180" t="s">
        <v>153</v>
      </c>
      <c r="C1180" s="1" t="s">
        <v>152</v>
      </c>
      <c r="D1180">
        <v>5</v>
      </c>
      <c r="E1180">
        <v>145</v>
      </c>
    </row>
    <row r="1181" spans="1:5" x14ac:dyDescent="0.35">
      <c r="A1181">
        <v>227</v>
      </c>
      <c r="B1181" t="s">
        <v>151</v>
      </c>
      <c r="C1181" s="1" t="s">
        <v>169</v>
      </c>
      <c r="D1181">
        <v>7</v>
      </c>
      <c r="E1181">
        <v>-220</v>
      </c>
    </row>
    <row r="1182" spans="1:5" x14ac:dyDescent="0.35">
      <c r="A1182">
        <v>227</v>
      </c>
      <c r="B1182" t="s">
        <v>153</v>
      </c>
      <c r="C1182" s="1" t="s">
        <v>182</v>
      </c>
      <c r="D1182">
        <v>1</v>
      </c>
      <c r="E1182">
        <v>200</v>
      </c>
    </row>
    <row r="1183" spans="1:5" x14ac:dyDescent="0.35">
      <c r="A1183">
        <v>227</v>
      </c>
      <c r="B1183" t="s">
        <v>151</v>
      </c>
      <c r="C1183" s="1" t="s">
        <v>173</v>
      </c>
      <c r="D1183">
        <v>3</v>
      </c>
      <c r="E1183">
        <v>108</v>
      </c>
    </row>
    <row r="1184" spans="1:5" x14ac:dyDescent="0.35">
      <c r="A1184">
        <v>227</v>
      </c>
      <c r="B1184" t="s">
        <v>153</v>
      </c>
      <c r="C1184" s="1" t="s">
        <v>170</v>
      </c>
      <c r="D1184">
        <v>4</v>
      </c>
      <c r="E1184">
        <v>-118</v>
      </c>
    </row>
    <row r="1185" spans="1:5" x14ac:dyDescent="0.35">
      <c r="A1185">
        <v>227</v>
      </c>
      <c r="B1185" t="s">
        <v>151</v>
      </c>
      <c r="C1185" s="1" t="s">
        <v>155</v>
      </c>
      <c r="D1185">
        <v>0</v>
      </c>
      <c r="E1185">
        <v>-150</v>
      </c>
    </row>
    <row r="1186" spans="1:5" x14ac:dyDescent="0.35">
      <c r="A1186">
        <v>227</v>
      </c>
      <c r="B1186" t="s">
        <v>153</v>
      </c>
      <c r="C1186" s="1" t="s">
        <v>165</v>
      </c>
      <c r="D1186">
        <v>3</v>
      </c>
      <c r="E1186">
        <v>135</v>
      </c>
    </row>
    <row r="1187" spans="1:5" x14ac:dyDescent="0.35">
      <c r="A1187">
        <v>227</v>
      </c>
      <c r="B1187" t="s">
        <v>151</v>
      </c>
      <c r="C1187" s="1" t="s">
        <v>180</v>
      </c>
      <c r="D1187">
        <v>2</v>
      </c>
      <c r="E1187">
        <v>150</v>
      </c>
    </row>
    <row r="1188" spans="1:5" x14ac:dyDescent="0.35">
      <c r="A1188">
        <v>227</v>
      </c>
      <c r="B1188" t="s">
        <v>153</v>
      </c>
      <c r="C1188" s="1" t="s">
        <v>156</v>
      </c>
      <c r="D1188">
        <v>3</v>
      </c>
      <c r="E1188">
        <v>-165</v>
      </c>
    </row>
    <row r="1189" spans="1:5" x14ac:dyDescent="0.35">
      <c r="A1189">
        <v>227</v>
      </c>
      <c r="B1189" t="s">
        <v>151</v>
      </c>
      <c r="C1189" s="1" t="s">
        <v>181</v>
      </c>
      <c r="D1189">
        <v>2</v>
      </c>
      <c r="E1189">
        <v>125</v>
      </c>
    </row>
    <row r="1190" spans="1:5" x14ac:dyDescent="0.35">
      <c r="A1190">
        <v>227</v>
      </c>
      <c r="B1190" t="s">
        <v>153</v>
      </c>
      <c r="C1190" s="1" t="s">
        <v>159</v>
      </c>
      <c r="D1190">
        <v>3</v>
      </c>
      <c r="E1190">
        <v>-135</v>
      </c>
    </row>
    <row r="1191" spans="1:5" x14ac:dyDescent="0.35">
      <c r="A1191">
        <v>228</v>
      </c>
      <c r="B1191" t="s">
        <v>151</v>
      </c>
      <c r="C1191" s="1" t="s">
        <v>169</v>
      </c>
      <c r="D1191">
        <v>5</v>
      </c>
      <c r="E1191">
        <v>115</v>
      </c>
    </row>
    <row r="1192" spans="1:5" x14ac:dyDescent="0.35">
      <c r="A1192">
        <v>228</v>
      </c>
      <c r="B1192" t="s">
        <v>153</v>
      </c>
      <c r="C1192" s="1" t="s">
        <v>179</v>
      </c>
      <c r="D1192">
        <v>0</v>
      </c>
      <c r="E1192">
        <v>-125</v>
      </c>
    </row>
    <row r="1193" spans="1:5" x14ac:dyDescent="0.35">
      <c r="A1193">
        <v>228</v>
      </c>
      <c r="B1193" t="s">
        <v>151</v>
      </c>
      <c r="C1193" s="1" t="s">
        <v>166</v>
      </c>
      <c r="D1193">
        <v>2</v>
      </c>
      <c r="E1193">
        <v>147</v>
      </c>
    </row>
    <row r="1194" spans="1:5" x14ac:dyDescent="0.35">
      <c r="A1194">
        <v>228</v>
      </c>
      <c r="B1194" t="s">
        <v>153</v>
      </c>
      <c r="C1194" s="1" t="s">
        <v>178</v>
      </c>
      <c r="D1194">
        <v>5</v>
      </c>
      <c r="E1194">
        <v>-162</v>
      </c>
    </row>
    <row r="1195" spans="1:5" x14ac:dyDescent="0.35">
      <c r="A1195">
        <v>228</v>
      </c>
      <c r="B1195" t="s">
        <v>151</v>
      </c>
      <c r="C1195" s="1" t="s">
        <v>174</v>
      </c>
      <c r="D1195">
        <v>3</v>
      </c>
      <c r="E1195">
        <v>-105</v>
      </c>
    </row>
    <row r="1196" spans="1:5" x14ac:dyDescent="0.35">
      <c r="A1196">
        <v>228</v>
      </c>
      <c r="B1196" t="s">
        <v>153</v>
      </c>
      <c r="C1196" s="1" t="s">
        <v>164</v>
      </c>
      <c r="D1196">
        <v>2</v>
      </c>
      <c r="E1196">
        <v>-105</v>
      </c>
    </row>
    <row r="1197" spans="1:5" x14ac:dyDescent="0.35">
      <c r="A1197">
        <v>228</v>
      </c>
      <c r="B1197" t="s">
        <v>151</v>
      </c>
      <c r="C1197" s="1" t="s">
        <v>168</v>
      </c>
      <c r="D1197">
        <v>2</v>
      </c>
      <c r="E1197">
        <v>-200</v>
      </c>
    </row>
    <row r="1198" spans="1:5" x14ac:dyDescent="0.35">
      <c r="A1198">
        <v>228</v>
      </c>
      <c r="B1198" t="s">
        <v>153</v>
      </c>
      <c r="C1198" s="1" t="s">
        <v>176</v>
      </c>
      <c r="D1198">
        <v>3</v>
      </c>
      <c r="E1198">
        <v>180</v>
      </c>
    </row>
    <row r="1199" spans="1:5" x14ac:dyDescent="0.35">
      <c r="A1199">
        <v>228</v>
      </c>
      <c r="B1199" t="s">
        <v>151</v>
      </c>
      <c r="C1199" s="1" t="s">
        <v>167</v>
      </c>
      <c r="D1199">
        <v>2</v>
      </c>
      <c r="E1199">
        <v>235</v>
      </c>
    </row>
    <row r="1200" spans="1:5" x14ac:dyDescent="0.35">
      <c r="A1200">
        <v>228</v>
      </c>
      <c r="B1200" t="s">
        <v>153</v>
      </c>
      <c r="C1200" s="1" t="s">
        <v>160</v>
      </c>
      <c r="D1200">
        <v>4</v>
      </c>
      <c r="E1200">
        <v>-265</v>
      </c>
    </row>
    <row r="1201" spans="1:5" x14ac:dyDescent="0.35">
      <c r="A1201">
        <v>229</v>
      </c>
      <c r="B1201" t="s">
        <v>151</v>
      </c>
      <c r="C1201" s="1" t="s">
        <v>171</v>
      </c>
      <c r="D1201">
        <v>4</v>
      </c>
      <c r="E1201">
        <v>-140</v>
      </c>
    </row>
    <row r="1202" spans="1:5" x14ac:dyDescent="0.35">
      <c r="A1202">
        <v>229</v>
      </c>
      <c r="B1202" t="s">
        <v>153</v>
      </c>
      <c r="C1202" s="1" t="s">
        <v>180</v>
      </c>
      <c r="D1202">
        <v>0</v>
      </c>
      <c r="E1202">
        <v>130</v>
      </c>
    </row>
    <row r="1203" spans="1:5" x14ac:dyDescent="0.35">
      <c r="A1203">
        <v>229</v>
      </c>
      <c r="B1203" t="s">
        <v>151</v>
      </c>
      <c r="C1203" s="1" t="s">
        <v>181</v>
      </c>
      <c r="D1203">
        <v>1</v>
      </c>
      <c r="E1203">
        <v>120</v>
      </c>
    </row>
    <row r="1204" spans="1:5" x14ac:dyDescent="0.35">
      <c r="A1204">
        <v>229</v>
      </c>
      <c r="B1204" t="s">
        <v>153</v>
      </c>
      <c r="C1204" s="1" t="s">
        <v>183</v>
      </c>
      <c r="D1204">
        <v>2</v>
      </c>
      <c r="E1204">
        <v>-130</v>
      </c>
    </row>
    <row r="1205" spans="1:5" x14ac:dyDescent="0.35">
      <c r="A1205">
        <v>229</v>
      </c>
      <c r="B1205" t="s">
        <v>151</v>
      </c>
      <c r="C1205" s="1" t="s">
        <v>173</v>
      </c>
      <c r="D1205">
        <v>3</v>
      </c>
      <c r="E1205">
        <v>150</v>
      </c>
    </row>
    <row r="1206" spans="1:5" x14ac:dyDescent="0.35">
      <c r="A1206">
        <v>229</v>
      </c>
      <c r="B1206" t="s">
        <v>153</v>
      </c>
      <c r="C1206" s="1" t="s">
        <v>162</v>
      </c>
      <c r="D1206">
        <v>4</v>
      </c>
      <c r="E1206">
        <v>-165</v>
      </c>
    </row>
    <row r="1207" spans="1:5" x14ac:dyDescent="0.35">
      <c r="A1207">
        <v>229</v>
      </c>
      <c r="B1207" t="s">
        <v>151</v>
      </c>
      <c r="C1207" s="1" t="s">
        <v>177</v>
      </c>
      <c r="D1207">
        <v>3</v>
      </c>
      <c r="E1207">
        <v>140</v>
      </c>
    </row>
    <row r="1208" spans="1:5" x14ac:dyDescent="0.35">
      <c r="A1208">
        <v>229</v>
      </c>
      <c r="B1208" t="s">
        <v>153</v>
      </c>
      <c r="C1208" s="1" t="s">
        <v>161</v>
      </c>
      <c r="D1208">
        <v>2</v>
      </c>
      <c r="E1208">
        <v>-155</v>
      </c>
    </row>
    <row r="1209" spans="1:5" x14ac:dyDescent="0.35">
      <c r="A1209">
        <v>229</v>
      </c>
      <c r="B1209" t="s">
        <v>151</v>
      </c>
      <c r="C1209" s="1" t="s">
        <v>174</v>
      </c>
      <c r="D1209">
        <v>3</v>
      </c>
      <c r="E1209">
        <v>120</v>
      </c>
    </row>
    <row r="1210" spans="1:5" x14ac:dyDescent="0.35">
      <c r="A1210">
        <v>229</v>
      </c>
      <c r="B1210" t="s">
        <v>153</v>
      </c>
      <c r="C1210" s="1" t="s">
        <v>170</v>
      </c>
      <c r="D1210">
        <v>2</v>
      </c>
      <c r="E1210">
        <v>-130</v>
      </c>
    </row>
    <row r="1211" spans="1:5" x14ac:dyDescent="0.35">
      <c r="A1211">
        <v>229</v>
      </c>
      <c r="B1211" t="s">
        <v>151</v>
      </c>
      <c r="C1211" s="1" t="s">
        <v>182</v>
      </c>
      <c r="D1211">
        <v>3</v>
      </c>
      <c r="E1211">
        <v>157</v>
      </c>
    </row>
    <row r="1212" spans="1:5" x14ac:dyDescent="0.35">
      <c r="A1212">
        <v>229</v>
      </c>
      <c r="B1212" t="s">
        <v>153</v>
      </c>
      <c r="C1212" s="1" t="s">
        <v>152</v>
      </c>
      <c r="D1212">
        <v>4</v>
      </c>
      <c r="E1212">
        <v>-174</v>
      </c>
    </row>
    <row r="1213" spans="1:5" x14ac:dyDescent="0.35">
      <c r="A1213">
        <v>229</v>
      </c>
      <c r="B1213" t="s">
        <v>151</v>
      </c>
      <c r="C1213" s="1" t="s">
        <v>164</v>
      </c>
      <c r="D1213">
        <v>3</v>
      </c>
      <c r="E1213">
        <v>105</v>
      </c>
    </row>
    <row r="1214" spans="1:5" x14ac:dyDescent="0.35">
      <c r="A1214">
        <v>229</v>
      </c>
      <c r="B1214" t="s">
        <v>153</v>
      </c>
      <c r="C1214" s="1" t="s">
        <v>163</v>
      </c>
      <c r="D1214">
        <v>4</v>
      </c>
      <c r="E1214">
        <v>-115</v>
      </c>
    </row>
    <row r="1215" spans="1:5" x14ac:dyDescent="0.35">
      <c r="A1215">
        <v>229</v>
      </c>
      <c r="B1215" t="s">
        <v>151</v>
      </c>
      <c r="C1215" s="1" t="s">
        <v>157</v>
      </c>
      <c r="D1215">
        <v>2</v>
      </c>
      <c r="E1215">
        <v>157</v>
      </c>
    </row>
    <row r="1216" spans="1:5" x14ac:dyDescent="0.35">
      <c r="A1216">
        <v>229</v>
      </c>
      <c r="B1216" t="s">
        <v>153</v>
      </c>
      <c r="C1216" s="1" t="s">
        <v>154</v>
      </c>
      <c r="D1216">
        <v>4</v>
      </c>
      <c r="E1216">
        <v>-174</v>
      </c>
    </row>
    <row r="1217" spans="1:5" x14ac:dyDescent="0.35">
      <c r="A1217">
        <v>229</v>
      </c>
      <c r="B1217" t="s">
        <v>151</v>
      </c>
      <c r="C1217" s="1" t="s">
        <v>172</v>
      </c>
      <c r="D1217">
        <v>3</v>
      </c>
      <c r="E1217">
        <v>122</v>
      </c>
    </row>
    <row r="1218" spans="1:5" x14ac:dyDescent="0.35">
      <c r="A1218">
        <v>229</v>
      </c>
      <c r="B1218" t="s">
        <v>153</v>
      </c>
      <c r="C1218" s="1" t="s">
        <v>156</v>
      </c>
      <c r="D1218">
        <v>4</v>
      </c>
      <c r="E1218">
        <v>-132</v>
      </c>
    </row>
    <row r="1219" spans="1:5" x14ac:dyDescent="0.35">
      <c r="A1219">
        <v>229</v>
      </c>
      <c r="B1219" t="s">
        <v>151</v>
      </c>
      <c r="C1219" s="1" t="s">
        <v>167</v>
      </c>
      <c r="D1219">
        <v>2</v>
      </c>
      <c r="E1219">
        <v>170</v>
      </c>
    </row>
    <row r="1220" spans="1:5" x14ac:dyDescent="0.35">
      <c r="A1220">
        <v>229</v>
      </c>
      <c r="B1220" t="s">
        <v>153</v>
      </c>
      <c r="C1220" s="1" t="s">
        <v>184</v>
      </c>
      <c r="D1220">
        <v>5</v>
      </c>
      <c r="E1220">
        <v>-190</v>
      </c>
    </row>
    <row r="1221" spans="1:5" x14ac:dyDescent="0.35">
      <c r="A1221">
        <v>229</v>
      </c>
      <c r="B1221" t="s">
        <v>151</v>
      </c>
      <c r="C1221" s="1" t="s">
        <v>165</v>
      </c>
      <c r="D1221">
        <v>2</v>
      </c>
      <c r="E1221">
        <v>135</v>
      </c>
    </row>
    <row r="1222" spans="1:5" x14ac:dyDescent="0.35">
      <c r="A1222">
        <v>229</v>
      </c>
      <c r="B1222" t="s">
        <v>153</v>
      </c>
      <c r="C1222" s="1" t="s">
        <v>158</v>
      </c>
      <c r="D1222">
        <v>3</v>
      </c>
      <c r="E1222">
        <v>-150</v>
      </c>
    </row>
    <row r="1223" spans="1:5" x14ac:dyDescent="0.35">
      <c r="A1223">
        <v>229</v>
      </c>
      <c r="B1223" t="s">
        <v>151</v>
      </c>
      <c r="C1223" s="1" t="s">
        <v>168</v>
      </c>
      <c r="D1223">
        <v>0</v>
      </c>
      <c r="E1223">
        <v>-170</v>
      </c>
    </row>
    <row r="1224" spans="1:5" x14ac:dyDescent="0.35">
      <c r="A1224">
        <v>229</v>
      </c>
      <c r="B1224" t="s">
        <v>153</v>
      </c>
      <c r="C1224" s="1" t="s">
        <v>159</v>
      </c>
      <c r="D1224">
        <v>5</v>
      </c>
      <c r="E1224">
        <v>155</v>
      </c>
    </row>
    <row r="1225" spans="1:5" x14ac:dyDescent="0.35">
      <c r="A1225">
        <v>301</v>
      </c>
      <c r="B1225" t="s">
        <v>151</v>
      </c>
      <c r="C1225" s="1" t="s">
        <v>178</v>
      </c>
      <c r="D1225">
        <v>5</v>
      </c>
      <c r="E1225">
        <v>-120</v>
      </c>
    </row>
    <row r="1226" spans="1:5" x14ac:dyDescent="0.35">
      <c r="A1226">
        <v>301</v>
      </c>
      <c r="B1226" t="s">
        <v>153</v>
      </c>
      <c r="C1226" s="1" t="s">
        <v>166</v>
      </c>
      <c r="D1226">
        <v>3</v>
      </c>
      <c r="E1226">
        <v>110</v>
      </c>
    </row>
    <row r="1227" spans="1:5" x14ac:dyDescent="0.35">
      <c r="A1227">
        <v>301</v>
      </c>
      <c r="B1227" t="s">
        <v>151</v>
      </c>
      <c r="C1227" s="1" t="s">
        <v>173</v>
      </c>
      <c r="D1227">
        <v>3</v>
      </c>
      <c r="E1227">
        <v>-105</v>
      </c>
    </row>
    <row r="1228" spans="1:5" x14ac:dyDescent="0.35">
      <c r="A1228">
        <v>301</v>
      </c>
      <c r="B1228" t="s">
        <v>153</v>
      </c>
      <c r="C1228" s="1" t="s">
        <v>161</v>
      </c>
      <c r="D1228">
        <v>0</v>
      </c>
      <c r="E1228">
        <v>-105</v>
      </c>
    </row>
    <row r="1229" spans="1:5" x14ac:dyDescent="0.35">
      <c r="A1229">
        <v>301</v>
      </c>
      <c r="B1229" t="s">
        <v>151</v>
      </c>
      <c r="C1229" s="1" t="s">
        <v>157</v>
      </c>
      <c r="D1229">
        <v>3</v>
      </c>
      <c r="E1229">
        <v>120</v>
      </c>
    </row>
    <row r="1230" spans="1:5" x14ac:dyDescent="0.35">
      <c r="A1230">
        <v>301</v>
      </c>
      <c r="B1230" t="s">
        <v>153</v>
      </c>
      <c r="C1230" s="1" t="s">
        <v>179</v>
      </c>
      <c r="D1230">
        <v>5</v>
      </c>
      <c r="E1230">
        <v>-130</v>
      </c>
    </row>
    <row r="1231" spans="1:5" x14ac:dyDescent="0.35">
      <c r="A1231">
        <v>301</v>
      </c>
      <c r="B1231" t="s">
        <v>151</v>
      </c>
      <c r="C1231" s="1" t="s">
        <v>181</v>
      </c>
      <c r="D1231">
        <v>3</v>
      </c>
      <c r="E1231">
        <v>135</v>
      </c>
    </row>
    <row r="1232" spans="1:5" x14ac:dyDescent="0.35">
      <c r="A1232">
        <v>301</v>
      </c>
      <c r="B1232" t="s">
        <v>153</v>
      </c>
      <c r="C1232" s="1" t="s">
        <v>176</v>
      </c>
      <c r="D1232">
        <v>0</v>
      </c>
      <c r="E1232">
        <v>-150</v>
      </c>
    </row>
    <row r="1233" spans="1:5" x14ac:dyDescent="0.35">
      <c r="A1233">
        <v>301</v>
      </c>
      <c r="B1233" t="s">
        <v>151</v>
      </c>
      <c r="C1233" s="1" t="s">
        <v>155</v>
      </c>
      <c r="D1233">
        <v>4</v>
      </c>
      <c r="E1233">
        <v>-125</v>
      </c>
    </row>
    <row r="1234" spans="1:5" x14ac:dyDescent="0.35">
      <c r="A1234">
        <v>301</v>
      </c>
      <c r="B1234" t="s">
        <v>153</v>
      </c>
      <c r="C1234" s="1" t="s">
        <v>169</v>
      </c>
      <c r="D1234">
        <v>3</v>
      </c>
      <c r="E1234">
        <v>115</v>
      </c>
    </row>
    <row r="1235" spans="1:5" x14ac:dyDescent="0.35">
      <c r="A1235">
        <v>301</v>
      </c>
      <c r="B1235" t="s">
        <v>151</v>
      </c>
      <c r="C1235" s="1" t="s">
        <v>183</v>
      </c>
      <c r="D1235">
        <v>4</v>
      </c>
      <c r="E1235">
        <v>290</v>
      </c>
    </row>
    <row r="1236" spans="1:5" x14ac:dyDescent="0.35">
      <c r="A1236">
        <v>301</v>
      </c>
      <c r="B1236" t="s">
        <v>153</v>
      </c>
      <c r="C1236" s="1" t="s">
        <v>160</v>
      </c>
      <c r="D1236">
        <v>1</v>
      </c>
      <c r="E1236">
        <v>-340</v>
      </c>
    </row>
    <row r="1237" spans="1:5" x14ac:dyDescent="0.35">
      <c r="A1237">
        <v>302</v>
      </c>
      <c r="B1237" t="s">
        <v>151</v>
      </c>
      <c r="C1237" s="1" t="s">
        <v>174</v>
      </c>
      <c r="D1237">
        <v>2</v>
      </c>
      <c r="E1237">
        <v>-300</v>
      </c>
    </row>
    <row r="1238" spans="1:5" x14ac:dyDescent="0.35">
      <c r="A1238">
        <v>302</v>
      </c>
      <c r="B1238" t="s">
        <v>153</v>
      </c>
      <c r="C1238" s="1" t="s">
        <v>182</v>
      </c>
      <c r="D1238">
        <v>1</v>
      </c>
      <c r="E1238">
        <v>260</v>
      </c>
    </row>
    <row r="1239" spans="1:5" x14ac:dyDescent="0.35">
      <c r="A1239">
        <v>302</v>
      </c>
      <c r="B1239" t="s">
        <v>151</v>
      </c>
      <c r="C1239" s="1" t="s">
        <v>158</v>
      </c>
      <c r="D1239">
        <v>8</v>
      </c>
      <c r="E1239">
        <v>130</v>
      </c>
    </row>
    <row r="1240" spans="1:5" x14ac:dyDescent="0.35">
      <c r="A1240">
        <v>302</v>
      </c>
      <c r="B1240" t="s">
        <v>153</v>
      </c>
      <c r="C1240" s="1" t="s">
        <v>170</v>
      </c>
      <c r="D1240">
        <v>3</v>
      </c>
      <c r="E1240">
        <v>-140</v>
      </c>
    </row>
    <row r="1241" spans="1:5" x14ac:dyDescent="0.35">
      <c r="A1241">
        <v>303</v>
      </c>
      <c r="B1241" t="s">
        <v>151</v>
      </c>
      <c r="C1241" s="1" t="s">
        <v>156</v>
      </c>
      <c r="D1241">
        <v>3</v>
      </c>
      <c r="E1241">
        <v>-135</v>
      </c>
    </row>
    <row r="1242" spans="1:5" x14ac:dyDescent="0.35">
      <c r="A1242">
        <v>303</v>
      </c>
      <c r="B1242" t="s">
        <v>153</v>
      </c>
      <c r="C1242" s="1" t="s">
        <v>166</v>
      </c>
      <c r="D1242">
        <v>1</v>
      </c>
      <c r="E1242">
        <v>125</v>
      </c>
    </row>
    <row r="1243" spans="1:5" x14ac:dyDescent="0.35">
      <c r="A1243">
        <v>303</v>
      </c>
      <c r="B1243" t="s">
        <v>151</v>
      </c>
      <c r="C1243" s="1" t="s">
        <v>152</v>
      </c>
      <c r="D1243">
        <v>3</v>
      </c>
      <c r="E1243">
        <v>260</v>
      </c>
    </row>
    <row r="1244" spans="1:5" x14ac:dyDescent="0.35">
      <c r="A1244">
        <v>303</v>
      </c>
      <c r="B1244" t="s">
        <v>153</v>
      </c>
      <c r="C1244" s="1" t="s">
        <v>168</v>
      </c>
      <c r="D1244">
        <v>7</v>
      </c>
      <c r="E1244">
        <v>-300</v>
      </c>
    </row>
    <row r="1245" spans="1:5" x14ac:dyDescent="0.35">
      <c r="A1245">
        <v>303</v>
      </c>
      <c r="B1245" t="s">
        <v>151</v>
      </c>
      <c r="C1245" s="1" t="s">
        <v>163</v>
      </c>
      <c r="D1245">
        <v>6</v>
      </c>
      <c r="E1245">
        <v>125</v>
      </c>
    </row>
    <row r="1246" spans="1:5" x14ac:dyDescent="0.35">
      <c r="A1246">
        <v>303</v>
      </c>
      <c r="B1246" t="s">
        <v>153</v>
      </c>
      <c r="C1246" s="1" t="s">
        <v>180</v>
      </c>
      <c r="D1246">
        <v>2</v>
      </c>
      <c r="E1246">
        <v>-135</v>
      </c>
    </row>
    <row r="1247" spans="1:5" x14ac:dyDescent="0.35">
      <c r="A1247">
        <v>303</v>
      </c>
      <c r="B1247" t="s">
        <v>151</v>
      </c>
      <c r="C1247" s="1" t="s">
        <v>171</v>
      </c>
      <c r="D1247">
        <v>2</v>
      </c>
      <c r="E1247">
        <v>110</v>
      </c>
    </row>
    <row r="1248" spans="1:5" x14ac:dyDescent="0.35">
      <c r="A1248">
        <v>303</v>
      </c>
      <c r="B1248" t="s">
        <v>153</v>
      </c>
      <c r="C1248" s="1" t="s">
        <v>162</v>
      </c>
      <c r="D1248">
        <v>1</v>
      </c>
      <c r="E1248">
        <v>-120</v>
      </c>
    </row>
    <row r="1249" spans="1:5" x14ac:dyDescent="0.35">
      <c r="A1249">
        <v>303</v>
      </c>
      <c r="B1249" t="s">
        <v>151</v>
      </c>
      <c r="C1249" s="1" t="s">
        <v>167</v>
      </c>
      <c r="D1249">
        <v>1</v>
      </c>
      <c r="E1249">
        <v>140</v>
      </c>
    </row>
    <row r="1250" spans="1:5" x14ac:dyDescent="0.35">
      <c r="A1250">
        <v>303</v>
      </c>
      <c r="B1250" t="s">
        <v>153</v>
      </c>
      <c r="C1250" s="1" t="s">
        <v>165</v>
      </c>
      <c r="D1250">
        <v>3</v>
      </c>
      <c r="E1250">
        <v>-155</v>
      </c>
    </row>
    <row r="1251" spans="1:5" x14ac:dyDescent="0.35">
      <c r="A1251">
        <v>303</v>
      </c>
      <c r="B1251" t="s">
        <v>151</v>
      </c>
      <c r="C1251" s="1" t="s">
        <v>170</v>
      </c>
      <c r="D1251">
        <v>1</v>
      </c>
      <c r="E1251">
        <v>115</v>
      </c>
    </row>
    <row r="1252" spans="1:5" x14ac:dyDescent="0.35">
      <c r="A1252">
        <v>303</v>
      </c>
      <c r="B1252" t="s">
        <v>153</v>
      </c>
      <c r="C1252" s="1" t="s">
        <v>169</v>
      </c>
      <c r="D1252">
        <v>3</v>
      </c>
      <c r="E1252">
        <v>-125</v>
      </c>
    </row>
    <row r="1253" spans="1:5" x14ac:dyDescent="0.35">
      <c r="A1253">
        <v>303</v>
      </c>
      <c r="B1253" t="s">
        <v>151</v>
      </c>
      <c r="C1253" s="1" t="s">
        <v>158</v>
      </c>
      <c r="D1253">
        <v>2</v>
      </c>
      <c r="E1253">
        <v>140</v>
      </c>
    </row>
    <row r="1254" spans="1:5" x14ac:dyDescent="0.35">
      <c r="A1254">
        <v>303</v>
      </c>
      <c r="B1254" t="s">
        <v>153</v>
      </c>
      <c r="C1254" s="1" t="s">
        <v>172</v>
      </c>
      <c r="D1254">
        <v>1</v>
      </c>
      <c r="E1254">
        <v>-155</v>
      </c>
    </row>
    <row r="1255" spans="1:5" x14ac:dyDescent="0.35">
      <c r="A1255">
        <v>303</v>
      </c>
      <c r="B1255" t="s">
        <v>151</v>
      </c>
      <c r="C1255" s="1" t="s">
        <v>176</v>
      </c>
      <c r="D1255">
        <v>2</v>
      </c>
      <c r="E1255">
        <v>160</v>
      </c>
    </row>
    <row r="1256" spans="1:5" x14ac:dyDescent="0.35">
      <c r="A1256">
        <v>303</v>
      </c>
      <c r="B1256" t="s">
        <v>153</v>
      </c>
      <c r="C1256" s="1" t="s">
        <v>177</v>
      </c>
      <c r="D1256">
        <v>6</v>
      </c>
      <c r="E1256">
        <v>-180</v>
      </c>
    </row>
    <row r="1257" spans="1:5" x14ac:dyDescent="0.35">
      <c r="A1257">
        <v>303</v>
      </c>
      <c r="B1257" t="s">
        <v>151</v>
      </c>
      <c r="C1257" s="1" t="s">
        <v>181</v>
      </c>
      <c r="D1257">
        <v>0</v>
      </c>
      <c r="E1257">
        <v>250</v>
      </c>
    </row>
    <row r="1258" spans="1:5" x14ac:dyDescent="0.35">
      <c r="A1258">
        <v>303</v>
      </c>
      <c r="B1258" t="s">
        <v>153</v>
      </c>
      <c r="C1258" s="1" t="s">
        <v>160</v>
      </c>
      <c r="D1258">
        <v>3</v>
      </c>
      <c r="E1258">
        <v>-290</v>
      </c>
    </row>
    <row r="1259" spans="1:5" x14ac:dyDescent="0.35">
      <c r="A1259">
        <v>303</v>
      </c>
      <c r="B1259" t="s">
        <v>151</v>
      </c>
      <c r="C1259" s="1" t="s">
        <v>154</v>
      </c>
      <c r="D1259">
        <v>2</v>
      </c>
      <c r="E1259">
        <v>-155</v>
      </c>
    </row>
    <row r="1260" spans="1:5" x14ac:dyDescent="0.35">
      <c r="A1260">
        <v>303</v>
      </c>
      <c r="B1260" t="s">
        <v>153</v>
      </c>
      <c r="C1260" s="1" t="s">
        <v>159</v>
      </c>
      <c r="D1260">
        <v>5</v>
      </c>
      <c r="E1260">
        <v>140</v>
      </c>
    </row>
    <row r="1261" spans="1:5" x14ac:dyDescent="0.35">
      <c r="A1261">
        <v>304</v>
      </c>
      <c r="B1261" t="s">
        <v>151</v>
      </c>
      <c r="C1261" s="1" t="s">
        <v>178</v>
      </c>
      <c r="D1261">
        <v>5</v>
      </c>
      <c r="E1261">
        <v>130</v>
      </c>
    </row>
    <row r="1262" spans="1:5" x14ac:dyDescent="0.35">
      <c r="A1262">
        <v>304</v>
      </c>
      <c r="B1262" t="s">
        <v>153</v>
      </c>
      <c r="C1262" s="1" t="s">
        <v>155</v>
      </c>
      <c r="D1262">
        <v>2</v>
      </c>
      <c r="E1262">
        <v>-140</v>
      </c>
    </row>
    <row r="1263" spans="1:5" x14ac:dyDescent="0.35">
      <c r="A1263">
        <v>304</v>
      </c>
      <c r="B1263" t="s">
        <v>151</v>
      </c>
      <c r="C1263" s="1" t="s">
        <v>179</v>
      </c>
      <c r="D1263">
        <v>2</v>
      </c>
      <c r="E1263">
        <v>160</v>
      </c>
    </row>
    <row r="1264" spans="1:5" x14ac:dyDescent="0.35">
      <c r="A1264">
        <v>304</v>
      </c>
      <c r="B1264" t="s">
        <v>153</v>
      </c>
      <c r="C1264" s="1" t="s">
        <v>173</v>
      </c>
      <c r="D1264">
        <v>3</v>
      </c>
      <c r="E1264">
        <v>-180</v>
      </c>
    </row>
    <row r="1265" spans="1:5" x14ac:dyDescent="0.35">
      <c r="A1265">
        <v>304</v>
      </c>
      <c r="B1265" t="s">
        <v>151</v>
      </c>
      <c r="C1265" s="1" t="s">
        <v>176</v>
      </c>
      <c r="D1265">
        <v>4</v>
      </c>
      <c r="E1265">
        <v>285</v>
      </c>
    </row>
    <row r="1266" spans="1:5" x14ac:dyDescent="0.35">
      <c r="A1266">
        <v>304</v>
      </c>
      <c r="B1266" t="s">
        <v>153</v>
      </c>
      <c r="C1266" s="1" t="s">
        <v>174</v>
      </c>
      <c r="D1266">
        <v>3</v>
      </c>
      <c r="E1266">
        <v>-330</v>
      </c>
    </row>
    <row r="1267" spans="1:5" x14ac:dyDescent="0.35">
      <c r="A1267">
        <v>304</v>
      </c>
      <c r="B1267" t="s">
        <v>151</v>
      </c>
      <c r="C1267" s="1" t="s">
        <v>175</v>
      </c>
      <c r="D1267">
        <v>4</v>
      </c>
      <c r="E1267">
        <v>105</v>
      </c>
    </row>
    <row r="1268" spans="1:5" x14ac:dyDescent="0.35">
      <c r="A1268">
        <v>304</v>
      </c>
      <c r="B1268" t="s">
        <v>153</v>
      </c>
      <c r="C1268" s="1" t="s">
        <v>157</v>
      </c>
      <c r="D1268">
        <v>2</v>
      </c>
      <c r="E1268">
        <v>-115</v>
      </c>
    </row>
    <row r="1269" spans="1:5" x14ac:dyDescent="0.35">
      <c r="A1269">
        <v>305</v>
      </c>
      <c r="B1269" t="s">
        <v>151</v>
      </c>
      <c r="C1269" s="1" t="s">
        <v>155</v>
      </c>
      <c r="D1269">
        <v>5</v>
      </c>
      <c r="E1269">
        <v>-120</v>
      </c>
    </row>
    <row r="1270" spans="1:5" x14ac:dyDescent="0.35">
      <c r="A1270">
        <v>305</v>
      </c>
      <c r="B1270" t="s">
        <v>153</v>
      </c>
      <c r="C1270" s="1" t="s">
        <v>166</v>
      </c>
      <c r="D1270">
        <v>6</v>
      </c>
      <c r="E1270">
        <v>110</v>
      </c>
    </row>
    <row r="1271" spans="1:5" x14ac:dyDescent="0.35">
      <c r="A1271">
        <v>305</v>
      </c>
      <c r="B1271" t="s">
        <v>151</v>
      </c>
      <c r="C1271" s="1" t="s">
        <v>171</v>
      </c>
      <c r="D1271">
        <v>2</v>
      </c>
      <c r="E1271">
        <v>-146</v>
      </c>
    </row>
    <row r="1272" spans="1:5" x14ac:dyDescent="0.35">
      <c r="A1272">
        <v>305</v>
      </c>
      <c r="B1272" t="s">
        <v>153</v>
      </c>
      <c r="C1272" s="1" t="s">
        <v>161</v>
      </c>
      <c r="D1272">
        <v>1</v>
      </c>
      <c r="E1272">
        <v>133</v>
      </c>
    </row>
    <row r="1273" spans="1:5" x14ac:dyDescent="0.35">
      <c r="A1273">
        <v>305</v>
      </c>
      <c r="B1273" t="s">
        <v>151</v>
      </c>
      <c r="C1273" s="1" t="s">
        <v>168</v>
      </c>
      <c r="D1273">
        <v>4</v>
      </c>
      <c r="E1273">
        <v>-160</v>
      </c>
    </row>
    <row r="1274" spans="1:5" x14ac:dyDescent="0.35">
      <c r="A1274">
        <v>305</v>
      </c>
      <c r="B1274" t="s">
        <v>153</v>
      </c>
      <c r="C1274" s="1" t="s">
        <v>167</v>
      </c>
      <c r="D1274">
        <v>2</v>
      </c>
      <c r="E1274">
        <v>145</v>
      </c>
    </row>
    <row r="1275" spans="1:5" x14ac:dyDescent="0.35">
      <c r="A1275">
        <v>305</v>
      </c>
      <c r="B1275" t="s">
        <v>151</v>
      </c>
      <c r="C1275" s="1" t="s">
        <v>164</v>
      </c>
      <c r="D1275">
        <v>1</v>
      </c>
      <c r="E1275">
        <v>114</v>
      </c>
    </row>
    <row r="1276" spans="1:5" x14ac:dyDescent="0.35">
      <c r="A1276">
        <v>305</v>
      </c>
      <c r="B1276" t="s">
        <v>153</v>
      </c>
      <c r="C1276" s="1" t="s">
        <v>178</v>
      </c>
      <c r="D1276">
        <v>4</v>
      </c>
      <c r="E1276">
        <v>-124</v>
      </c>
    </row>
    <row r="1277" spans="1:5" x14ac:dyDescent="0.35">
      <c r="A1277">
        <v>305</v>
      </c>
      <c r="B1277" t="s">
        <v>151</v>
      </c>
      <c r="C1277" s="1" t="s">
        <v>163</v>
      </c>
      <c r="D1277">
        <v>0</v>
      </c>
      <c r="E1277">
        <v>165</v>
      </c>
    </row>
    <row r="1278" spans="1:5" x14ac:dyDescent="0.35">
      <c r="A1278">
        <v>305</v>
      </c>
      <c r="B1278" t="s">
        <v>153</v>
      </c>
      <c r="C1278" s="1" t="s">
        <v>162</v>
      </c>
      <c r="D1278">
        <v>4</v>
      </c>
      <c r="E1278">
        <v>-185</v>
      </c>
    </row>
    <row r="1279" spans="1:5" x14ac:dyDescent="0.35">
      <c r="A1279">
        <v>305</v>
      </c>
      <c r="B1279" t="s">
        <v>151</v>
      </c>
      <c r="C1279" s="1" t="s">
        <v>180</v>
      </c>
      <c r="D1279">
        <v>3</v>
      </c>
      <c r="E1279">
        <v>-150</v>
      </c>
    </row>
    <row r="1280" spans="1:5" x14ac:dyDescent="0.35">
      <c r="A1280">
        <v>305</v>
      </c>
      <c r="B1280" t="s">
        <v>153</v>
      </c>
      <c r="C1280" s="1" t="s">
        <v>152</v>
      </c>
      <c r="D1280">
        <v>4</v>
      </c>
      <c r="E1280">
        <v>135</v>
      </c>
    </row>
    <row r="1281" spans="1:5" x14ac:dyDescent="0.35">
      <c r="A1281">
        <v>305</v>
      </c>
      <c r="B1281" t="s">
        <v>151</v>
      </c>
      <c r="C1281" s="1" t="s">
        <v>172</v>
      </c>
      <c r="D1281">
        <v>0</v>
      </c>
      <c r="E1281">
        <v>-105</v>
      </c>
    </row>
    <row r="1282" spans="1:5" x14ac:dyDescent="0.35">
      <c r="A1282">
        <v>305</v>
      </c>
      <c r="B1282" t="s">
        <v>153</v>
      </c>
      <c r="C1282" s="1" t="s">
        <v>170</v>
      </c>
      <c r="D1282">
        <v>2</v>
      </c>
      <c r="E1282">
        <v>-105</v>
      </c>
    </row>
    <row r="1283" spans="1:5" x14ac:dyDescent="0.35">
      <c r="A1283">
        <v>305</v>
      </c>
      <c r="B1283" t="s">
        <v>151</v>
      </c>
      <c r="C1283" s="1" t="s">
        <v>158</v>
      </c>
      <c r="D1283">
        <v>3</v>
      </c>
      <c r="E1283">
        <v>-103</v>
      </c>
    </row>
    <row r="1284" spans="1:5" x14ac:dyDescent="0.35">
      <c r="A1284">
        <v>305</v>
      </c>
      <c r="B1284" t="s">
        <v>153</v>
      </c>
      <c r="C1284" s="1" t="s">
        <v>177</v>
      </c>
      <c r="D1284">
        <v>4</v>
      </c>
      <c r="E1284">
        <v>-107</v>
      </c>
    </row>
    <row r="1285" spans="1:5" x14ac:dyDescent="0.35">
      <c r="A1285">
        <v>305</v>
      </c>
      <c r="B1285" t="s">
        <v>151</v>
      </c>
      <c r="C1285" s="1" t="s">
        <v>154</v>
      </c>
      <c r="D1285">
        <v>0</v>
      </c>
      <c r="E1285">
        <v>-160</v>
      </c>
    </row>
    <row r="1286" spans="1:5" x14ac:dyDescent="0.35">
      <c r="A1286">
        <v>305</v>
      </c>
      <c r="B1286" t="s">
        <v>153</v>
      </c>
      <c r="C1286" s="1" t="s">
        <v>183</v>
      </c>
      <c r="D1286">
        <v>1</v>
      </c>
      <c r="E1286">
        <v>145</v>
      </c>
    </row>
    <row r="1287" spans="1:5" x14ac:dyDescent="0.35">
      <c r="A1287">
        <v>305</v>
      </c>
      <c r="B1287" t="s">
        <v>151</v>
      </c>
      <c r="C1287" s="1" t="s">
        <v>169</v>
      </c>
      <c r="D1287">
        <v>3</v>
      </c>
      <c r="E1287">
        <v>-130</v>
      </c>
    </row>
    <row r="1288" spans="1:5" x14ac:dyDescent="0.35">
      <c r="A1288">
        <v>305</v>
      </c>
      <c r="B1288" t="s">
        <v>153</v>
      </c>
      <c r="C1288" s="1" t="s">
        <v>159</v>
      </c>
      <c r="D1288">
        <v>2</v>
      </c>
      <c r="E1288">
        <v>120</v>
      </c>
    </row>
    <row r="1289" spans="1:5" x14ac:dyDescent="0.35">
      <c r="A1289">
        <v>306</v>
      </c>
      <c r="B1289" t="s">
        <v>151</v>
      </c>
      <c r="C1289" s="1" t="s">
        <v>156</v>
      </c>
      <c r="D1289">
        <v>2</v>
      </c>
      <c r="E1289">
        <v>-220</v>
      </c>
    </row>
    <row r="1290" spans="1:5" x14ac:dyDescent="0.35">
      <c r="A1290">
        <v>306</v>
      </c>
      <c r="B1290" t="s">
        <v>153</v>
      </c>
      <c r="C1290" s="1" t="s">
        <v>181</v>
      </c>
      <c r="D1290">
        <v>4</v>
      </c>
      <c r="E1290">
        <v>200</v>
      </c>
    </row>
    <row r="1291" spans="1:5" x14ac:dyDescent="0.35">
      <c r="A1291">
        <v>306</v>
      </c>
      <c r="B1291" t="s">
        <v>151</v>
      </c>
      <c r="C1291" s="1" t="s">
        <v>177</v>
      </c>
      <c r="D1291">
        <v>1</v>
      </c>
      <c r="E1291">
        <v>-190</v>
      </c>
    </row>
    <row r="1292" spans="1:5" x14ac:dyDescent="0.35">
      <c r="A1292">
        <v>306</v>
      </c>
      <c r="B1292" t="s">
        <v>153</v>
      </c>
      <c r="C1292" s="1" t="s">
        <v>182</v>
      </c>
      <c r="D1292">
        <v>2</v>
      </c>
      <c r="E1292">
        <v>170</v>
      </c>
    </row>
    <row r="1293" spans="1:5" x14ac:dyDescent="0.35">
      <c r="A1293">
        <v>306</v>
      </c>
      <c r="B1293" t="s">
        <v>151</v>
      </c>
      <c r="C1293" s="1" t="s">
        <v>160</v>
      </c>
      <c r="D1293">
        <v>0</v>
      </c>
      <c r="E1293">
        <v>-120</v>
      </c>
    </row>
    <row r="1294" spans="1:5" x14ac:dyDescent="0.35">
      <c r="A1294">
        <v>306</v>
      </c>
      <c r="B1294" t="s">
        <v>153</v>
      </c>
      <c r="C1294" s="1" t="s">
        <v>165</v>
      </c>
      <c r="D1294">
        <v>4</v>
      </c>
      <c r="E1294">
        <v>110</v>
      </c>
    </row>
    <row r="1295" spans="1:5" x14ac:dyDescent="0.35">
      <c r="A1295">
        <v>306</v>
      </c>
      <c r="B1295" t="s">
        <v>151</v>
      </c>
      <c r="C1295" s="1" t="s">
        <v>175</v>
      </c>
      <c r="D1295">
        <v>2</v>
      </c>
      <c r="E1295">
        <v>126</v>
      </c>
    </row>
    <row r="1296" spans="1:5" x14ac:dyDescent="0.35">
      <c r="A1296">
        <v>306</v>
      </c>
      <c r="B1296" t="s">
        <v>153</v>
      </c>
      <c r="C1296" s="1" t="s">
        <v>173</v>
      </c>
      <c r="D1296">
        <v>3</v>
      </c>
      <c r="E1296">
        <v>-136</v>
      </c>
    </row>
    <row r="1297" spans="1:5" x14ac:dyDescent="0.35">
      <c r="A1297">
        <v>306</v>
      </c>
      <c r="B1297" t="s">
        <v>151</v>
      </c>
      <c r="C1297" s="1" t="s">
        <v>174</v>
      </c>
      <c r="D1297">
        <v>3</v>
      </c>
      <c r="E1297">
        <v>-110</v>
      </c>
    </row>
    <row r="1298" spans="1:5" x14ac:dyDescent="0.35">
      <c r="A1298">
        <v>306</v>
      </c>
      <c r="B1298" t="s">
        <v>153</v>
      </c>
      <c r="C1298" s="1" t="s">
        <v>157</v>
      </c>
      <c r="D1298">
        <v>6</v>
      </c>
      <c r="E1298">
        <v>100</v>
      </c>
    </row>
    <row r="1299" spans="1:5" x14ac:dyDescent="0.35">
      <c r="A1299">
        <v>306</v>
      </c>
      <c r="B1299" t="s">
        <v>151</v>
      </c>
      <c r="C1299" s="1" t="s">
        <v>154</v>
      </c>
      <c r="D1299">
        <v>1</v>
      </c>
      <c r="E1299">
        <v>-165</v>
      </c>
    </row>
    <row r="1300" spans="1:5" x14ac:dyDescent="0.35">
      <c r="A1300">
        <v>306</v>
      </c>
      <c r="B1300" t="s">
        <v>153</v>
      </c>
      <c r="C1300" s="1" t="s">
        <v>176</v>
      </c>
      <c r="D1300">
        <v>2</v>
      </c>
      <c r="E1300">
        <v>150</v>
      </c>
    </row>
    <row r="1301" spans="1:5" x14ac:dyDescent="0.35">
      <c r="A1301">
        <v>307</v>
      </c>
      <c r="B1301" t="s">
        <v>151</v>
      </c>
      <c r="C1301" s="1" t="s">
        <v>164</v>
      </c>
      <c r="D1301">
        <v>3</v>
      </c>
      <c r="E1301">
        <v>110</v>
      </c>
    </row>
    <row r="1302" spans="1:5" x14ac:dyDescent="0.35">
      <c r="A1302">
        <v>307</v>
      </c>
      <c r="B1302" t="s">
        <v>153</v>
      </c>
      <c r="C1302" s="1" t="s">
        <v>180</v>
      </c>
      <c r="D1302">
        <v>2</v>
      </c>
      <c r="E1302">
        <v>-120</v>
      </c>
    </row>
    <row r="1303" spans="1:5" x14ac:dyDescent="0.35">
      <c r="A1303">
        <v>307</v>
      </c>
      <c r="B1303" t="s">
        <v>151</v>
      </c>
      <c r="C1303" s="1" t="s">
        <v>155</v>
      </c>
      <c r="D1303">
        <v>5</v>
      </c>
      <c r="E1303">
        <v>115</v>
      </c>
    </row>
    <row r="1304" spans="1:5" x14ac:dyDescent="0.35">
      <c r="A1304">
        <v>307</v>
      </c>
      <c r="B1304" t="s">
        <v>153</v>
      </c>
      <c r="C1304" s="1" t="s">
        <v>168</v>
      </c>
      <c r="D1304">
        <v>2</v>
      </c>
      <c r="E1304">
        <v>-125</v>
      </c>
    </row>
    <row r="1305" spans="1:5" x14ac:dyDescent="0.35">
      <c r="A1305">
        <v>307</v>
      </c>
      <c r="B1305" t="s">
        <v>151</v>
      </c>
      <c r="C1305" s="1" t="s">
        <v>170</v>
      </c>
      <c r="D1305">
        <v>1</v>
      </c>
      <c r="E1305">
        <v>132</v>
      </c>
    </row>
    <row r="1306" spans="1:5" x14ac:dyDescent="0.35">
      <c r="A1306">
        <v>307</v>
      </c>
      <c r="B1306" t="s">
        <v>153</v>
      </c>
      <c r="C1306" s="1" t="s">
        <v>172</v>
      </c>
      <c r="D1306">
        <v>0</v>
      </c>
      <c r="E1306">
        <v>-145</v>
      </c>
    </row>
    <row r="1307" spans="1:5" x14ac:dyDescent="0.35">
      <c r="A1307">
        <v>307</v>
      </c>
      <c r="B1307" t="s">
        <v>151</v>
      </c>
      <c r="C1307" s="1" t="s">
        <v>169</v>
      </c>
      <c r="D1307">
        <v>3</v>
      </c>
      <c r="E1307">
        <v>-150</v>
      </c>
    </row>
    <row r="1308" spans="1:5" x14ac:dyDescent="0.35">
      <c r="A1308">
        <v>307</v>
      </c>
      <c r="B1308" t="s">
        <v>153</v>
      </c>
      <c r="C1308" s="1" t="s">
        <v>183</v>
      </c>
      <c r="D1308">
        <v>7</v>
      </c>
      <c r="E1308">
        <v>135</v>
      </c>
    </row>
    <row r="1309" spans="1:5" x14ac:dyDescent="0.35">
      <c r="A1309">
        <v>307</v>
      </c>
      <c r="B1309" t="s">
        <v>151</v>
      </c>
      <c r="C1309" s="1" t="s">
        <v>162</v>
      </c>
      <c r="D1309">
        <v>5</v>
      </c>
      <c r="E1309">
        <v>125</v>
      </c>
    </row>
    <row r="1310" spans="1:5" x14ac:dyDescent="0.35">
      <c r="A1310">
        <v>307</v>
      </c>
      <c r="B1310" t="s">
        <v>153</v>
      </c>
      <c r="C1310" s="1" t="s">
        <v>171</v>
      </c>
      <c r="D1310">
        <v>3</v>
      </c>
      <c r="E1310">
        <v>-135</v>
      </c>
    </row>
    <row r="1311" spans="1:5" x14ac:dyDescent="0.35">
      <c r="A1311">
        <v>307</v>
      </c>
      <c r="B1311" t="s">
        <v>151</v>
      </c>
      <c r="C1311" s="1" t="s">
        <v>163</v>
      </c>
      <c r="D1311">
        <v>1</v>
      </c>
      <c r="E1311">
        <v>135</v>
      </c>
    </row>
    <row r="1312" spans="1:5" x14ac:dyDescent="0.35">
      <c r="A1312">
        <v>307</v>
      </c>
      <c r="B1312" t="s">
        <v>153</v>
      </c>
      <c r="C1312" s="1" t="s">
        <v>161</v>
      </c>
      <c r="D1312">
        <v>4</v>
      </c>
      <c r="E1312">
        <v>-150</v>
      </c>
    </row>
    <row r="1313" spans="1:5" x14ac:dyDescent="0.35">
      <c r="A1313">
        <v>307</v>
      </c>
      <c r="B1313" t="s">
        <v>151</v>
      </c>
      <c r="C1313" s="1" t="s">
        <v>167</v>
      </c>
      <c r="D1313">
        <v>1</v>
      </c>
      <c r="E1313">
        <v>180</v>
      </c>
    </row>
    <row r="1314" spans="1:5" x14ac:dyDescent="0.35">
      <c r="A1314">
        <v>307</v>
      </c>
      <c r="B1314" t="s">
        <v>153</v>
      </c>
      <c r="C1314" s="1" t="s">
        <v>178</v>
      </c>
      <c r="D1314">
        <v>3</v>
      </c>
      <c r="E1314">
        <v>-200</v>
      </c>
    </row>
    <row r="1315" spans="1:5" x14ac:dyDescent="0.35">
      <c r="A1315">
        <v>307</v>
      </c>
      <c r="B1315" t="s">
        <v>151</v>
      </c>
      <c r="C1315" s="1" t="s">
        <v>152</v>
      </c>
      <c r="D1315">
        <v>2</v>
      </c>
      <c r="E1315">
        <v>140</v>
      </c>
    </row>
    <row r="1316" spans="1:5" x14ac:dyDescent="0.35">
      <c r="A1316">
        <v>307</v>
      </c>
      <c r="B1316" t="s">
        <v>153</v>
      </c>
      <c r="C1316" s="1" t="s">
        <v>159</v>
      </c>
      <c r="D1316">
        <v>1</v>
      </c>
      <c r="E1316">
        <v>-155</v>
      </c>
    </row>
    <row r="1317" spans="1:5" x14ac:dyDescent="0.35">
      <c r="A1317">
        <v>307</v>
      </c>
      <c r="B1317" t="s">
        <v>151</v>
      </c>
      <c r="C1317" s="1" t="s">
        <v>181</v>
      </c>
      <c r="D1317">
        <v>6</v>
      </c>
      <c r="E1317">
        <v>170</v>
      </c>
    </row>
    <row r="1318" spans="1:5" x14ac:dyDescent="0.35">
      <c r="A1318">
        <v>307</v>
      </c>
      <c r="B1318" t="s">
        <v>153</v>
      </c>
      <c r="C1318" s="1" t="s">
        <v>166</v>
      </c>
      <c r="D1318">
        <v>4</v>
      </c>
      <c r="E1318">
        <v>-190</v>
      </c>
    </row>
    <row r="1319" spans="1:5" x14ac:dyDescent="0.35">
      <c r="A1319">
        <v>307</v>
      </c>
      <c r="B1319" t="s">
        <v>151</v>
      </c>
      <c r="C1319" s="1" t="s">
        <v>179</v>
      </c>
      <c r="D1319">
        <v>1</v>
      </c>
      <c r="E1319">
        <v>145</v>
      </c>
    </row>
    <row r="1320" spans="1:5" x14ac:dyDescent="0.35">
      <c r="A1320">
        <v>307</v>
      </c>
      <c r="B1320" t="s">
        <v>153</v>
      </c>
      <c r="C1320" s="1" t="s">
        <v>158</v>
      </c>
      <c r="D1320">
        <v>4</v>
      </c>
      <c r="E1320">
        <v>-160</v>
      </c>
    </row>
    <row r="1321" spans="1:5" x14ac:dyDescent="0.35">
      <c r="A1321">
        <v>308</v>
      </c>
      <c r="B1321" t="s">
        <v>151</v>
      </c>
      <c r="C1321" s="1" t="s">
        <v>164</v>
      </c>
      <c r="D1321">
        <v>6</v>
      </c>
      <c r="E1321">
        <v>155</v>
      </c>
    </row>
    <row r="1322" spans="1:5" x14ac:dyDescent="0.35">
      <c r="A1322">
        <v>308</v>
      </c>
      <c r="B1322" t="s">
        <v>153</v>
      </c>
      <c r="C1322" s="1" t="s">
        <v>168</v>
      </c>
      <c r="D1322">
        <v>2</v>
      </c>
      <c r="E1322">
        <v>-170</v>
      </c>
    </row>
    <row r="1323" spans="1:5" x14ac:dyDescent="0.35">
      <c r="A1323">
        <v>308</v>
      </c>
      <c r="B1323" t="s">
        <v>151</v>
      </c>
      <c r="C1323" s="1" t="s">
        <v>162</v>
      </c>
      <c r="D1323">
        <v>4</v>
      </c>
      <c r="E1323">
        <v>-290</v>
      </c>
    </row>
    <row r="1324" spans="1:5" x14ac:dyDescent="0.35">
      <c r="A1324">
        <v>308</v>
      </c>
      <c r="B1324" t="s">
        <v>153</v>
      </c>
      <c r="C1324" s="1" t="s">
        <v>182</v>
      </c>
      <c r="D1324">
        <v>5</v>
      </c>
      <c r="E1324">
        <v>250</v>
      </c>
    </row>
    <row r="1325" spans="1:5" x14ac:dyDescent="0.35">
      <c r="A1325">
        <v>308</v>
      </c>
      <c r="B1325" t="s">
        <v>151</v>
      </c>
      <c r="C1325" s="1" t="s">
        <v>160</v>
      </c>
      <c r="D1325">
        <v>5</v>
      </c>
      <c r="E1325">
        <v>-105</v>
      </c>
    </row>
    <row r="1326" spans="1:5" x14ac:dyDescent="0.35">
      <c r="A1326">
        <v>308</v>
      </c>
      <c r="B1326" t="s">
        <v>153</v>
      </c>
      <c r="C1326" s="1" t="s">
        <v>173</v>
      </c>
      <c r="D1326">
        <v>3</v>
      </c>
      <c r="E1326">
        <v>-105</v>
      </c>
    </row>
    <row r="1327" spans="1:5" x14ac:dyDescent="0.35">
      <c r="A1327">
        <v>308</v>
      </c>
      <c r="B1327" t="s">
        <v>151</v>
      </c>
      <c r="C1327" s="1" t="s">
        <v>156</v>
      </c>
      <c r="D1327">
        <v>2</v>
      </c>
      <c r="E1327">
        <v>-130</v>
      </c>
    </row>
    <row r="1328" spans="1:5" x14ac:dyDescent="0.35">
      <c r="A1328">
        <v>308</v>
      </c>
      <c r="B1328" t="s">
        <v>153</v>
      </c>
      <c r="C1328" s="1" t="s">
        <v>177</v>
      </c>
      <c r="D1328">
        <v>0</v>
      </c>
      <c r="E1328">
        <v>120</v>
      </c>
    </row>
    <row r="1329" spans="1:5" x14ac:dyDescent="0.35">
      <c r="A1329">
        <v>308</v>
      </c>
      <c r="B1329" t="s">
        <v>151</v>
      </c>
      <c r="C1329" s="1" t="s">
        <v>169</v>
      </c>
      <c r="D1329">
        <v>5</v>
      </c>
      <c r="E1329">
        <v>-130</v>
      </c>
    </row>
    <row r="1330" spans="1:5" x14ac:dyDescent="0.35">
      <c r="A1330">
        <v>308</v>
      </c>
      <c r="B1330" t="s">
        <v>153</v>
      </c>
      <c r="C1330" s="1" t="s">
        <v>176</v>
      </c>
      <c r="D1330">
        <v>4</v>
      </c>
      <c r="E1330">
        <v>120</v>
      </c>
    </row>
    <row r="1331" spans="1:5" x14ac:dyDescent="0.35">
      <c r="A1331">
        <v>308</v>
      </c>
      <c r="B1331" t="s">
        <v>151</v>
      </c>
      <c r="C1331" s="1" t="s">
        <v>179</v>
      </c>
      <c r="D1331">
        <v>2</v>
      </c>
      <c r="E1331">
        <v>135</v>
      </c>
    </row>
    <row r="1332" spans="1:5" x14ac:dyDescent="0.35">
      <c r="A1332">
        <v>308</v>
      </c>
      <c r="B1332" t="s">
        <v>153</v>
      </c>
      <c r="C1332" s="1" t="s">
        <v>157</v>
      </c>
      <c r="D1332">
        <v>1</v>
      </c>
      <c r="E1332">
        <v>-150</v>
      </c>
    </row>
    <row r="1333" spans="1:5" x14ac:dyDescent="0.35">
      <c r="A1333">
        <v>308</v>
      </c>
      <c r="B1333" t="s">
        <v>151</v>
      </c>
      <c r="C1333" s="1" t="s">
        <v>174</v>
      </c>
      <c r="D1333">
        <v>4</v>
      </c>
      <c r="E1333">
        <v>-160</v>
      </c>
    </row>
    <row r="1334" spans="1:5" x14ac:dyDescent="0.35">
      <c r="A1334">
        <v>308</v>
      </c>
      <c r="B1334" t="s">
        <v>153</v>
      </c>
      <c r="C1334" s="1" t="s">
        <v>159</v>
      </c>
      <c r="D1334">
        <v>3</v>
      </c>
      <c r="E1334">
        <v>145</v>
      </c>
    </row>
    <row r="1335" spans="1:5" x14ac:dyDescent="0.35">
      <c r="A1335">
        <v>309</v>
      </c>
      <c r="B1335" t="s">
        <v>151</v>
      </c>
      <c r="C1335" s="1" t="s">
        <v>161</v>
      </c>
      <c r="D1335">
        <v>2</v>
      </c>
      <c r="E1335">
        <v>145</v>
      </c>
    </row>
    <row r="1336" spans="1:5" x14ac:dyDescent="0.35">
      <c r="A1336">
        <v>309</v>
      </c>
      <c r="B1336" t="s">
        <v>153</v>
      </c>
      <c r="C1336" s="1" t="s">
        <v>156</v>
      </c>
      <c r="D1336">
        <v>1</v>
      </c>
      <c r="E1336">
        <v>-160</v>
      </c>
    </row>
    <row r="1337" spans="1:5" x14ac:dyDescent="0.35">
      <c r="A1337">
        <v>309</v>
      </c>
      <c r="B1337" t="s">
        <v>151</v>
      </c>
      <c r="C1337" s="1" t="s">
        <v>155</v>
      </c>
      <c r="D1337">
        <v>2</v>
      </c>
      <c r="E1337">
        <v>-155</v>
      </c>
    </row>
    <row r="1338" spans="1:5" x14ac:dyDescent="0.35">
      <c r="A1338">
        <v>309</v>
      </c>
      <c r="B1338" t="s">
        <v>153</v>
      </c>
      <c r="C1338" s="1" t="s">
        <v>167</v>
      </c>
      <c r="D1338">
        <v>3</v>
      </c>
      <c r="E1338">
        <v>140</v>
      </c>
    </row>
    <row r="1339" spans="1:5" x14ac:dyDescent="0.35">
      <c r="A1339">
        <v>309</v>
      </c>
      <c r="B1339" t="s">
        <v>151</v>
      </c>
      <c r="C1339" s="1" t="s">
        <v>175</v>
      </c>
      <c r="D1339">
        <v>2</v>
      </c>
      <c r="E1339">
        <v>115</v>
      </c>
    </row>
    <row r="1340" spans="1:5" x14ac:dyDescent="0.35">
      <c r="A1340">
        <v>309</v>
      </c>
      <c r="B1340" t="s">
        <v>153</v>
      </c>
      <c r="C1340" s="1" t="s">
        <v>165</v>
      </c>
      <c r="D1340">
        <v>4</v>
      </c>
      <c r="E1340">
        <v>-125</v>
      </c>
    </row>
    <row r="1341" spans="1:5" x14ac:dyDescent="0.35">
      <c r="A1341">
        <v>309</v>
      </c>
      <c r="B1341" t="s">
        <v>151</v>
      </c>
      <c r="C1341" s="1" t="s">
        <v>160</v>
      </c>
      <c r="D1341">
        <v>3</v>
      </c>
      <c r="E1341">
        <v>102</v>
      </c>
    </row>
    <row r="1342" spans="1:5" x14ac:dyDescent="0.35">
      <c r="A1342">
        <v>309</v>
      </c>
      <c r="B1342" t="s">
        <v>153</v>
      </c>
      <c r="C1342" s="1" t="s">
        <v>158</v>
      </c>
      <c r="D1342">
        <v>2</v>
      </c>
      <c r="E1342">
        <v>-103</v>
      </c>
    </row>
    <row r="1343" spans="1:5" x14ac:dyDescent="0.35">
      <c r="A1343">
        <v>309</v>
      </c>
      <c r="B1343" t="s">
        <v>151</v>
      </c>
      <c r="C1343" s="1" t="s">
        <v>174</v>
      </c>
      <c r="D1343">
        <v>1</v>
      </c>
      <c r="E1343">
        <v>-140</v>
      </c>
    </row>
    <row r="1344" spans="1:5" x14ac:dyDescent="0.35">
      <c r="A1344">
        <v>309</v>
      </c>
      <c r="B1344" t="s">
        <v>153</v>
      </c>
      <c r="C1344" s="1" t="s">
        <v>183</v>
      </c>
      <c r="D1344">
        <v>3</v>
      </c>
      <c r="E1344">
        <v>130</v>
      </c>
    </row>
    <row r="1345" spans="1:5" x14ac:dyDescent="0.35">
      <c r="A1345">
        <v>310</v>
      </c>
      <c r="B1345" t="s">
        <v>151</v>
      </c>
      <c r="C1345" s="1" t="s">
        <v>170</v>
      </c>
      <c r="D1345">
        <v>4</v>
      </c>
      <c r="E1345">
        <v>-110</v>
      </c>
    </row>
    <row r="1346" spans="1:5" x14ac:dyDescent="0.35">
      <c r="A1346">
        <v>310</v>
      </c>
      <c r="B1346" t="s">
        <v>153</v>
      </c>
      <c r="C1346" s="1" t="s">
        <v>163</v>
      </c>
      <c r="D1346">
        <v>2</v>
      </c>
      <c r="E1346">
        <v>100</v>
      </c>
    </row>
    <row r="1347" spans="1:5" x14ac:dyDescent="0.35">
      <c r="A1347">
        <v>310</v>
      </c>
      <c r="B1347" t="s">
        <v>151</v>
      </c>
      <c r="C1347" s="1" t="s">
        <v>162</v>
      </c>
      <c r="D1347">
        <v>1</v>
      </c>
      <c r="E1347">
        <v>105</v>
      </c>
    </row>
    <row r="1348" spans="1:5" x14ac:dyDescent="0.35">
      <c r="A1348">
        <v>310</v>
      </c>
      <c r="B1348" t="s">
        <v>153</v>
      </c>
      <c r="C1348" s="1" t="s">
        <v>154</v>
      </c>
      <c r="D1348">
        <v>2</v>
      </c>
      <c r="E1348">
        <v>-115</v>
      </c>
    </row>
    <row r="1349" spans="1:5" x14ac:dyDescent="0.35">
      <c r="A1349">
        <v>310</v>
      </c>
      <c r="B1349" t="s">
        <v>151</v>
      </c>
      <c r="C1349" s="1" t="s">
        <v>168</v>
      </c>
      <c r="D1349">
        <v>5</v>
      </c>
      <c r="E1349">
        <v>-165</v>
      </c>
    </row>
    <row r="1350" spans="1:5" x14ac:dyDescent="0.35">
      <c r="A1350">
        <v>310</v>
      </c>
      <c r="B1350" t="s">
        <v>153</v>
      </c>
      <c r="C1350" s="1" t="s">
        <v>181</v>
      </c>
      <c r="D1350">
        <v>2</v>
      </c>
      <c r="E1350">
        <v>150</v>
      </c>
    </row>
    <row r="1351" spans="1:5" x14ac:dyDescent="0.35">
      <c r="A1351">
        <v>310</v>
      </c>
      <c r="B1351" t="s">
        <v>151</v>
      </c>
      <c r="C1351" s="1" t="s">
        <v>171</v>
      </c>
      <c r="D1351">
        <v>2</v>
      </c>
      <c r="E1351">
        <v>-108</v>
      </c>
    </row>
    <row r="1352" spans="1:5" x14ac:dyDescent="0.35">
      <c r="A1352">
        <v>310</v>
      </c>
      <c r="B1352" t="s">
        <v>153</v>
      </c>
      <c r="C1352" s="1" t="s">
        <v>178</v>
      </c>
      <c r="D1352">
        <v>0</v>
      </c>
      <c r="E1352">
        <v>-102</v>
      </c>
    </row>
    <row r="1353" spans="1:5" x14ac:dyDescent="0.35">
      <c r="A1353">
        <v>310</v>
      </c>
      <c r="B1353" t="s">
        <v>151</v>
      </c>
      <c r="C1353" s="1" t="s">
        <v>164</v>
      </c>
      <c r="D1353">
        <v>5</v>
      </c>
      <c r="E1353">
        <v>-250</v>
      </c>
    </row>
    <row r="1354" spans="1:5" x14ac:dyDescent="0.35">
      <c r="A1354">
        <v>310</v>
      </c>
      <c r="B1354" t="s">
        <v>153</v>
      </c>
      <c r="C1354" s="1" t="s">
        <v>182</v>
      </c>
      <c r="D1354">
        <v>2</v>
      </c>
      <c r="E1354">
        <v>220</v>
      </c>
    </row>
    <row r="1355" spans="1:5" x14ac:dyDescent="0.35">
      <c r="A1355">
        <v>310</v>
      </c>
      <c r="B1355" t="s">
        <v>151</v>
      </c>
      <c r="C1355" s="1" t="s">
        <v>166</v>
      </c>
      <c r="D1355">
        <v>4</v>
      </c>
      <c r="E1355">
        <v>150</v>
      </c>
    </row>
    <row r="1356" spans="1:5" x14ac:dyDescent="0.35">
      <c r="A1356">
        <v>310</v>
      </c>
      <c r="B1356" t="s">
        <v>153</v>
      </c>
      <c r="C1356" s="1" t="s">
        <v>172</v>
      </c>
      <c r="D1356">
        <v>2</v>
      </c>
      <c r="E1356">
        <v>-165</v>
      </c>
    </row>
    <row r="1357" spans="1:5" x14ac:dyDescent="0.35">
      <c r="A1357">
        <v>310</v>
      </c>
      <c r="B1357" t="s">
        <v>151</v>
      </c>
      <c r="C1357" s="1" t="s">
        <v>180</v>
      </c>
      <c r="D1357">
        <v>4</v>
      </c>
      <c r="E1357">
        <v>110</v>
      </c>
    </row>
    <row r="1358" spans="1:5" x14ac:dyDescent="0.35">
      <c r="A1358">
        <v>310</v>
      </c>
      <c r="B1358" t="s">
        <v>153</v>
      </c>
      <c r="C1358" s="1" t="s">
        <v>157</v>
      </c>
      <c r="D1358">
        <v>5</v>
      </c>
      <c r="E1358">
        <v>-120</v>
      </c>
    </row>
    <row r="1359" spans="1:5" x14ac:dyDescent="0.35">
      <c r="A1359">
        <v>310</v>
      </c>
      <c r="B1359" t="s">
        <v>151</v>
      </c>
      <c r="C1359" s="1" t="s">
        <v>152</v>
      </c>
      <c r="D1359">
        <v>2</v>
      </c>
      <c r="E1359">
        <v>120</v>
      </c>
    </row>
    <row r="1360" spans="1:5" x14ac:dyDescent="0.35">
      <c r="A1360">
        <v>310</v>
      </c>
      <c r="B1360" t="s">
        <v>153</v>
      </c>
      <c r="C1360" s="1" t="s">
        <v>176</v>
      </c>
      <c r="D1360">
        <v>5</v>
      </c>
      <c r="E1360">
        <v>-130</v>
      </c>
    </row>
    <row r="1361" spans="1:5" x14ac:dyDescent="0.35">
      <c r="A1361">
        <v>311</v>
      </c>
      <c r="B1361" t="s">
        <v>151</v>
      </c>
      <c r="C1361" s="1" t="s">
        <v>159</v>
      </c>
      <c r="D1361">
        <v>2</v>
      </c>
      <c r="E1361">
        <v>145</v>
      </c>
    </row>
    <row r="1362" spans="1:5" x14ac:dyDescent="0.35">
      <c r="A1362">
        <v>311</v>
      </c>
      <c r="B1362" t="s">
        <v>153</v>
      </c>
      <c r="C1362" s="1" t="s">
        <v>177</v>
      </c>
      <c r="D1362">
        <v>6</v>
      </c>
      <c r="E1362">
        <v>-160</v>
      </c>
    </row>
    <row r="1363" spans="1:5" x14ac:dyDescent="0.35">
      <c r="A1363">
        <v>311</v>
      </c>
      <c r="B1363" t="s">
        <v>151</v>
      </c>
      <c r="C1363" s="1" t="s">
        <v>165</v>
      </c>
      <c r="D1363">
        <v>4</v>
      </c>
      <c r="E1363">
        <v>125</v>
      </c>
    </row>
    <row r="1364" spans="1:5" x14ac:dyDescent="0.35">
      <c r="A1364">
        <v>311</v>
      </c>
      <c r="B1364" t="s">
        <v>153</v>
      </c>
      <c r="C1364" s="1" t="s">
        <v>158</v>
      </c>
      <c r="D1364">
        <v>2</v>
      </c>
      <c r="E1364">
        <v>-135</v>
      </c>
    </row>
    <row r="1365" spans="1:5" x14ac:dyDescent="0.35">
      <c r="A1365">
        <v>311</v>
      </c>
      <c r="B1365" t="s">
        <v>151</v>
      </c>
      <c r="C1365" s="1" t="s">
        <v>166</v>
      </c>
      <c r="D1365">
        <v>2</v>
      </c>
      <c r="E1365">
        <v>133</v>
      </c>
    </row>
    <row r="1366" spans="1:5" x14ac:dyDescent="0.35">
      <c r="A1366">
        <v>311</v>
      </c>
      <c r="B1366" t="s">
        <v>153</v>
      </c>
      <c r="C1366" s="1" t="s">
        <v>174</v>
      </c>
      <c r="D1366">
        <v>3</v>
      </c>
      <c r="E1366">
        <v>-146</v>
      </c>
    </row>
    <row r="1367" spans="1:5" x14ac:dyDescent="0.35">
      <c r="A1367">
        <v>311</v>
      </c>
      <c r="B1367" t="s">
        <v>151</v>
      </c>
      <c r="C1367" s="1" t="s">
        <v>152</v>
      </c>
      <c r="D1367">
        <v>2</v>
      </c>
      <c r="E1367">
        <v>145</v>
      </c>
    </row>
    <row r="1368" spans="1:5" x14ac:dyDescent="0.35">
      <c r="A1368">
        <v>311</v>
      </c>
      <c r="B1368" t="s">
        <v>153</v>
      </c>
      <c r="C1368" s="1" t="s">
        <v>183</v>
      </c>
      <c r="D1368">
        <v>3</v>
      </c>
      <c r="E1368">
        <v>-160</v>
      </c>
    </row>
    <row r="1369" spans="1:5" x14ac:dyDescent="0.35">
      <c r="A1369">
        <v>311</v>
      </c>
      <c r="B1369" t="s">
        <v>151</v>
      </c>
      <c r="C1369" s="1" t="s">
        <v>156</v>
      </c>
      <c r="D1369">
        <v>4</v>
      </c>
      <c r="E1369">
        <v>-200</v>
      </c>
    </row>
    <row r="1370" spans="1:5" x14ac:dyDescent="0.35">
      <c r="A1370">
        <v>311</v>
      </c>
      <c r="B1370" t="s">
        <v>153</v>
      </c>
      <c r="C1370" s="1" t="s">
        <v>176</v>
      </c>
      <c r="D1370">
        <v>2</v>
      </c>
      <c r="E1370">
        <v>180</v>
      </c>
    </row>
  </sheetData>
  <mergeCells count="12">
    <mergeCell ref="K40:M40"/>
    <mergeCell ref="I51:J51"/>
    <mergeCell ref="K51:M51"/>
    <mergeCell ref="N51:O51"/>
    <mergeCell ref="P51:R51"/>
    <mergeCell ref="I42:I43"/>
    <mergeCell ref="J42:J43"/>
    <mergeCell ref="A1:E1"/>
    <mergeCell ref="F1:I1"/>
    <mergeCell ref="D40:E40"/>
    <mergeCell ref="F40:H40"/>
    <mergeCell ref="I40:J40"/>
  </mergeCells>
  <conditionalFormatting sqref="B3:B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:C33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33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33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34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P25:AZ3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42:M4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42:L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B42:B43" xr:uid="{51B62F52-8E74-45E8-9145-E1558B2EEEEA}">
      <formula1>$A$3:$A$33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A0C4-D103-4747-B5EC-7E6274B83986}">
  <sheetPr codeName="Sheet7"/>
  <dimension ref="A1:Z202"/>
  <sheetViews>
    <sheetView zoomScale="53" workbookViewId="0">
      <selection activeCell="R1" sqref="R1"/>
    </sheetView>
  </sheetViews>
  <sheetFormatPr defaultRowHeight="14.5" x14ac:dyDescent="0.35"/>
  <cols>
    <col min="22" max="22" width="9.453125" bestFit="1" customWidth="1"/>
  </cols>
  <sheetData>
    <row r="1" spans="1:26" x14ac:dyDescent="0.35">
      <c r="G1" t="s">
        <v>136</v>
      </c>
      <c r="I1" t="s">
        <v>138</v>
      </c>
      <c r="K1" t="s">
        <v>140</v>
      </c>
      <c r="N1" t="s">
        <v>142</v>
      </c>
      <c r="P1" t="s">
        <v>145</v>
      </c>
    </row>
    <row r="2" spans="1:26" x14ac:dyDescent="0.35">
      <c r="A2" t="s">
        <v>147</v>
      </c>
      <c r="B2" t="s">
        <v>148</v>
      </c>
      <c r="C2" t="s">
        <v>0</v>
      </c>
      <c r="D2" t="s">
        <v>149</v>
      </c>
      <c r="E2" t="s">
        <v>150</v>
      </c>
      <c r="G2" t="s">
        <v>132</v>
      </c>
      <c r="H2" t="s">
        <v>137</v>
      </c>
      <c r="I2" t="s">
        <v>135</v>
      </c>
      <c r="J2" t="s">
        <v>139</v>
      </c>
      <c r="K2" t="s">
        <v>141</v>
      </c>
      <c r="L2" t="s">
        <v>185</v>
      </c>
      <c r="M2" t="s">
        <v>135</v>
      </c>
      <c r="N2" t="s">
        <v>143</v>
      </c>
      <c r="O2" t="s">
        <v>144</v>
      </c>
      <c r="P2" t="s">
        <v>146</v>
      </c>
      <c r="Q2" t="s">
        <v>188</v>
      </c>
      <c r="R2" t="s">
        <v>189</v>
      </c>
      <c r="S2" t="s">
        <v>190</v>
      </c>
      <c r="T2" t="s">
        <v>194</v>
      </c>
      <c r="U2" t="s">
        <v>197</v>
      </c>
      <c r="V2" t="s">
        <v>200</v>
      </c>
    </row>
    <row r="3" spans="1:26" x14ac:dyDescent="0.35">
      <c r="A3">
        <v>1203</v>
      </c>
      <c r="B3" t="s">
        <v>151</v>
      </c>
      <c r="C3" t="s">
        <v>175</v>
      </c>
      <c r="D3">
        <v>4</v>
      </c>
      <c r="E3">
        <v>-105</v>
      </c>
      <c r="F3" t="s">
        <v>131</v>
      </c>
      <c r="G3" t="s">
        <v>39</v>
      </c>
      <c r="H3">
        <v>2.4817535583303378</v>
      </c>
      <c r="I3">
        <v>0.69230891453140275</v>
      </c>
      <c r="J3">
        <v>1.4444418943772543</v>
      </c>
      <c r="K3">
        <v>1.9523809523809523</v>
      </c>
      <c r="L3">
        <v>-105</v>
      </c>
      <c r="M3">
        <v>0.51219512195121952</v>
      </c>
      <c r="P3">
        <v>0.18011379258018323</v>
      </c>
      <c r="Q3">
        <v>13.292397892417522</v>
      </c>
      <c r="R3">
        <v>17.966679419675348</v>
      </c>
      <c r="S3" t="s">
        <v>192</v>
      </c>
      <c r="T3">
        <v>12.6594265642072</v>
      </c>
      <c r="U3">
        <f>IF(AND(R3&gt;3.5,R3&lt;50),T3,0)</f>
        <v>12.6594265642072</v>
      </c>
      <c r="V3">
        <f>IF(S3="BET",T3,0)</f>
        <v>12.6594265642072</v>
      </c>
    </row>
    <row r="4" spans="1:26" x14ac:dyDescent="0.35">
      <c r="A4">
        <v>1203</v>
      </c>
      <c r="B4" t="s">
        <v>153</v>
      </c>
      <c r="C4" t="s">
        <v>179</v>
      </c>
      <c r="D4">
        <v>2</v>
      </c>
      <c r="E4">
        <v>-105</v>
      </c>
      <c r="F4" t="s">
        <v>128</v>
      </c>
      <c r="G4" t="s">
        <v>43</v>
      </c>
      <c r="H4">
        <v>1.4574748923339036</v>
      </c>
      <c r="I4">
        <v>0.30763287073621914</v>
      </c>
      <c r="J4">
        <v>3.2506279241448599</v>
      </c>
      <c r="K4">
        <v>1.9523809523809523</v>
      </c>
      <c r="L4">
        <v>-105</v>
      </c>
      <c r="M4">
        <v>0.51219512195121952</v>
      </c>
      <c r="P4">
        <v>-0.20456225121500038</v>
      </c>
      <c r="Q4">
        <v>0</v>
      </c>
      <c r="R4">
        <v>0</v>
      </c>
      <c r="S4" t="s">
        <v>193</v>
      </c>
      <c r="T4">
        <v>0</v>
      </c>
      <c r="U4">
        <f>IF(AND(R4&gt;3.5,R4&lt;50),T4,0)</f>
        <v>0</v>
      </c>
      <c r="V4">
        <f t="shared" ref="V4:V67" si="0">IF(S4="BET",T4,0)</f>
        <v>0</v>
      </c>
      <c r="W4" t="s">
        <v>198</v>
      </c>
      <c r="X4">
        <f>SUM(V3:V202)</f>
        <v>40.711884932557126</v>
      </c>
      <c r="Y4" t="s">
        <v>186</v>
      </c>
      <c r="Z4" t="s">
        <v>187</v>
      </c>
    </row>
    <row r="5" spans="1:26" x14ac:dyDescent="0.35">
      <c r="A5">
        <v>1203</v>
      </c>
      <c r="B5" t="s">
        <v>151</v>
      </c>
      <c r="C5" t="s">
        <v>169</v>
      </c>
      <c r="D5">
        <v>4</v>
      </c>
      <c r="E5">
        <v>115</v>
      </c>
      <c r="F5" t="s">
        <v>131</v>
      </c>
      <c r="G5" t="s">
        <v>52</v>
      </c>
      <c r="H5">
        <v>3.6846220585097567</v>
      </c>
      <c r="I5">
        <v>0.61838114605230687</v>
      </c>
      <c r="J5">
        <v>1.6171256293693876</v>
      </c>
      <c r="K5">
        <v>2.15</v>
      </c>
      <c r="L5">
        <v>115</v>
      </c>
      <c r="M5">
        <v>0.46511627906976744</v>
      </c>
      <c r="P5">
        <v>0.15326486698253944</v>
      </c>
      <c r="Q5">
        <v>10.315391916911782</v>
      </c>
      <c r="R5">
        <v>13.714514332451012</v>
      </c>
      <c r="S5" t="s">
        <v>192</v>
      </c>
      <c r="T5">
        <v>11.86270070444855</v>
      </c>
      <c r="U5">
        <f t="shared" ref="U5:U67" si="1">IF(AND(R5&gt;3.5,R5&lt;50),T5,0)</f>
        <v>11.86270070444855</v>
      </c>
      <c r="V5">
        <f t="shared" si="0"/>
        <v>11.86270070444855</v>
      </c>
      <c r="W5" t="s">
        <v>199</v>
      </c>
      <c r="X5">
        <f>SUM(U3:U202)</f>
        <v>118.61370789564251</v>
      </c>
      <c r="Y5">
        <v>222.2444341639461</v>
      </c>
      <c r="Z5">
        <v>0.18</v>
      </c>
    </row>
    <row r="6" spans="1:26" x14ac:dyDescent="0.35">
      <c r="A6">
        <v>1203</v>
      </c>
      <c r="B6" t="s">
        <v>153</v>
      </c>
      <c r="C6" t="s">
        <v>161</v>
      </c>
      <c r="D6">
        <v>2</v>
      </c>
      <c r="E6">
        <v>-125</v>
      </c>
      <c r="F6" t="s">
        <v>128</v>
      </c>
      <c r="G6" t="s">
        <v>50</v>
      </c>
      <c r="H6">
        <v>2.8878339510582589</v>
      </c>
      <c r="I6">
        <v>0.37988416066088909</v>
      </c>
      <c r="J6">
        <v>2.6323814034791235</v>
      </c>
      <c r="K6">
        <v>1.8</v>
      </c>
      <c r="L6">
        <v>-125</v>
      </c>
      <c r="M6">
        <v>0.55555555555555558</v>
      </c>
      <c r="P6">
        <v>-0.17567139489466649</v>
      </c>
      <c r="Q6">
        <v>0</v>
      </c>
      <c r="R6">
        <v>0</v>
      </c>
      <c r="S6" t="s">
        <v>193</v>
      </c>
      <c r="T6">
        <v>0</v>
      </c>
      <c r="U6">
        <f t="shared" si="1"/>
        <v>0</v>
      </c>
      <c r="V6">
        <f t="shared" si="0"/>
        <v>0</v>
      </c>
      <c r="Y6">
        <v>244.15182636541911</v>
      </c>
    </row>
    <row r="7" spans="1:26" x14ac:dyDescent="0.35">
      <c r="A7">
        <v>1203</v>
      </c>
      <c r="B7" t="s">
        <v>151</v>
      </c>
      <c r="C7" t="s">
        <v>160</v>
      </c>
      <c r="D7">
        <v>4</v>
      </c>
      <c r="E7">
        <v>-134</v>
      </c>
      <c r="F7" t="s">
        <v>131</v>
      </c>
      <c r="G7" t="s">
        <v>68</v>
      </c>
      <c r="H7">
        <v>2.9419988290350654</v>
      </c>
      <c r="I7">
        <v>0.64902128932537484</v>
      </c>
      <c r="J7">
        <v>1.5407815066273867</v>
      </c>
      <c r="K7">
        <v>1.7462686567164178</v>
      </c>
      <c r="L7">
        <v>-134</v>
      </c>
      <c r="M7">
        <v>0.57264957264957272</v>
      </c>
      <c r="P7">
        <v>7.6371716675802115E-2</v>
      </c>
      <c r="Q7">
        <v>6.4335534127695695</v>
      </c>
      <c r="R7">
        <v>7.2915677061974096</v>
      </c>
      <c r="S7" t="s">
        <v>192</v>
      </c>
      <c r="T7">
        <v>4.8011592632608728</v>
      </c>
      <c r="U7">
        <f t="shared" si="1"/>
        <v>4.8011592632608728</v>
      </c>
      <c r="V7">
        <f t="shared" si="0"/>
        <v>4.8011592632608728</v>
      </c>
    </row>
    <row r="8" spans="1:26" x14ac:dyDescent="0.35">
      <c r="A8">
        <v>1203</v>
      </c>
      <c r="B8" t="s">
        <v>153</v>
      </c>
      <c r="C8" t="s">
        <v>181</v>
      </c>
      <c r="D8">
        <v>3</v>
      </c>
      <c r="E8">
        <v>124</v>
      </c>
      <c r="F8" t="s">
        <v>128</v>
      </c>
      <c r="G8" t="s">
        <v>54</v>
      </c>
      <c r="H8">
        <v>2.0644239155364517</v>
      </c>
      <c r="I8">
        <v>0.35071918894223986</v>
      </c>
      <c r="J8">
        <v>2.8512839660013314</v>
      </c>
      <c r="K8">
        <v>2.2400000000000002</v>
      </c>
      <c r="L8">
        <v>124</v>
      </c>
      <c r="M8">
        <v>0.4464285714285714</v>
      </c>
      <c r="P8">
        <v>-9.570938248633154E-2</v>
      </c>
      <c r="Q8">
        <v>0</v>
      </c>
      <c r="R8">
        <v>0</v>
      </c>
      <c r="S8" t="s">
        <v>193</v>
      </c>
      <c r="T8">
        <v>0</v>
      </c>
      <c r="U8">
        <f t="shared" si="1"/>
        <v>0</v>
      </c>
      <c r="V8">
        <f t="shared" si="0"/>
        <v>0</v>
      </c>
    </row>
    <row r="9" spans="1:26" x14ac:dyDescent="0.35">
      <c r="A9">
        <v>1203</v>
      </c>
      <c r="B9" t="s">
        <v>151</v>
      </c>
      <c r="C9" t="s">
        <v>154</v>
      </c>
      <c r="D9">
        <v>1</v>
      </c>
      <c r="E9">
        <v>-110</v>
      </c>
      <c r="F9" t="s">
        <v>131</v>
      </c>
      <c r="G9" t="s">
        <v>64</v>
      </c>
      <c r="H9">
        <v>2.8842637280223564</v>
      </c>
      <c r="I9">
        <v>0.51384410210900888</v>
      </c>
      <c r="J9">
        <v>1.9461155550791087</v>
      </c>
      <c r="K9">
        <v>1.9090909090909092</v>
      </c>
      <c r="L9">
        <v>-110</v>
      </c>
      <c r="M9">
        <v>0.52380952380952384</v>
      </c>
      <c r="P9">
        <v>-9.9654217005149537E-3</v>
      </c>
      <c r="Q9">
        <v>0</v>
      </c>
      <c r="R9">
        <v>0</v>
      </c>
      <c r="S9" t="s">
        <v>193</v>
      </c>
      <c r="T9">
        <v>0</v>
      </c>
      <c r="U9">
        <f t="shared" si="1"/>
        <v>0</v>
      </c>
      <c r="V9">
        <f t="shared" si="0"/>
        <v>0</v>
      </c>
    </row>
    <row r="10" spans="1:26" x14ac:dyDescent="0.35">
      <c r="A10">
        <v>1203</v>
      </c>
      <c r="B10" t="s">
        <v>153</v>
      </c>
      <c r="C10" t="s">
        <v>178</v>
      </c>
      <c r="D10">
        <v>6</v>
      </c>
      <c r="E10">
        <v>100</v>
      </c>
      <c r="F10" t="s">
        <v>128</v>
      </c>
      <c r="G10" t="s">
        <v>59</v>
      </c>
      <c r="H10">
        <v>2.7983065139994796</v>
      </c>
      <c r="I10">
        <v>0.4857826788223672</v>
      </c>
      <c r="J10">
        <v>2.05853366864417</v>
      </c>
      <c r="K10">
        <v>2</v>
      </c>
      <c r="L10">
        <v>100</v>
      </c>
      <c r="M10">
        <v>0.5</v>
      </c>
      <c r="P10">
        <v>-1.4217321177632802E-2</v>
      </c>
      <c r="Q10">
        <v>0</v>
      </c>
      <c r="R10">
        <v>0</v>
      </c>
      <c r="S10" t="s">
        <v>193</v>
      </c>
      <c r="T10">
        <v>0</v>
      </c>
      <c r="U10">
        <f t="shared" si="1"/>
        <v>0</v>
      </c>
      <c r="V10">
        <f t="shared" si="0"/>
        <v>0</v>
      </c>
    </row>
    <row r="11" spans="1:26" x14ac:dyDescent="0.35">
      <c r="A11">
        <v>1203</v>
      </c>
      <c r="B11" t="s">
        <v>151</v>
      </c>
      <c r="C11" t="s">
        <v>180</v>
      </c>
      <c r="D11">
        <v>2</v>
      </c>
      <c r="E11">
        <v>110</v>
      </c>
      <c r="F11" t="s">
        <v>131</v>
      </c>
      <c r="G11" t="s">
        <v>56</v>
      </c>
      <c r="H11">
        <v>2.2304254321071073</v>
      </c>
      <c r="I11">
        <v>0.52796306475538946</v>
      </c>
      <c r="J11">
        <v>1.8940718901677525</v>
      </c>
      <c r="K11">
        <v>2.1</v>
      </c>
      <c r="L11">
        <v>110</v>
      </c>
      <c r="M11">
        <v>0.47619047619047616</v>
      </c>
      <c r="P11">
        <v>5.1772588564913291E-2</v>
      </c>
      <c r="Q11">
        <v>3.5581888140976767</v>
      </c>
      <c r="R11">
        <v>3.9450437696656437</v>
      </c>
      <c r="S11" t="s">
        <v>192</v>
      </c>
      <c r="T11">
        <v>-3.5581888140976767</v>
      </c>
      <c r="U11">
        <f t="shared" si="1"/>
        <v>-3.5581888140976767</v>
      </c>
      <c r="V11">
        <f t="shared" si="0"/>
        <v>-3.5581888140976767</v>
      </c>
    </row>
    <row r="12" spans="1:26" x14ac:dyDescent="0.35">
      <c r="A12">
        <v>1203</v>
      </c>
      <c r="B12" t="s">
        <v>153</v>
      </c>
      <c r="C12" t="s">
        <v>163</v>
      </c>
      <c r="D12">
        <v>4</v>
      </c>
      <c r="E12">
        <v>-120</v>
      </c>
      <c r="F12" t="s">
        <v>128</v>
      </c>
      <c r="G12" t="s">
        <v>53</v>
      </c>
      <c r="H12">
        <v>2.0800944841522639</v>
      </c>
      <c r="I12">
        <v>0.47200263807249099</v>
      </c>
      <c r="J12">
        <v>2.1186322264716204</v>
      </c>
      <c r="K12">
        <v>1.8333333333333335</v>
      </c>
      <c r="L12">
        <v>-120</v>
      </c>
      <c r="M12">
        <v>0.54545454545454541</v>
      </c>
      <c r="P12">
        <v>-7.3451907382054427E-2</v>
      </c>
      <c r="Q12">
        <v>0</v>
      </c>
      <c r="R12">
        <v>0</v>
      </c>
      <c r="S12" t="s">
        <v>193</v>
      </c>
      <c r="T12">
        <v>0</v>
      </c>
      <c r="U12">
        <f t="shared" si="1"/>
        <v>0</v>
      </c>
      <c r="V12">
        <f t="shared" si="0"/>
        <v>0</v>
      </c>
    </row>
    <row r="13" spans="1:26" x14ac:dyDescent="0.35">
      <c r="A13">
        <v>1203</v>
      </c>
      <c r="B13" t="s">
        <v>151</v>
      </c>
      <c r="C13" t="s">
        <v>164</v>
      </c>
      <c r="D13">
        <v>0</v>
      </c>
      <c r="E13">
        <v>132</v>
      </c>
      <c r="F13" t="s">
        <v>131</v>
      </c>
      <c r="G13" t="s">
        <v>42</v>
      </c>
      <c r="H13">
        <v>3.5003490944341165</v>
      </c>
      <c r="I13">
        <v>0.70418793794918089</v>
      </c>
      <c r="J13">
        <v>1.4200754459275713</v>
      </c>
      <c r="K13">
        <v>2.3200000000000003</v>
      </c>
      <c r="L13">
        <v>132</v>
      </c>
      <c r="M13">
        <v>0.43103448275862066</v>
      </c>
      <c r="P13">
        <v>0.27315345519056022</v>
      </c>
      <c r="Q13">
        <v>17.283164073875444</v>
      </c>
      <c r="R13">
        <v>28.235781955373739</v>
      </c>
      <c r="S13" t="s">
        <v>192</v>
      </c>
      <c r="T13">
        <v>-17.283164073875444</v>
      </c>
      <c r="U13">
        <f t="shared" si="1"/>
        <v>-17.283164073875444</v>
      </c>
      <c r="V13">
        <f t="shared" si="0"/>
        <v>-17.283164073875444</v>
      </c>
    </row>
    <row r="14" spans="1:26" x14ac:dyDescent="0.35">
      <c r="A14">
        <v>1203</v>
      </c>
      <c r="B14" t="s">
        <v>153</v>
      </c>
      <c r="C14" t="s">
        <v>171</v>
      </c>
      <c r="D14">
        <v>2</v>
      </c>
      <c r="E14">
        <v>-145</v>
      </c>
      <c r="F14" t="s">
        <v>128</v>
      </c>
      <c r="G14" t="s">
        <v>40</v>
      </c>
      <c r="H14">
        <v>2.1915544816763624</v>
      </c>
      <c r="I14">
        <v>0.29477277105914845</v>
      </c>
      <c r="J14">
        <v>3.3924435978496201</v>
      </c>
      <c r="K14">
        <v>1.6896551724137931</v>
      </c>
      <c r="L14">
        <v>-145</v>
      </c>
      <c r="M14">
        <v>0.59183673469387754</v>
      </c>
      <c r="P14">
        <v>-0.29706396363472909</v>
      </c>
      <c r="Q14">
        <v>0</v>
      </c>
      <c r="R14">
        <v>0</v>
      </c>
      <c r="S14" t="s">
        <v>193</v>
      </c>
      <c r="T14">
        <v>0</v>
      </c>
      <c r="U14">
        <f t="shared" si="1"/>
        <v>0</v>
      </c>
      <c r="V14">
        <f t="shared" si="0"/>
        <v>0</v>
      </c>
    </row>
    <row r="15" spans="1:26" x14ac:dyDescent="0.35">
      <c r="A15">
        <v>1203</v>
      </c>
      <c r="B15" t="s">
        <v>151</v>
      </c>
      <c r="C15" t="s">
        <v>162</v>
      </c>
      <c r="D15">
        <v>3</v>
      </c>
      <c r="E15">
        <v>-105</v>
      </c>
      <c r="F15" t="s">
        <v>131</v>
      </c>
      <c r="G15" t="s">
        <v>63</v>
      </c>
      <c r="H15">
        <v>1.6380443458072687</v>
      </c>
      <c r="I15">
        <v>0.29438171231180993</v>
      </c>
      <c r="J15">
        <v>3.3969501439029517</v>
      </c>
      <c r="K15">
        <v>1.9523809523809523</v>
      </c>
      <c r="L15">
        <v>-105</v>
      </c>
      <c r="M15">
        <v>0.51219512195121952</v>
      </c>
      <c r="P15">
        <v>-0.21781340963940959</v>
      </c>
      <c r="Q15">
        <v>0</v>
      </c>
      <c r="R15">
        <v>0</v>
      </c>
      <c r="S15" t="s">
        <v>193</v>
      </c>
      <c r="T15">
        <v>0</v>
      </c>
      <c r="U15">
        <f t="shared" si="1"/>
        <v>0</v>
      </c>
      <c r="V15">
        <f t="shared" si="0"/>
        <v>0</v>
      </c>
    </row>
    <row r="16" spans="1:26" x14ac:dyDescent="0.35">
      <c r="A16">
        <v>1203</v>
      </c>
      <c r="B16" t="s">
        <v>153</v>
      </c>
      <c r="C16" t="s">
        <v>170</v>
      </c>
      <c r="D16">
        <v>2</v>
      </c>
      <c r="E16">
        <v>-105</v>
      </c>
      <c r="F16" t="s">
        <v>128</v>
      </c>
      <c r="G16" t="s">
        <v>55</v>
      </c>
      <c r="H16">
        <v>2.802744849371416</v>
      </c>
      <c r="I16">
        <v>0.70545190670499869</v>
      </c>
      <c r="J16">
        <v>1.4175310754644732</v>
      </c>
      <c r="K16">
        <v>1.9523809523809523</v>
      </c>
      <c r="L16">
        <v>-105</v>
      </c>
      <c r="M16">
        <v>0.51219512195121952</v>
      </c>
      <c r="P16">
        <v>0.19325678475377916</v>
      </c>
      <c r="Q16">
        <v>14.262350714828905</v>
      </c>
      <c r="R16">
        <v>19.643690606701405</v>
      </c>
      <c r="S16" t="s">
        <v>192</v>
      </c>
      <c r="T16">
        <v>-14.262350714828905</v>
      </c>
      <c r="U16">
        <f t="shared" si="1"/>
        <v>-14.262350714828905</v>
      </c>
      <c r="V16">
        <f t="shared" si="0"/>
        <v>-14.262350714828905</v>
      </c>
    </row>
    <row r="17" spans="1:22" x14ac:dyDescent="0.35">
      <c r="A17">
        <v>1203</v>
      </c>
      <c r="B17" t="s">
        <v>151</v>
      </c>
      <c r="C17" t="s">
        <v>172</v>
      </c>
      <c r="D17">
        <v>1</v>
      </c>
      <c r="E17">
        <v>-105</v>
      </c>
      <c r="F17" t="s">
        <v>131</v>
      </c>
      <c r="G17" t="s">
        <v>47</v>
      </c>
      <c r="H17">
        <v>2.3478488318807131</v>
      </c>
      <c r="I17">
        <v>0.66694074074435916</v>
      </c>
      <c r="J17">
        <v>1.4993835867395355</v>
      </c>
      <c r="K17">
        <v>1.9523809523809523</v>
      </c>
      <c r="L17">
        <v>-105</v>
      </c>
      <c r="M17">
        <v>0.51219512195121952</v>
      </c>
      <c r="P17">
        <v>0.15474561879313964</v>
      </c>
      <c r="Q17">
        <v>11.420226666933701</v>
      </c>
      <c r="R17">
        <v>14.870532940059194</v>
      </c>
      <c r="S17" t="s">
        <v>192</v>
      </c>
      <c r="T17">
        <v>-11.420226666933701</v>
      </c>
      <c r="U17">
        <f t="shared" si="1"/>
        <v>-11.420226666933701</v>
      </c>
      <c r="V17">
        <f t="shared" si="0"/>
        <v>-11.420226666933701</v>
      </c>
    </row>
    <row r="18" spans="1:22" x14ac:dyDescent="0.35">
      <c r="A18">
        <v>1203</v>
      </c>
      <c r="B18" t="s">
        <v>153</v>
      </c>
      <c r="C18" t="s">
        <v>165</v>
      </c>
      <c r="D18">
        <v>5</v>
      </c>
      <c r="E18">
        <v>-105</v>
      </c>
      <c r="F18" t="s">
        <v>128</v>
      </c>
      <c r="G18" t="s">
        <v>66</v>
      </c>
      <c r="H18">
        <v>1.478379219868567</v>
      </c>
      <c r="I18">
        <v>0.33302335716603504</v>
      </c>
      <c r="J18">
        <v>3.0027923822215006</v>
      </c>
      <c r="K18">
        <v>1.9523809523809523</v>
      </c>
      <c r="L18">
        <v>-105</v>
      </c>
      <c r="M18">
        <v>0.51219512195121952</v>
      </c>
      <c r="P18">
        <v>-0.17917176478518448</v>
      </c>
      <c r="Q18">
        <v>0</v>
      </c>
      <c r="R18">
        <v>0</v>
      </c>
      <c r="S18" t="s">
        <v>193</v>
      </c>
      <c r="T18">
        <v>0</v>
      </c>
      <c r="U18">
        <f t="shared" si="1"/>
        <v>0</v>
      </c>
      <c r="V18">
        <f t="shared" si="0"/>
        <v>0</v>
      </c>
    </row>
    <row r="19" spans="1:22" x14ac:dyDescent="0.35">
      <c r="A19">
        <v>1203</v>
      </c>
      <c r="B19" t="s">
        <v>151</v>
      </c>
      <c r="C19" t="s">
        <v>152</v>
      </c>
      <c r="D19">
        <v>2</v>
      </c>
      <c r="E19">
        <v>145</v>
      </c>
      <c r="F19" t="s">
        <v>131</v>
      </c>
      <c r="G19" t="s">
        <v>58</v>
      </c>
      <c r="H19">
        <v>1.9322385135726849</v>
      </c>
      <c r="I19">
        <v>0.31568663655689277</v>
      </c>
      <c r="J19">
        <v>3.1676982304563941</v>
      </c>
      <c r="K19">
        <v>2.4500000000000002</v>
      </c>
      <c r="L19">
        <v>145</v>
      </c>
      <c r="M19">
        <v>0.4081632653061224</v>
      </c>
      <c r="P19">
        <v>-9.2476628749229628E-2</v>
      </c>
      <c r="Q19">
        <v>0</v>
      </c>
      <c r="R19">
        <v>0</v>
      </c>
      <c r="S19" t="s">
        <v>193</v>
      </c>
      <c r="T19">
        <v>0</v>
      </c>
      <c r="U19">
        <f t="shared" si="1"/>
        <v>0</v>
      </c>
      <c r="V19">
        <f t="shared" si="0"/>
        <v>0</v>
      </c>
    </row>
    <row r="20" spans="1:22" x14ac:dyDescent="0.35">
      <c r="A20">
        <v>1203</v>
      </c>
      <c r="B20" t="s">
        <v>153</v>
      </c>
      <c r="C20" t="s">
        <v>157</v>
      </c>
      <c r="D20">
        <v>5</v>
      </c>
      <c r="E20">
        <v>-160</v>
      </c>
      <c r="F20" t="s">
        <v>128</v>
      </c>
      <c r="G20" t="s">
        <v>65</v>
      </c>
      <c r="H20">
        <v>3.0229767778078314</v>
      </c>
      <c r="I20">
        <v>0.6839958619842188</v>
      </c>
      <c r="J20">
        <v>1.461997148782564</v>
      </c>
      <c r="K20">
        <v>1.625</v>
      </c>
      <c r="L20">
        <v>-160</v>
      </c>
      <c r="M20">
        <v>0.61538461538461542</v>
      </c>
      <c r="P20">
        <v>6.8611246599603382E-2</v>
      </c>
      <c r="Q20">
        <v>6.422012681722884</v>
      </c>
      <c r="R20">
        <v>7.138023912351521</v>
      </c>
      <c r="S20" t="s">
        <v>192</v>
      </c>
      <c r="T20">
        <v>4.0137579260768019</v>
      </c>
      <c r="U20">
        <f t="shared" si="1"/>
        <v>4.0137579260768019</v>
      </c>
      <c r="V20">
        <f t="shared" si="0"/>
        <v>4.0137579260768019</v>
      </c>
    </row>
    <row r="21" spans="1:22" x14ac:dyDescent="0.35">
      <c r="A21">
        <v>1203</v>
      </c>
      <c r="B21" t="s">
        <v>151</v>
      </c>
      <c r="C21" t="s">
        <v>155</v>
      </c>
      <c r="D21">
        <v>5</v>
      </c>
      <c r="E21">
        <v>-110</v>
      </c>
      <c r="F21" t="s">
        <v>131</v>
      </c>
      <c r="G21" t="s">
        <v>67</v>
      </c>
      <c r="H21">
        <v>2.269711593923085</v>
      </c>
      <c r="I21">
        <v>0.52492865132737465</v>
      </c>
      <c r="J21">
        <v>1.9050208013438086</v>
      </c>
      <c r="K21">
        <v>1.9090909090909092</v>
      </c>
      <c r="L21">
        <v>-110</v>
      </c>
      <c r="M21">
        <v>0.52380952380952384</v>
      </c>
      <c r="P21">
        <v>1.1191275178508153E-3</v>
      </c>
      <c r="Q21">
        <v>8.4606040349524028E-2</v>
      </c>
      <c r="R21">
        <v>8.4786802522847898E-2</v>
      </c>
      <c r="S21" t="s">
        <v>193</v>
      </c>
      <c r="T21">
        <v>-8.4606040349524028E-2</v>
      </c>
      <c r="U21">
        <f t="shared" si="1"/>
        <v>0</v>
      </c>
      <c r="V21">
        <f t="shared" si="0"/>
        <v>0</v>
      </c>
    </row>
    <row r="22" spans="1:22" x14ac:dyDescent="0.35">
      <c r="A22">
        <v>1203</v>
      </c>
      <c r="B22" t="s">
        <v>153</v>
      </c>
      <c r="C22" t="s">
        <v>159</v>
      </c>
      <c r="D22">
        <v>2</v>
      </c>
      <c r="E22">
        <v>100</v>
      </c>
      <c r="F22" t="s">
        <v>128</v>
      </c>
      <c r="G22" t="s">
        <v>61</v>
      </c>
      <c r="H22">
        <v>2.1343288092323389</v>
      </c>
      <c r="I22">
        <v>0.47503011294637831</v>
      </c>
      <c r="J22">
        <v>2.105129701772992</v>
      </c>
      <c r="K22">
        <v>2</v>
      </c>
      <c r="L22">
        <v>100</v>
      </c>
      <c r="M22">
        <v>0.5</v>
      </c>
      <c r="P22">
        <v>-2.4969887053621687E-2</v>
      </c>
      <c r="Q22">
        <v>0</v>
      </c>
      <c r="R22">
        <v>0</v>
      </c>
      <c r="S22" t="s">
        <v>193</v>
      </c>
      <c r="T22">
        <v>0</v>
      </c>
      <c r="U22">
        <f t="shared" si="1"/>
        <v>0</v>
      </c>
      <c r="V22">
        <f t="shared" si="0"/>
        <v>0</v>
      </c>
    </row>
    <row r="23" spans="1:22" x14ac:dyDescent="0.35">
      <c r="A23">
        <v>1204</v>
      </c>
      <c r="B23" t="s">
        <v>151</v>
      </c>
      <c r="C23" t="s">
        <v>174</v>
      </c>
      <c r="D23">
        <v>3</v>
      </c>
      <c r="E23">
        <v>115</v>
      </c>
      <c r="F23" t="s">
        <v>131</v>
      </c>
      <c r="G23" t="s">
        <v>46</v>
      </c>
      <c r="H23">
        <v>2.1508095954942821</v>
      </c>
      <c r="I23">
        <v>0.53477001947387426</v>
      </c>
      <c r="J23">
        <v>1.8699627196450457</v>
      </c>
      <c r="K23">
        <v>2.15</v>
      </c>
      <c r="L23">
        <v>115</v>
      </c>
      <c r="M23">
        <v>0.46511627906976744</v>
      </c>
      <c r="P23">
        <v>6.9653740404106823E-2</v>
      </c>
      <c r="Q23">
        <v>4.6879995715459719</v>
      </c>
      <c r="R23">
        <v>5.3900534876636801</v>
      </c>
      <c r="S23" t="s">
        <v>192</v>
      </c>
      <c r="T23">
        <v>5.3911995072778671</v>
      </c>
      <c r="U23">
        <f t="shared" si="1"/>
        <v>5.3911995072778671</v>
      </c>
      <c r="V23">
        <f t="shared" si="0"/>
        <v>5.3911995072778671</v>
      </c>
    </row>
    <row r="24" spans="1:22" x14ac:dyDescent="0.35">
      <c r="A24">
        <v>1204</v>
      </c>
      <c r="B24" t="s">
        <v>153</v>
      </c>
      <c r="C24" t="s">
        <v>154</v>
      </c>
      <c r="D24">
        <v>1</v>
      </c>
      <c r="E24">
        <v>-125</v>
      </c>
      <c r="F24" t="s">
        <v>128</v>
      </c>
      <c r="G24" t="s">
        <v>64</v>
      </c>
      <c r="H24">
        <v>1.9678008793090525</v>
      </c>
      <c r="I24">
        <v>0.46520669437674389</v>
      </c>
      <c r="J24">
        <v>2.1495821364732084</v>
      </c>
      <c r="K24">
        <v>1.8</v>
      </c>
      <c r="L24">
        <v>-125</v>
      </c>
      <c r="M24">
        <v>0.55555555555555558</v>
      </c>
      <c r="P24">
        <v>-9.034886117881169E-2</v>
      </c>
      <c r="Q24">
        <v>0</v>
      </c>
      <c r="R24">
        <v>0</v>
      </c>
      <c r="S24" t="s">
        <v>193</v>
      </c>
      <c r="T24">
        <v>0</v>
      </c>
      <c r="U24">
        <f t="shared" si="1"/>
        <v>0</v>
      </c>
      <c r="V24">
        <f t="shared" si="0"/>
        <v>0</v>
      </c>
    </row>
    <row r="25" spans="1:22" x14ac:dyDescent="0.35">
      <c r="A25">
        <v>1204</v>
      </c>
      <c r="B25" t="s">
        <v>151</v>
      </c>
      <c r="C25" t="s">
        <v>156</v>
      </c>
      <c r="D25">
        <v>0</v>
      </c>
      <c r="E25">
        <v>-103</v>
      </c>
      <c r="F25" t="s">
        <v>131</v>
      </c>
      <c r="G25" t="s">
        <v>62</v>
      </c>
      <c r="H25">
        <v>2.6604950467392348</v>
      </c>
      <c r="I25">
        <v>0.60164781106828713</v>
      </c>
      <c r="J25">
        <v>1.662101950016901</v>
      </c>
      <c r="K25">
        <v>1.970873786407767</v>
      </c>
      <c r="L25">
        <v>-103</v>
      </c>
      <c r="M25">
        <v>0.5073891625615764</v>
      </c>
      <c r="P25">
        <v>9.4258648506710729E-2</v>
      </c>
      <c r="Q25">
        <v>6.8884220328704195</v>
      </c>
      <c r="R25">
        <v>8.1680972783648809</v>
      </c>
      <c r="S25" t="s">
        <v>192</v>
      </c>
      <c r="T25">
        <v>-6.8884220328704195</v>
      </c>
      <c r="U25">
        <f t="shared" si="1"/>
        <v>-6.8884220328704195</v>
      </c>
      <c r="V25">
        <f t="shared" si="0"/>
        <v>-6.8884220328704195</v>
      </c>
    </row>
    <row r="26" spans="1:22" x14ac:dyDescent="0.35">
      <c r="A26">
        <v>1204</v>
      </c>
      <c r="B26" t="s">
        <v>153</v>
      </c>
      <c r="C26" t="s">
        <v>168</v>
      </c>
      <c r="D26">
        <v>3</v>
      </c>
      <c r="E26">
        <v>-107</v>
      </c>
      <c r="F26" t="s">
        <v>128</v>
      </c>
      <c r="G26" t="s">
        <v>60</v>
      </c>
      <c r="H26">
        <v>2.083819727253569</v>
      </c>
      <c r="I26">
        <v>0.3982343200209002</v>
      </c>
      <c r="J26">
        <v>2.5110844287542013</v>
      </c>
      <c r="K26">
        <v>1.9345794392523366</v>
      </c>
      <c r="L26">
        <v>-107</v>
      </c>
      <c r="M26">
        <v>0.51690821256038644</v>
      </c>
      <c r="P26">
        <v>-0.11867389253948624</v>
      </c>
      <c r="Q26">
        <v>0</v>
      </c>
      <c r="R26">
        <v>0</v>
      </c>
      <c r="S26" t="s">
        <v>193</v>
      </c>
      <c r="T26">
        <v>0</v>
      </c>
      <c r="U26">
        <f t="shared" si="1"/>
        <v>0</v>
      </c>
      <c r="V26">
        <f t="shared" si="0"/>
        <v>0</v>
      </c>
    </row>
    <row r="27" spans="1:22" x14ac:dyDescent="0.35">
      <c r="A27">
        <v>1204</v>
      </c>
      <c r="B27" t="s">
        <v>151</v>
      </c>
      <c r="C27" t="s">
        <v>152</v>
      </c>
      <c r="D27">
        <v>5</v>
      </c>
      <c r="E27">
        <v>185</v>
      </c>
      <c r="F27" t="s">
        <v>131</v>
      </c>
      <c r="G27" t="s">
        <v>58</v>
      </c>
      <c r="H27">
        <v>2.1291227819915908</v>
      </c>
      <c r="I27">
        <v>0.40871214101457087</v>
      </c>
      <c r="J27">
        <v>2.4467097980442651</v>
      </c>
      <c r="K27">
        <v>2.85</v>
      </c>
      <c r="L27">
        <v>185</v>
      </c>
      <c r="M27">
        <v>0.35087719298245612</v>
      </c>
      <c r="P27">
        <v>5.7834948032114752E-2</v>
      </c>
      <c r="Q27">
        <v>3.2074949557270114</v>
      </c>
      <c r="R27">
        <v>3.7361850723485759</v>
      </c>
      <c r="S27" t="s">
        <v>192</v>
      </c>
      <c r="T27">
        <v>5.9338656680949722</v>
      </c>
      <c r="U27">
        <f t="shared" si="1"/>
        <v>5.9338656680949722</v>
      </c>
      <c r="V27">
        <f t="shared" si="0"/>
        <v>5.9338656680949722</v>
      </c>
    </row>
    <row r="28" spans="1:22" x14ac:dyDescent="0.35">
      <c r="A28">
        <v>1204</v>
      </c>
      <c r="B28" t="s">
        <v>153</v>
      </c>
      <c r="C28" t="s">
        <v>158</v>
      </c>
      <c r="D28">
        <v>2</v>
      </c>
      <c r="E28">
        <v>-205</v>
      </c>
      <c r="F28" t="s">
        <v>128</v>
      </c>
      <c r="G28" t="s">
        <v>49</v>
      </c>
      <c r="H28">
        <v>2.6470782439705749</v>
      </c>
      <c r="I28">
        <v>0.59117188353980976</v>
      </c>
      <c r="J28">
        <v>1.6915554136509598</v>
      </c>
      <c r="K28">
        <v>1.4878048780487805</v>
      </c>
      <c r="L28">
        <v>-205</v>
      </c>
      <c r="M28">
        <v>0.67213114754098358</v>
      </c>
      <c r="P28">
        <v>-8.0959264001173814E-2</v>
      </c>
      <c r="Q28">
        <v>0</v>
      </c>
      <c r="R28">
        <v>0</v>
      </c>
      <c r="S28" t="s">
        <v>193</v>
      </c>
      <c r="T28">
        <v>0</v>
      </c>
      <c r="U28">
        <f t="shared" si="1"/>
        <v>0</v>
      </c>
      <c r="V28">
        <f t="shared" si="0"/>
        <v>0</v>
      </c>
    </row>
    <row r="29" spans="1:22" x14ac:dyDescent="0.35">
      <c r="A29">
        <v>1204</v>
      </c>
      <c r="B29" t="s">
        <v>151</v>
      </c>
      <c r="C29" t="s">
        <v>155</v>
      </c>
      <c r="D29">
        <v>3</v>
      </c>
      <c r="E29">
        <v>-150</v>
      </c>
      <c r="F29" t="s">
        <v>131</v>
      </c>
      <c r="G29" t="s">
        <v>67</v>
      </c>
      <c r="H29">
        <v>3.8349870644565405</v>
      </c>
      <c r="I29">
        <v>0.74007951041953501</v>
      </c>
      <c r="J29">
        <v>1.3512061689603077</v>
      </c>
      <c r="K29">
        <v>1.6666666666666665</v>
      </c>
      <c r="L29">
        <v>-150</v>
      </c>
      <c r="M29">
        <v>0.60000000000000009</v>
      </c>
      <c r="P29">
        <v>0.14007951041953492</v>
      </c>
      <c r="Q29">
        <v>11.831815847586018</v>
      </c>
      <c r="R29">
        <v>14.594140799759259</v>
      </c>
      <c r="S29" t="s">
        <v>192</v>
      </c>
      <c r="T29">
        <v>7.887877231724012</v>
      </c>
      <c r="U29">
        <f t="shared" si="1"/>
        <v>7.887877231724012</v>
      </c>
      <c r="V29">
        <f t="shared" si="0"/>
        <v>7.887877231724012</v>
      </c>
    </row>
    <row r="30" spans="1:22" x14ac:dyDescent="0.35">
      <c r="A30">
        <v>1204</v>
      </c>
      <c r="B30" t="s">
        <v>153</v>
      </c>
      <c r="C30" t="s">
        <v>183</v>
      </c>
      <c r="D30">
        <v>1</v>
      </c>
      <c r="E30">
        <v>135</v>
      </c>
      <c r="F30" t="s">
        <v>128</v>
      </c>
      <c r="G30" t="s">
        <v>49</v>
      </c>
      <c r="H30">
        <v>2.2152166306573329</v>
      </c>
      <c r="I30">
        <v>0.25783124889413878</v>
      </c>
      <c r="J30">
        <v>3.8785058222736351</v>
      </c>
      <c r="K30">
        <v>2.35</v>
      </c>
      <c r="L30">
        <v>135</v>
      </c>
      <c r="M30">
        <v>0.42553191489361702</v>
      </c>
      <c r="P30">
        <v>-0.16770066599947825</v>
      </c>
      <c r="Q30">
        <v>0</v>
      </c>
      <c r="R30">
        <v>0</v>
      </c>
      <c r="S30" t="s">
        <v>193</v>
      </c>
      <c r="T30">
        <v>0</v>
      </c>
      <c r="U30">
        <f t="shared" si="1"/>
        <v>0</v>
      </c>
      <c r="V30">
        <f t="shared" si="0"/>
        <v>0</v>
      </c>
    </row>
    <row r="31" spans="1:22" x14ac:dyDescent="0.35">
      <c r="A31">
        <v>1205</v>
      </c>
      <c r="B31" t="s">
        <v>151</v>
      </c>
      <c r="C31" t="s">
        <v>175</v>
      </c>
      <c r="D31">
        <v>3</v>
      </c>
      <c r="E31">
        <v>130</v>
      </c>
      <c r="F31" t="s">
        <v>131</v>
      </c>
      <c r="G31" t="s">
        <v>39</v>
      </c>
      <c r="H31">
        <v>1.933932853265655</v>
      </c>
      <c r="I31">
        <v>0.45799862213155024</v>
      </c>
      <c r="J31">
        <v>2.1834126822171345</v>
      </c>
      <c r="K31">
        <v>2.2999999999999998</v>
      </c>
      <c r="L31">
        <v>130</v>
      </c>
      <c r="M31">
        <v>0.43478260869565222</v>
      </c>
      <c r="P31">
        <v>2.321601343589802E-2</v>
      </c>
      <c r="Q31">
        <v>1.4716801252578395</v>
      </c>
      <c r="R31">
        <v>1.5502631800488988</v>
      </c>
      <c r="S31" t="s">
        <v>193</v>
      </c>
      <c r="T31">
        <v>-1.4716801252578395</v>
      </c>
      <c r="U31">
        <f t="shared" si="1"/>
        <v>0</v>
      </c>
      <c r="V31">
        <f t="shared" si="0"/>
        <v>0</v>
      </c>
    </row>
    <row r="32" spans="1:22" x14ac:dyDescent="0.35">
      <c r="A32">
        <v>1205</v>
      </c>
      <c r="B32" t="s">
        <v>153</v>
      </c>
      <c r="C32" t="s">
        <v>178</v>
      </c>
      <c r="D32">
        <v>1</v>
      </c>
      <c r="E32">
        <v>-140</v>
      </c>
      <c r="F32" t="s">
        <v>128</v>
      </c>
      <c r="G32" t="s">
        <v>59</v>
      </c>
      <c r="H32">
        <v>2.1542134897160676</v>
      </c>
      <c r="I32">
        <v>0.54197891908723772</v>
      </c>
      <c r="J32">
        <v>1.8450902143650325</v>
      </c>
      <c r="K32">
        <v>1.7142857142857144</v>
      </c>
      <c r="L32">
        <v>-140</v>
      </c>
      <c r="M32">
        <v>0.58333333333333326</v>
      </c>
      <c r="P32">
        <v>-4.1354414246095539E-2</v>
      </c>
      <c r="Q32">
        <v>0</v>
      </c>
      <c r="R32">
        <v>0</v>
      </c>
      <c r="S32" t="s">
        <v>193</v>
      </c>
      <c r="T32">
        <v>0</v>
      </c>
      <c r="U32">
        <f t="shared" si="1"/>
        <v>0</v>
      </c>
      <c r="V32">
        <f t="shared" si="0"/>
        <v>0</v>
      </c>
    </row>
    <row r="33" spans="1:22" x14ac:dyDescent="0.35">
      <c r="A33">
        <v>1205</v>
      </c>
      <c r="B33" t="s">
        <v>151</v>
      </c>
      <c r="C33" t="s">
        <v>177</v>
      </c>
      <c r="D33">
        <v>4</v>
      </c>
      <c r="E33">
        <v>200</v>
      </c>
      <c r="F33" t="s">
        <v>131</v>
      </c>
      <c r="G33" t="s">
        <v>45</v>
      </c>
      <c r="H33">
        <v>2.1962974943986664</v>
      </c>
      <c r="I33">
        <v>0.39508697185162112</v>
      </c>
      <c r="J33">
        <v>2.5310882697887593</v>
      </c>
      <c r="K33">
        <v>3</v>
      </c>
      <c r="L33">
        <v>200</v>
      </c>
      <c r="M33">
        <v>0.33333333333333331</v>
      </c>
      <c r="P33">
        <v>6.1753638518287801E-2</v>
      </c>
      <c r="Q33">
        <v>3.3189071677181103</v>
      </c>
      <c r="R33">
        <v>3.9337709482511656</v>
      </c>
      <c r="S33" t="s">
        <v>192</v>
      </c>
      <c r="T33">
        <v>6.6378143354362198</v>
      </c>
      <c r="U33">
        <f t="shared" si="1"/>
        <v>6.6378143354362198</v>
      </c>
      <c r="V33">
        <f t="shared" si="0"/>
        <v>6.6378143354362198</v>
      </c>
    </row>
    <row r="34" spans="1:22" x14ac:dyDescent="0.35">
      <c r="A34">
        <v>1205</v>
      </c>
      <c r="B34" t="s">
        <v>153</v>
      </c>
      <c r="C34" t="s">
        <v>171</v>
      </c>
      <c r="D34">
        <v>3</v>
      </c>
      <c r="E34">
        <v>-220</v>
      </c>
      <c r="F34" t="s">
        <v>128</v>
      </c>
      <c r="G34" t="s">
        <v>40</v>
      </c>
      <c r="H34">
        <v>2.8062090306109568</v>
      </c>
      <c r="I34">
        <v>0.60472670222904501</v>
      </c>
      <c r="J34">
        <v>1.653639563647451</v>
      </c>
      <c r="K34">
        <v>1.4545454545454546</v>
      </c>
      <c r="L34">
        <v>-220</v>
      </c>
      <c r="M34">
        <v>0.6875</v>
      </c>
      <c r="P34">
        <v>-8.277329777095499E-2</v>
      </c>
      <c r="Q34">
        <v>0</v>
      </c>
      <c r="R34">
        <v>0</v>
      </c>
      <c r="S34" t="s">
        <v>193</v>
      </c>
      <c r="T34">
        <v>0</v>
      </c>
      <c r="U34">
        <f t="shared" si="1"/>
        <v>0</v>
      </c>
      <c r="V34">
        <f t="shared" si="0"/>
        <v>0</v>
      </c>
    </row>
    <row r="35" spans="1:22" x14ac:dyDescent="0.35">
      <c r="A35">
        <v>1205</v>
      </c>
      <c r="B35" t="s">
        <v>151</v>
      </c>
      <c r="C35" t="s">
        <v>160</v>
      </c>
      <c r="D35">
        <v>2</v>
      </c>
      <c r="E35">
        <v>108</v>
      </c>
      <c r="F35" t="s">
        <v>131</v>
      </c>
      <c r="G35" t="s">
        <v>68</v>
      </c>
      <c r="H35">
        <v>1.9559157907216582</v>
      </c>
      <c r="I35">
        <v>0.36427525426878121</v>
      </c>
      <c r="J35">
        <v>2.7451768635981737</v>
      </c>
      <c r="K35">
        <v>2.08</v>
      </c>
      <c r="L35">
        <v>108</v>
      </c>
      <c r="M35">
        <v>0.48076923076923073</v>
      </c>
      <c r="P35">
        <v>-0.11649397650044951</v>
      </c>
      <c r="Q35">
        <v>0</v>
      </c>
      <c r="R35">
        <v>0</v>
      </c>
      <c r="S35" t="s">
        <v>193</v>
      </c>
      <c r="T35">
        <v>0</v>
      </c>
      <c r="U35">
        <f t="shared" si="1"/>
        <v>0</v>
      </c>
      <c r="V35">
        <f t="shared" si="0"/>
        <v>0</v>
      </c>
    </row>
    <row r="36" spans="1:22" x14ac:dyDescent="0.35">
      <c r="A36">
        <v>1205</v>
      </c>
      <c r="B36" t="s">
        <v>153</v>
      </c>
      <c r="C36" t="s">
        <v>180</v>
      </c>
      <c r="D36">
        <v>3</v>
      </c>
      <c r="E36">
        <v>-118</v>
      </c>
      <c r="F36" t="s">
        <v>128</v>
      </c>
      <c r="G36" t="s">
        <v>56</v>
      </c>
      <c r="H36">
        <v>2.7260405209054035</v>
      </c>
      <c r="I36">
        <v>0.6355876420245421</v>
      </c>
      <c r="J36">
        <v>1.5733471418901295</v>
      </c>
      <c r="K36">
        <v>1.847457627118644</v>
      </c>
      <c r="L36">
        <v>-118</v>
      </c>
      <c r="M36">
        <v>0.54128440366972475</v>
      </c>
      <c r="P36">
        <v>9.4303238354817354E-2</v>
      </c>
      <c r="Q36">
        <v>7.365875854114261</v>
      </c>
      <c r="R36">
        <v>8.6491678567162253</v>
      </c>
      <c r="S36" t="s">
        <v>192</v>
      </c>
      <c r="T36">
        <v>6.242267672978187</v>
      </c>
      <c r="U36">
        <f t="shared" si="1"/>
        <v>6.242267672978187</v>
      </c>
      <c r="V36">
        <f t="shared" si="0"/>
        <v>6.242267672978187</v>
      </c>
    </row>
    <row r="37" spans="1:22" x14ac:dyDescent="0.35">
      <c r="A37">
        <v>1205</v>
      </c>
      <c r="B37" t="s">
        <v>151</v>
      </c>
      <c r="C37" t="s">
        <v>174</v>
      </c>
      <c r="D37">
        <v>3</v>
      </c>
      <c r="E37">
        <v>-105</v>
      </c>
      <c r="F37" t="s">
        <v>131</v>
      </c>
      <c r="G37" t="s">
        <v>46</v>
      </c>
      <c r="H37">
        <v>3.9829676048348981</v>
      </c>
      <c r="I37">
        <v>0.76421739474279504</v>
      </c>
      <c r="J37">
        <v>1.3085281843611527</v>
      </c>
      <c r="K37">
        <v>1.9523809523809523</v>
      </c>
      <c r="L37">
        <v>-105</v>
      </c>
      <c r="M37">
        <v>0.51219512195121952</v>
      </c>
      <c r="P37">
        <v>0.25202227279157552</v>
      </c>
      <c r="Q37">
        <v>18.511178965397828</v>
      </c>
      <c r="R37">
        <v>27.619483974510107</v>
      </c>
      <c r="S37" t="s">
        <v>192</v>
      </c>
      <c r="T37">
        <v>17.629694252759837</v>
      </c>
      <c r="U37">
        <f t="shared" si="1"/>
        <v>17.629694252759837</v>
      </c>
      <c r="V37">
        <f t="shared" si="0"/>
        <v>17.629694252759837</v>
      </c>
    </row>
    <row r="38" spans="1:22" x14ac:dyDescent="0.35">
      <c r="A38">
        <v>1205</v>
      </c>
      <c r="B38" t="s">
        <v>153</v>
      </c>
      <c r="C38" t="s">
        <v>163</v>
      </c>
      <c r="D38">
        <v>2</v>
      </c>
      <c r="E38">
        <v>-105</v>
      </c>
      <c r="F38" t="s">
        <v>128</v>
      </c>
      <c r="G38" t="s">
        <v>53</v>
      </c>
      <c r="H38">
        <v>2.1574450421254041</v>
      </c>
      <c r="I38">
        <v>0.23301529617146127</v>
      </c>
      <c r="J38">
        <v>4.291563757531879</v>
      </c>
      <c r="K38">
        <v>1.9523809523809523</v>
      </c>
      <c r="L38">
        <v>-105</v>
      </c>
      <c r="M38">
        <v>0.51219512195121952</v>
      </c>
      <c r="P38">
        <v>-0.27917982577975825</v>
      </c>
      <c r="Q38">
        <v>0</v>
      </c>
      <c r="R38">
        <v>0</v>
      </c>
      <c r="S38" t="s">
        <v>193</v>
      </c>
      <c r="T38">
        <v>0</v>
      </c>
      <c r="U38">
        <f t="shared" si="1"/>
        <v>0</v>
      </c>
      <c r="V38">
        <f t="shared" si="0"/>
        <v>0</v>
      </c>
    </row>
    <row r="39" spans="1:22" x14ac:dyDescent="0.35">
      <c r="A39">
        <v>1205</v>
      </c>
      <c r="B39" t="s">
        <v>151</v>
      </c>
      <c r="C39" t="s">
        <v>166</v>
      </c>
      <c r="D39">
        <v>3</v>
      </c>
      <c r="E39">
        <v>125</v>
      </c>
      <c r="F39" t="s">
        <v>131</v>
      </c>
      <c r="G39" t="s">
        <v>57</v>
      </c>
      <c r="H39">
        <v>2.4187275343803663</v>
      </c>
      <c r="I39">
        <v>0.56389104257289435</v>
      </c>
      <c r="J39">
        <v>1.773392241588462</v>
      </c>
      <c r="K39">
        <v>2.25</v>
      </c>
      <c r="L39">
        <v>125</v>
      </c>
      <c r="M39">
        <v>0.44444444444444442</v>
      </c>
      <c r="P39">
        <v>0.11944659812844993</v>
      </c>
      <c r="Q39">
        <v>7.7034911017395089</v>
      </c>
      <c r="R39">
        <v>9.7738416648245376</v>
      </c>
      <c r="S39" t="s">
        <v>192</v>
      </c>
      <c r="T39">
        <v>9.6293638771743844</v>
      </c>
      <c r="U39">
        <f t="shared" si="1"/>
        <v>9.6293638771743844</v>
      </c>
      <c r="V39">
        <f t="shared" si="0"/>
        <v>9.6293638771743844</v>
      </c>
    </row>
    <row r="40" spans="1:22" x14ac:dyDescent="0.35">
      <c r="A40">
        <v>1205</v>
      </c>
      <c r="B40" t="s">
        <v>153</v>
      </c>
      <c r="C40" t="s">
        <v>179</v>
      </c>
      <c r="D40">
        <v>2</v>
      </c>
      <c r="E40">
        <v>-135</v>
      </c>
      <c r="F40" t="s">
        <v>128</v>
      </c>
      <c r="G40" t="s">
        <v>43</v>
      </c>
      <c r="H40">
        <v>2.0677627877451332</v>
      </c>
      <c r="I40">
        <v>0.43605158888596884</v>
      </c>
      <c r="J40">
        <v>2.2933066304260352</v>
      </c>
      <c r="K40">
        <v>1.7407407407407407</v>
      </c>
      <c r="L40">
        <v>-135</v>
      </c>
      <c r="M40">
        <v>0.57446808510638303</v>
      </c>
      <c r="P40">
        <v>-0.13841649622041419</v>
      </c>
      <c r="Q40">
        <v>0</v>
      </c>
      <c r="R40">
        <v>0</v>
      </c>
      <c r="S40" t="s">
        <v>193</v>
      </c>
      <c r="T40">
        <v>0</v>
      </c>
      <c r="U40">
        <f t="shared" si="1"/>
        <v>0</v>
      </c>
      <c r="V40">
        <f t="shared" si="0"/>
        <v>0</v>
      </c>
    </row>
    <row r="41" spans="1:22" x14ac:dyDescent="0.35">
      <c r="A41">
        <v>1205</v>
      </c>
      <c r="B41" t="s">
        <v>151</v>
      </c>
      <c r="C41" t="s">
        <v>169</v>
      </c>
      <c r="D41">
        <v>5</v>
      </c>
      <c r="E41">
        <v>190</v>
      </c>
      <c r="F41" t="s">
        <v>131</v>
      </c>
      <c r="G41" t="s">
        <v>52</v>
      </c>
      <c r="H41">
        <v>3.6460436559904492</v>
      </c>
      <c r="I41">
        <v>0.732154046752305</v>
      </c>
      <c r="J41">
        <v>1.3658327840101523</v>
      </c>
      <c r="K41">
        <v>2.9</v>
      </c>
      <c r="L41">
        <v>190</v>
      </c>
      <c r="M41">
        <v>0.34482758620689657</v>
      </c>
      <c r="P41">
        <v>0.38732646054540842</v>
      </c>
      <c r="Q41">
        <v>21.181799794276003</v>
      </c>
      <c r="R41">
        <v>44.974187266941321</v>
      </c>
      <c r="S41" t="s">
        <v>192</v>
      </c>
      <c r="T41">
        <v>40.245419609124404</v>
      </c>
      <c r="U41">
        <f t="shared" si="1"/>
        <v>40.245419609124404</v>
      </c>
      <c r="V41">
        <f t="shared" si="0"/>
        <v>40.245419609124404</v>
      </c>
    </row>
    <row r="42" spans="1:22" x14ac:dyDescent="0.35">
      <c r="A42">
        <v>1205</v>
      </c>
      <c r="B42" t="s">
        <v>153</v>
      </c>
      <c r="C42" t="s">
        <v>162</v>
      </c>
      <c r="D42">
        <v>4</v>
      </c>
      <c r="E42">
        <v>-210</v>
      </c>
      <c r="F42" t="s">
        <v>128</v>
      </c>
      <c r="G42" t="s">
        <v>63</v>
      </c>
      <c r="H42">
        <v>2.1259907995595784</v>
      </c>
      <c r="I42">
        <v>0.26642810672090966</v>
      </c>
      <c r="J42">
        <v>3.7533577530824322</v>
      </c>
      <c r="K42">
        <v>1.4761904761904763</v>
      </c>
      <c r="L42">
        <v>-210</v>
      </c>
      <c r="M42">
        <v>0.67741935483870963</v>
      </c>
      <c r="P42">
        <v>-0.41099124811779997</v>
      </c>
      <c r="Q42">
        <v>0</v>
      </c>
      <c r="R42">
        <v>0</v>
      </c>
      <c r="S42" t="s">
        <v>193</v>
      </c>
      <c r="T42">
        <v>0</v>
      </c>
      <c r="U42">
        <f t="shared" si="1"/>
        <v>0</v>
      </c>
      <c r="V42">
        <f t="shared" si="0"/>
        <v>0</v>
      </c>
    </row>
    <row r="43" spans="1:22" x14ac:dyDescent="0.35">
      <c r="A43">
        <v>1205</v>
      </c>
      <c r="B43" t="s">
        <v>151</v>
      </c>
      <c r="C43" t="s">
        <v>159</v>
      </c>
      <c r="D43">
        <v>2</v>
      </c>
      <c r="E43">
        <v>140</v>
      </c>
      <c r="F43" t="s">
        <v>131</v>
      </c>
      <c r="G43" t="s">
        <v>52</v>
      </c>
      <c r="H43">
        <v>3.2678662071599955</v>
      </c>
      <c r="I43">
        <v>0.64406241614937332</v>
      </c>
      <c r="J43">
        <v>1.5526445495432795</v>
      </c>
      <c r="K43">
        <v>2.4</v>
      </c>
      <c r="L43">
        <v>140</v>
      </c>
      <c r="M43">
        <v>0.41666666666666669</v>
      </c>
      <c r="P43">
        <v>0.22739574948270663</v>
      </c>
      <c r="Q43">
        <v>13.967119318914527</v>
      </c>
      <c r="R43">
        <v>21.58967187644803</v>
      </c>
      <c r="S43" t="s">
        <v>192</v>
      </c>
      <c r="T43">
        <v>-13.967119318914527</v>
      </c>
      <c r="U43">
        <f t="shared" si="1"/>
        <v>-13.967119318914527</v>
      </c>
      <c r="V43">
        <f t="shared" si="0"/>
        <v>-13.967119318914527</v>
      </c>
    </row>
    <row r="44" spans="1:22" x14ac:dyDescent="0.35">
      <c r="A44">
        <v>1205</v>
      </c>
      <c r="B44" t="s">
        <v>153</v>
      </c>
      <c r="C44" t="s">
        <v>164</v>
      </c>
      <c r="D44">
        <v>3</v>
      </c>
      <c r="E44">
        <v>-155</v>
      </c>
      <c r="F44" t="s">
        <v>128</v>
      </c>
      <c r="G44" t="s">
        <v>42</v>
      </c>
      <c r="H44">
        <v>2.3691348476061691</v>
      </c>
      <c r="I44">
        <v>0.35530980325734174</v>
      </c>
      <c r="J44">
        <v>2.8144452836155658</v>
      </c>
      <c r="K44">
        <v>1.6451612903225805</v>
      </c>
      <c r="L44">
        <v>-155</v>
      </c>
      <c r="M44">
        <v>0.60784313725490202</v>
      </c>
      <c r="P44">
        <v>-0.25253333399756028</v>
      </c>
      <c r="Q44">
        <v>0</v>
      </c>
      <c r="R44">
        <v>0</v>
      </c>
      <c r="S44" t="s">
        <v>193</v>
      </c>
      <c r="T44">
        <v>0</v>
      </c>
      <c r="U44">
        <f t="shared" si="1"/>
        <v>0</v>
      </c>
      <c r="V44">
        <f t="shared" si="0"/>
        <v>0</v>
      </c>
    </row>
    <row r="45" spans="1:22" x14ac:dyDescent="0.35">
      <c r="A45">
        <v>1205</v>
      </c>
      <c r="B45" t="s">
        <v>151</v>
      </c>
      <c r="C45" t="s">
        <v>165</v>
      </c>
      <c r="D45">
        <v>2</v>
      </c>
      <c r="E45">
        <v>134</v>
      </c>
      <c r="F45" t="s">
        <v>131</v>
      </c>
      <c r="G45" t="s">
        <v>66</v>
      </c>
      <c r="H45">
        <v>2.4158753297362625</v>
      </c>
      <c r="I45">
        <v>0.54472920747850917</v>
      </c>
      <c r="J45">
        <v>1.8357745211219509</v>
      </c>
      <c r="K45">
        <v>2.34</v>
      </c>
      <c r="L45">
        <v>134</v>
      </c>
      <c r="M45">
        <v>0.42735042735042739</v>
      </c>
      <c r="P45">
        <v>0.11737878012808178</v>
      </c>
      <c r="Q45">
        <v>7.3441568827376216</v>
      </c>
      <c r="R45">
        <v>9.3613496144957171</v>
      </c>
      <c r="S45" t="s">
        <v>192</v>
      </c>
      <c r="T45">
        <v>-7.3441568827376216</v>
      </c>
      <c r="U45">
        <f t="shared" si="1"/>
        <v>-7.3441568827376216</v>
      </c>
      <c r="V45">
        <f t="shared" si="0"/>
        <v>-7.3441568827376216</v>
      </c>
    </row>
    <row r="46" spans="1:22" x14ac:dyDescent="0.35">
      <c r="A46">
        <v>1205</v>
      </c>
      <c r="B46" t="s">
        <v>153</v>
      </c>
      <c r="C46" t="s">
        <v>172</v>
      </c>
      <c r="D46">
        <v>3</v>
      </c>
      <c r="E46">
        <v>-148</v>
      </c>
      <c r="F46" t="s">
        <v>128</v>
      </c>
      <c r="G46" t="s">
        <v>47</v>
      </c>
      <c r="H46">
        <v>2.1680670653183465</v>
      </c>
      <c r="I46">
        <v>0.45520783495035078</v>
      </c>
      <c r="J46">
        <v>2.1967987438288916</v>
      </c>
      <c r="K46">
        <v>1.6756756756756757</v>
      </c>
      <c r="L46">
        <v>-148</v>
      </c>
      <c r="M46">
        <v>0.59677419354838712</v>
      </c>
      <c r="P46">
        <v>-0.14156635859803635</v>
      </c>
      <c r="Q46">
        <v>0</v>
      </c>
      <c r="R46">
        <v>0</v>
      </c>
      <c r="S46" t="s">
        <v>193</v>
      </c>
      <c r="T46">
        <v>0</v>
      </c>
      <c r="U46">
        <f t="shared" si="1"/>
        <v>0</v>
      </c>
      <c r="V46">
        <f t="shared" si="0"/>
        <v>0</v>
      </c>
    </row>
    <row r="47" spans="1:22" x14ac:dyDescent="0.35">
      <c r="A47">
        <v>1205</v>
      </c>
      <c r="B47" t="s">
        <v>151</v>
      </c>
      <c r="C47" t="s">
        <v>167</v>
      </c>
      <c r="D47">
        <v>3</v>
      </c>
      <c r="E47">
        <v>135</v>
      </c>
      <c r="F47" t="s">
        <v>131</v>
      </c>
      <c r="G47" t="s">
        <v>41</v>
      </c>
      <c r="H47">
        <v>2.4968540632859337</v>
      </c>
      <c r="I47">
        <v>0.5026693903811108</v>
      </c>
      <c r="J47">
        <v>1.9893791409137249</v>
      </c>
      <c r="K47">
        <v>2.35</v>
      </c>
      <c r="L47">
        <v>135</v>
      </c>
      <c r="M47">
        <v>0.42553191489361702</v>
      </c>
      <c r="P47">
        <v>7.7137475487493778E-2</v>
      </c>
      <c r="Q47">
        <v>4.8110604072791023</v>
      </c>
      <c r="R47">
        <v>5.6831760847321595</v>
      </c>
      <c r="S47" t="s">
        <v>192</v>
      </c>
      <c r="T47">
        <v>-4.8110604072791023</v>
      </c>
      <c r="U47">
        <f t="shared" si="1"/>
        <v>-4.8110604072791023</v>
      </c>
      <c r="V47">
        <f t="shared" si="0"/>
        <v>-4.8110604072791023</v>
      </c>
    </row>
    <row r="48" spans="1:22" x14ac:dyDescent="0.35">
      <c r="A48">
        <v>1205</v>
      </c>
      <c r="B48" t="s">
        <v>153</v>
      </c>
      <c r="C48" t="s">
        <v>173</v>
      </c>
      <c r="D48">
        <v>4</v>
      </c>
      <c r="E48">
        <v>-150</v>
      </c>
      <c r="F48" t="s">
        <v>128</v>
      </c>
      <c r="G48" t="s">
        <v>44</v>
      </c>
      <c r="H48">
        <v>2.4811729787727264</v>
      </c>
      <c r="I48">
        <v>0.49721198330242744</v>
      </c>
      <c r="J48">
        <v>2.0112145997731385</v>
      </c>
      <c r="K48">
        <v>1.6666666666666665</v>
      </c>
      <c r="L48">
        <v>-150</v>
      </c>
      <c r="M48">
        <v>0.60000000000000009</v>
      </c>
      <c r="P48">
        <v>-0.10278801669757265</v>
      </c>
      <c r="Q48">
        <v>0</v>
      </c>
      <c r="R48">
        <v>0</v>
      </c>
      <c r="S48" t="s">
        <v>193</v>
      </c>
      <c r="T48">
        <v>0</v>
      </c>
      <c r="U48">
        <f t="shared" si="1"/>
        <v>0</v>
      </c>
      <c r="V48">
        <f t="shared" si="0"/>
        <v>0</v>
      </c>
    </row>
    <row r="49" spans="1:22" x14ac:dyDescent="0.35">
      <c r="A49">
        <v>1206</v>
      </c>
      <c r="B49" t="s">
        <v>151</v>
      </c>
      <c r="C49" t="s">
        <v>177</v>
      </c>
      <c r="D49">
        <v>2</v>
      </c>
      <c r="E49">
        <v>122</v>
      </c>
      <c r="F49" t="s">
        <v>131</v>
      </c>
      <c r="G49" t="s">
        <v>45</v>
      </c>
      <c r="H49">
        <v>3.7027978301746836</v>
      </c>
      <c r="I49">
        <v>0.73813142953487798</v>
      </c>
      <c r="J49">
        <v>1.3547722803649405</v>
      </c>
      <c r="K49">
        <v>2.2199999999999998</v>
      </c>
      <c r="L49">
        <v>122</v>
      </c>
      <c r="M49">
        <v>0.45045045045045051</v>
      </c>
      <c r="P49">
        <v>0.28768097908442747</v>
      </c>
      <c r="Q49">
        <v>23.730542501702558</v>
      </c>
      <c r="R49">
        <v>38.886095558132148</v>
      </c>
      <c r="S49" t="s">
        <v>192</v>
      </c>
      <c r="T49">
        <v>28.951261852077117</v>
      </c>
      <c r="U49">
        <f t="shared" si="1"/>
        <v>28.951261852077117</v>
      </c>
      <c r="V49">
        <f t="shared" si="0"/>
        <v>28.951261852077117</v>
      </c>
    </row>
    <row r="50" spans="1:22" x14ac:dyDescent="0.35">
      <c r="A50">
        <v>1206</v>
      </c>
      <c r="B50" t="s">
        <v>153</v>
      </c>
      <c r="C50" t="s">
        <v>181</v>
      </c>
      <c r="D50">
        <v>1</v>
      </c>
      <c r="E50">
        <v>-132</v>
      </c>
      <c r="F50" t="s">
        <v>128</v>
      </c>
      <c r="G50" t="s">
        <v>54</v>
      </c>
      <c r="H50">
        <v>2.1296703395505001</v>
      </c>
      <c r="I50">
        <v>0.26027247559039607</v>
      </c>
      <c r="J50">
        <v>3.8421273618411749</v>
      </c>
      <c r="K50">
        <v>1.7575757575757576</v>
      </c>
      <c r="L50">
        <v>-132</v>
      </c>
      <c r="M50">
        <v>0.56896551724137934</v>
      </c>
      <c r="P50">
        <v>-0.30869304165098327</v>
      </c>
      <c r="Q50">
        <v>0</v>
      </c>
      <c r="R50">
        <v>0</v>
      </c>
      <c r="S50" t="s">
        <v>193</v>
      </c>
      <c r="T50">
        <v>0</v>
      </c>
      <c r="U50">
        <f t="shared" si="1"/>
        <v>0</v>
      </c>
      <c r="V50">
        <f t="shared" si="0"/>
        <v>0</v>
      </c>
    </row>
    <row r="51" spans="1:22" x14ac:dyDescent="0.35">
      <c r="A51">
        <v>1206</v>
      </c>
      <c r="B51" t="s">
        <v>151</v>
      </c>
      <c r="C51" t="s">
        <v>175</v>
      </c>
      <c r="D51">
        <v>0</v>
      </c>
      <c r="E51">
        <v>157</v>
      </c>
      <c r="F51" t="s">
        <v>131</v>
      </c>
      <c r="G51" t="s">
        <v>39</v>
      </c>
      <c r="H51">
        <v>2.021679706781399</v>
      </c>
      <c r="I51">
        <v>0.47754565962073892</v>
      </c>
      <c r="J51">
        <v>2.0940406008384373</v>
      </c>
      <c r="K51">
        <v>2.5700000000000003</v>
      </c>
      <c r="L51">
        <v>157</v>
      </c>
      <c r="M51">
        <v>0.3891050583657587</v>
      </c>
      <c r="P51">
        <v>8.8440601254980211E-2</v>
      </c>
      <c r="Q51">
        <v>6.5627903699083525</v>
      </c>
      <c r="R51">
        <v>8.0544623843068308</v>
      </c>
      <c r="S51" t="s">
        <v>192</v>
      </c>
      <c r="T51">
        <v>-6.5627903699083525</v>
      </c>
      <c r="U51">
        <f t="shared" si="1"/>
        <v>-6.5627903699083525</v>
      </c>
      <c r="V51">
        <f t="shared" si="0"/>
        <v>-6.5627903699083525</v>
      </c>
    </row>
    <row r="52" spans="1:22" x14ac:dyDescent="0.35">
      <c r="A52">
        <v>1206</v>
      </c>
      <c r="B52" t="s">
        <v>153</v>
      </c>
      <c r="C52" t="s">
        <v>168</v>
      </c>
      <c r="D52">
        <v>2</v>
      </c>
      <c r="E52">
        <v>-174</v>
      </c>
      <c r="F52" t="s">
        <v>128</v>
      </c>
      <c r="G52" t="s">
        <v>60</v>
      </c>
      <c r="H52">
        <v>2.1402663065627574</v>
      </c>
      <c r="I52">
        <v>0.52242973897867861</v>
      </c>
      <c r="J52">
        <v>1.9141329931847773</v>
      </c>
      <c r="K52">
        <v>1.5747126436781609</v>
      </c>
      <c r="L52">
        <v>-174</v>
      </c>
      <c r="M52">
        <v>0.63503649635036497</v>
      </c>
      <c r="P52">
        <v>-0.11260675737168635</v>
      </c>
      <c r="Q52">
        <v>0</v>
      </c>
      <c r="R52">
        <v>0</v>
      </c>
      <c r="S52" t="s">
        <v>193</v>
      </c>
      <c r="T52">
        <v>0</v>
      </c>
      <c r="U52">
        <f t="shared" si="1"/>
        <v>0</v>
      </c>
      <c r="V52">
        <f t="shared" si="0"/>
        <v>0</v>
      </c>
    </row>
    <row r="53" spans="1:22" x14ac:dyDescent="0.35">
      <c r="A53">
        <v>1206</v>
      </c>
      <c r="B53" t="s">
        <v>151</v>
      </c>
      <c r="C53" t="s">
        <v>163</v>
      </c>
      <c r="D53">
        <v>2</v>
      </c>
      <c r="E53">
        <v>-119</v>
      </c>
      <c r="F53" t="s">
        <v>131</v>
      </c>
      <c r="G53" t="s">
        <v>53</v>
      </c>
      <c r="H53">
        <v>3.4822000943848237</v>
      </c>
      <c r="I53">
        <v>0.68931674418927058</v>
      </c>
      <c r="J53">
        <v>1.4507118946836768</v>
      </c>
      <c r="K53">
        <v>1.8403361344537816</v>
      </c>
      <c r="L53">
        <v>-119</v>
      </c>
      <c r="M53">
        <v>0.54337899543378987</v>
      </c>
      <c r="P53">
        <v>0.14593774875548071</v>
      </c>
      <c r="Q53">
        <v>14.488223340930706</v>
      </c>
      <c r="R53">
        <v>18.379390860488741</v>
      </c>
      <c r="S53" t="s">
        <v>192</v>
      </c>
      <c r="T53">
        <v>12.174977597420764</v>
      </c>
      <c r="U53">
        <f t="shared" si="1"/>
        <v>12.174977597420764</v>
      </c>
      <c r="V53">
        <f t="shared" si="0"/>
        <v>12.174977597420764</v>
      </c>
    </row>
    <row r="54" spans="1:22" x14ac:dyDescent="0.35">
      <c r="A54">
        <v>1206</v>
      </c>
      <c r="B54" t="s">
        <v>153</v>
      </c>
      <c r="C54" t="s">
        <v>166</v>
      </c>
      <c r="D54">
        <v>1</v>
      </c>
      <c r="E54">
        <v>109</v>
      </c>
      <c r="F54" t="s">
        <v>128</v>
      </c>
      <c r="G54" t="s">
        <v>57</v>
      </c>
      <c r="H54">
        <v>2.2698602235422913</v>
      </c>
      <c r="I54">
        <v>0.30967787104788869</v>
      </c>
      <c r="J54">
        <v>3.2291619566364163</v>
      </c>
      <c r="K54">
        <v>2.09</v>
      </c>
      <c r="L54">
        <v>109</v>
      </c>
      <c r="M54">
        <v>0.47846889952153115</v>
      </c>
      <c r="P54">
        <v>-0.16879102847364247</v>
      </c>
      <c r="Q54">
        <v>0</v>
      </c>
      <c r="R54">
        <v>0</v>
      </c>
      <c r="S54" t="s">
        <v>193</v>
      </c>
      <c r="T54">
        <v>0</v>
      </c>
      <c r="U54">
        <f t="shared" si="1"/>
        <v>0</v>
      </c>
      <c r="V54">
        <f t="shared" si="0"/>
        <v>0</v>
      </c>
    </row>
    <row r="55" spans="1:22" x14ac:dyDescent="0.35">
      <c r="A55">
        <v>1206</v>
      </c>
      <c r="B55" t="s">
        <v>151</v>
      </c>
      <c r="C55" t="s">
        <v>183</v>
      </c>
      <c r="D55">
        <v>1</v>
      </c>
      <c r="E55">
        <v>150</v>
      </c>
      <c r="F55" t="s">
        <v>131</v>
      </c>
      <c r="G55" t="s">
        <v>51</v>
      </c>
      <c r="H55">
        <v>1.9744050583299448</v>
      </c>
      <c r="I55">
        <v>0.40448990951717034</v>
      </c>
      <c r="J55">
        <v>2.472249557952324</v>
      </c>
      <c r="K55">
        <v>2.5</v>
      </c>
      <c r="L55">
        <v>150</v>
      </c>
      <c r="M55">
        <v>0.4</v>
      </c>
      <c r="P55">
        <v>4.4899095171703207E-3</v>
      </c>
      <c r="Q55">
        <v>0.33922645460251366</v>
      </c>
      <c r="R55">
        <v>0.34303419482000314</v>
      </c>
      <c r="S55" t="s">
        <v>193</v>
      </c>
      <c r="T55">
        <v>-0.33922645460251366</v>
      </c>
      <c r="U55">
        <f t="shared" si="1"/>
        <v>0</v>
      </c>
      <c r="V55">
        <f t="shared" si="0"/>
        <v>0</v>
      </c>
    </row>
    <row r="56" spans="1:22" x14ac:dyDescent="0.35">
      <c r="A56">
        <v>1206</v>
      </c>
      <c r="B56" t="s">
        <v>153</v>
      </c>
      <c r="C56" t="s">
        <v>158</v>
      </c>
      <c r="D56">
        <v>2</v>
      </c>
      <c r="E56">
        <v>-165</v>
      </c>
      <c r="F56" t="s">
        <v>128</v>
      </c>
      <c r="G56" t="s">
        <v>49</v>
      </c>
      <c r="H56">
        <v>2.5003685423372697</v>
      </c>
      <c r="I56">
        <v>0.59544100510252773</v>
      </c>
      <c r="J56">
        <v>1.6794275023565299</v>
      </c>
      <c r="K56">
        <v>1.606060606060606</v>
      </c>
      <c r="L56">
        <v>-165</v>
      </c>
      <c r="M56">
        <v>0.62264150943396235</v>
      </c>
      <c r="P56">
        <v>-2.7200504331434616E-2</v>
      </c>
      <c r="Q56">
        <v>0</v>
      </c>
      <c r="R56">
        <v>0</v>
      </c>
      <c r="S56" t="s">
        <v>193</v>
      </c>
      <c r="T56">
        <v>0</v>
      </c>
      <c r="U56">
        <f t="shared" si="1"/>
        <v>0</v>
      </c>
      <c r="V56">
        <f t="shared" si="0"/>
        <v>0</v>
      </c>
    </row>
    <row r="57" spans="1:22" x14ac:dyDescent="0.35">
      <c r="A57">
        <v>1206</v>
      </c>
      <c r="B57" t="s">
        <v>151</v>
      </c>
      <c r="C57" t="s">
        <v>155</v>
      </c>
      <c r="D57">
        <v>3</v>
      </c>
      <c r="E57">
        <v>-150</v>
      </c>
      <c r="F57" t="s">
        <v>131</v>
      </c>
      <c r="G57" t="s">
        <v>67</v>
      </c>
      <c r="H57">
        <v>3.7573885224278207</v>
      </c>
      <c r="I57">
        <v>0.74617747171629845</v>
      </c>
      <c r="J57">
        <v>1.3401637517947025</v>
      </c>
      <c r="K57">
        <v>1.6666666666666665</v>
      </c>
      <c r="L57">
        <v>-150</v>
      </c>
      <c r="M57">
        <v>0.60000000000000009</v>
      </c>
      <c r="P57">
        <v>0.14617747171629836</v>
      </c>
      <c r="Q57">
        <v>16.566235449772599</v>
      </c>
      <c r="R57">
        <v>20.60225280628039</v>
      </c>
      <c r="S57" t="s">
        <v>192</v>
      </c>
      <c r="T57">
        <v>11.044156966515065</v>
      </c>
      <c r="U57">
        <f t="shared" si="1"/>
        <v>11.044156966515065</v>
      </c>
      <c r="V57">
        <f t="shared" si="0"/>
        <v>11.044156966515065</v>
      </c>
    </row>
    <row r="58" spans="1:22" x14ac:dyDescent="0.35">
      <c r="A58">
        <v>1206</v>
      </c>
      <c r="B58" t="s">
        <v>153</v>
      </c>
      <c r="C58" t="s">
        <v>176</v>
      </c>
      <c r="D58">
        <v>2</v>
      </c>
      <c r="E58">
        <v>135</v>
      </c>
      <c r="F58" t="s">
        <v>128</v>
      </c>
      <c r="G58" t="s">
        <v>38</v>
      </c>
      <c r="H58">
        <v>2.1170766876412368</v>
      </c>
      <c r="I58">
        <v>0.25203897051012192</v>
      </c>
      <c r="J58">
        <v>3.9676403929758153</v>
      </c>
      <c r="K58">
        <v>2.35</v>
      </c>
      <c r="L58">
        <v>135</v>
      </c>
      <c r="M58">
        <v>0.42553191489361702</v>
      </c>
      <c r="P58">
        <v>-0.17349294438349511</v>
      </c>
      <c r="Q58">
        <v>0</v>
      </c>
      <c r="R58">
        <v>0</v>
      </c>
      <c r="S58" t="s">
        <v>193</v>
      </c>
      <c r="T58">
        <v>0</v>
      </c>
      <c r="U58">
        <f t="shared" si="1"/>
        <v>0</v>
      </c>
      <c r="V58">
        <f t="shared" si="0"/>
        <v>0</v>
      </c>
    </row>
    <row r="59" spans="1:22" x14ac:dyDescent="0.35">
      <c r="A59">
        <v>1207</v>
      </c>
      <c r="B59" t="s">
        <v>151</v>
      </c>
      <c r="C59" t="s">
        <v>152</v>
      </c>
      <c r="D59">
        <v>3</v>
      </c>
      <c r="E59">
        <v>180</v>
      </c>
      <c r="F59" t="s">
        <v>131</v>
      </c>
      <c r="G59" t="s">
        <v>58</v>
      </c>
      <c r="H59">
        <v>1.6533324562371907</v>
      </c>
      <c r="I59">
        <v>0.29942664234697669</v>
      </c>
      <c r="J59">
        <v>3.3397161727552498</v>
      </c>
      <c r="K59">
        <v>2.8</v>
      </c>
      <c r="L59">
        <v>180</v>
      </c>
      <c r="M59">
        <v>0.35714285714285715</v>
      </c>
      <c r="P59">
        <v>-5.7716214795880461E-2</v>
      </c>
      <c r="Q59">
        <v>0</v>
      </c>
      <c r="R59">
        <v>0</v>
      </c>
      <c r="S59" t="s">
        <v>193</v>
      </c>
      <c r="T59">
        <v>0</v>
      </c>
      <c r="U59">
        <f t="shared" si="1"/>
        <v>0</v>
      </c>
      <c r="V59">
        <f t="shared" si="0"/>
        <v>0</v>
      </c>
    </row>
    <row r="60" spans="1:22" x14ac:dyDescent="0.35">
      <c r="A60">
        <v>1207</v>
      </c>
      <c r="B60" t="s">
        <v>153</v>
      </c>
      <c r="C60" t="s">
        <v>178</v>
      </c>
      <c r="D60">
        <v>4</v>
      </c>
      <c r="E60">
        <v>-200</v>
      </c>
      <c r="F60" t="s">
        <v>128</v>
      </c>
      <c r="G60" t="s">
        <v>59</v>
      </c>
      <c r="H60">
        <v>2.7870595351887708</v>
      </c>
      <c r="I60">
        <v>0.70041454264661496</v>
      </c>
      <c r="J60">
        <v>1.4277259238812479</v>
      </c>
      <c r="K60">
        <v>1.5</v>
      </c>
      <c r="L60">
        <v>-200</v>
      </c>
      <c r="M60">
        <v>0.66666666666666663</v>
      </c>
      <c r="P60">
        <v>3.3747875979948327E-2</v>
      </c>
      <c r="Q60">
        <v>5.4145245305475518</v>
      </c>
      <c r="R60">
        <v>5.6886175840685116</v>
      </c>
      <c r="S60" t="s">
        <v>192</v>
      </c>
      <c r="T60">
        <v>2.7072622652737754</v>
      </c>
      <c r="U60">
        <f t="shared" si="1"/>
        <v>2.7072622652737754</v>
      </c>
      <c r="V60">
        <f t="shared" si="0"/>
        <v>2.7072622652737754</v>
      </c>
    </row>
    <row r="61" spans="1:22" x14ac:dyDescent="0.35">
      <c r="A61">
        <v>1207</v>
      </c>
      <c r="B61" t="s">
        <v>151</v>
      </c>
      <c r="C61" t="s">
        <v>167</v>
      </c>
      <c r="D61">
        <v>5</v>
      </c>
      <c r="E61">
        <v>140</v>
      </c>
      <c r="F61" t="s">
        <v>131</v>
      </c>
      <c r="G61" t="s">
        <v>41</v>
      </c>
      <c r="H61">
        <v>2.3406119173793907</v>
      </c>
      <c r="I61">
        <v>0.42920120881836388</v>
      </c>
      <c r="J61">
        <v>2.3299095609565157</v>
      </c>
      <c r="K61">
        <v>2.4</v>
      </c>
      <c r="L61">
        <v>140</v>
      </c>
      <c r="M61">
        <v>0.41666666666666669</v>
      </c>
      <c r="P61">
        <v>1.2534542151697192E-2</v>
      </c>
      <c r="Q61">
        <v>1.149170073482074</v>
      </c>
      <c r="R61">
        <v>1.183740443223346</v>
      </c>
      <c r="S61" t="s">
        <v>193</v>
      </c>
      <c r="T61">
        <v>-1.149170073482074</v>
      </c>
      <c r="U61">
        <f t="shared" si="1"/>
        <v>0</v>
      </c>
      <c r="V61">
        <f t="shared" si="0"/>
        <v>0</v>
      </c>
    </row>
    <row r="62" spans="1:22" x14ac:dyDescent="0.35">
      <c r="A62">
        <v>1207</v>
      </c>
      <c r="B62" t="s">
        <v>153</v>
      </c>
      <c r="C62" t="s">
        <v>157</v>
      </c>
      <c r="D62">
        <v>6</v>
      </c>
      <c r="E62">
        <v>-155</v>
      </c>
      <c r="F62" t="s">
        <v>128</v>
      </c>
      <c r="G62" t="s">
        <v>65</v>
      </c>
      <c r="H62">
        <v>2.7533358051228984</v>
      </c>
      <c r="I62">
        <v>0.57062241711785855</v>
      </c>
      <c r="J62">
        <v>1.7524723354733822</v>
      </c>
      <c r="K62">
        <v>1.6451612903225805</v>
      </c>
      <c r="L62">
        <v>-155</v>
      </c>
      <c r="M62">
        <v>0.60784313725490202</v>
      </c>
      <c r="P62">
        <v>-3.7220720137043473E-2</v>
      </c>
      <c r="Q62">
        <v>0</v>
      </c>
      <c r="R62">
        <v>0</v>
      </c>
      <c r="S62" t="s">
        <v>195</v>
      </c>
      <c r="T62">
        <v>0</v>
      </c>
      <c r="U62">
        <f t="shared" si="1"/>
        <v>0</v>
      </c>
      <c r="V62">
        <f t="shared" si="0"/>
        <v>0</v>
      </c>
    </row>
    <row r="63" spans="1:22" x14ac:dyDescent="0.35">
      <c r="A63">
        <v>1207</v>
      </c>
      <c r="B63" t="s">
        <v>151</v>
      </c>
      <c r="C63" t="s">
        <v>174</v>
      </c>
      <c r="D63">
        <v>4</v>
      </c>
      <c r="E63">
        <v>130</v>
      </c>
      <c r="F63" t="s">
        <v>131</v>
      </c>
      <c r="G63" t="s">
        <v>46</v>
      </c>
      <c r="H63">
        <v>2.3444669028646548</v>
      </c>
      <c r="I63">
        <v>0.50939536051871026</v>
      </c>
      <c r="J63">
        <v>1.9631117153907993</v>
      </c>
      <c r="K63">
        <v>2.2999999999999998</v>
      </c>
      <c r="L63">
        <v>130</v>
      </c>
      <c r="M63">
        <v>0.43478260869565222</v>
      </c>
      <c r="P63">
        <v>7.4612751823058043E-2</v>
      </c>
      <c r="Q63">
        <v>7.0597637485095008</v>
      </c>
      <c r="R63">
        <v>8.271285069652512</v>
      </c>
      <c r="S63" t="s">
        <v>192</v>
      </c>
      <c r="T63">
        <v>9.1776928730623517</v>
      </c>
      <c r="U63">
        <f t="shared" si="1"/>
        <v>9.1776928730623517</v>
      </c>
      <c r="V63">
        <f t="shared" si="0"/>
        <v>9.1776928730623517</v>
      </c>
    </row>
    <row r="64" spans="1:22" x14ac:dyDescent="0.35">
      <c r="A64">
        <v>1207</v>
      </c>
      <c r="B64" t="s">
        <v>153</v>
      </c>
      <c r="C64" t="s">
        <v>171</v>
      </c>
      <c r="D64">
        <v>1</v>
      </c>
      <c r="E64">
        <v>-140</v>
      </c>
      <c r="F64" t="s">
        <v>128</v>
      </c>
      <c r="G64" t="s">
        <v>40</v>
      </c>
      <c r="H64">
        <v>2.2920831464475597</v>
      </c>
      <c r="I64">
        <v>0.49054107580834105</v>
      </c>
      <c r="J64">
        <v>2.0385652686722393</v>
      </c>
      <c r="K64">
        <v>1.7142857142857144</v>
      </c>
      <c r="L64">
        <v>-140</v>
      </c>
      <c r="M64">
        <v>0.58333333333333326</v>
      </c>
      <c r="P64">
        <v>-9.2792257524992205E-2</v>
      </c>
      <c r="Q64">
        <v>0</v>
      </c>
      <c r="R64">
        <v>0</v>
      </c>
      <c r="S64" t="s">
        <v>195</v>
      </c>
      <c r="T64">
        <v>0</v>
      </c>
      <c r="U64">
        <f t="shared" si="1"/>
        <v>0</v>
      </c>
      <c r="V64">
        <f t="shared" si="0"/>
        <v>0</v>
      </c>
    </row>
    <row r="65" spans="1:22" x14ac:dyDescent="0.35">
      <c r="A65">
        <v>1207</v>
      </c>
      <c r="B65" t="s">
        <v>151</v>
      </c>
      <c r="C65" t="s">
        <v>169</v>
      </c>
      <c r="D65">
        <v>2</v>
      </c>
      <c r="E65">
        <v>135</v>
      </c>
      <c r="F65" t="s">
        <v>131</v>
      </c>
      <c r="G65" t="s">
        <v>52</v>
      </c>
      <c r="H65">
        <v>3.692773896720452</v>
      </c>
      <c r="I65">
        <v>0.66749261385487257</v>
      </c>
      <c r="J65">
        <v>1.4981439183646483</v>
      </c>
      <c r="K65">
        <v>2.35</v>
      </c>
      <c r="L65">
        <v>135</v>
      </c>
      <c r="M65">
        <v>0.42553191489361702</v>
      </c>
      <c r="P65">
        <v>0.24196069896125555</v>
      </c>
      <c r="Q65">
        <v>22.525350147515791</v>
      </c>
      <c r="R65">
        <v>35.333436392709658</v>
      </c>
      <c r="S65" t="s">
        <v>192</v>
      </c>
      <c r="T65">
        <v>-22.525350147515791</v>
      </c>
      <c r="U65">
        <f t="shared" si="1"/>
        <v>-22.525350147515791</v>
      </c>
      <c r="V65">
        <f t="shared" si="0"/>
        <v>-22.525350147515791</v>
      </c>
    </row>
    <row r="66" spans="1:22" x14ac:dyDescent="0.35">
      <c r="A66">
        <v>1207</v>
      </c>
      <c r="B66" t="s">
        <v>153</v>
      </c>
      <c r="C66" t="s">
        <v>164</v>
      </c>
      <c r="D66">
        <v>6</v>
      </c>
      <c r="E66">
        <v>-150</v>
      </c>
      <c r="F66" t="s">
        <v>128</v>
      </c>
      <c r="G66" t="s">
        <v>42</v>
      </c>
      <c r="H66">
        <v>2.5788414168936744</v>
      </c>
      <c r="I66">
        <v>0.3308780771974964</v>
      </c>
      <c r="J66">
        <v>3.0222612766306494</v>
      </c>
      <c r="K66">
        <v>1.6666666666666665</v>
      </c>
      <c r="L66">
        <v>-150</v>
      </c>
      <c r="M66">
        <v>0.60000000000000009</v>
      </c>
      <c r="P66">
        <v>-0.26912192280250369</v>
      </c>
      <c r="Q66">
        <v>0</v>
      </c>
      <c r="R66">
        <v>0</v>
      </c>
      <c r="S66" t="s">
        <v>195</v>
      </c>
      <c r="T66">
        <v>0</v>
      </c>
      <c r="U66">
        <f t="shared" si="1"/>
        <v>0</v>
      </c>
      <c r="V66">
        <f t="shared" si="0"/>
        <v>0</v>
      </c>
    </row>
    <row r="67" spans="1:22" x14ac:dyDescent="0.35">
      <c r="A67">
        <v>1207</v>
      </c>
      <c r="B67" t="s">
        <v>151</v>
      </c>
      <c r="C67" t="s">
        <v>159</v>
      </c>
      <c r="D67">
        <v>1</v>
      </c>
      <c r="E67">
        <v>175</v>
      </c>
      <c r="F67" t="s">
        <v>131</v>
      </c>
      <c r="G67" t="s">
        <v>61</v>
      </c>
      <c r="H67">
        <v>2.9649588887094844</v>
      </c>
      <c r="I67">
        <v>0.59086889211987503</v>
      </c>
      <c r="J67">
        <v>1.6924228256665792</v>
      </c>
      <c r="K67">
        <v>2.75</v>
      </c>
      <c r="L67">
        <v>175</v>
      </c>
      <c r="M67">
        <v>0.36363636363636365</v>
      </c>
      <c r="P67">
        <v>0.22723252848351139</v>
      </c>
      <c r="Q67">
        <v>19.096675685219211</v>
      </c>
      <c r="R67">
        <v>31.02998691456958</v>
      </c>
      <c r="S67" t="s">
        <v>192</v>
      </c>
      <c r="T67">
        <v>-19.096675685219211</v>
      </c>
      <c r="U67">
        <f t="shared" si="1"/>
        <v>-19.096675685219211</v>
      </c>
      <c r="V67">
        <f t="shared" si="0"/>
        <v>-19.096675685219211</v>
      </c>
    </row>
    <row r="68" spans="1:22" x14ac:dyDescent="0.35">
      <c r="A68">
        <v>1207</v>
      </c>
      <c r="B68" t="s">
        <v>153</v>
      </c>
      <c r="C68" t="s">
        <v>162</v>
      </c>
      <c r="D68">
        <v>7</v>
      </c>
      <c r="E68">
        <v>-195</v>
      </c>
      <c r="F68" t="s">
        <v>128</v>
      </c>
      <c r="G68" t="s">
        <v>63</v>
      </c>
      <c r="H68">
        <v>2.4176919628525155</v>
      </c>
      <c r="I68">
        <v>0.40882011558980014</v>
      </c>
      <c r="J68">
        <v>2.4460635909691266</v>
      </c>
      <c r="K68">
        <v>1.5128205128205128</v>
      </c>
      <c r="L68">
        <v>-195</v>
      </c>
      <c r="M68">
        <v>0.66101694915254239</v>
      </c>
      <c r="P68">
        <v>-0.25219683356274225</v>
      </c>
      <c r="Q68">
        <v>0</v>
      </c>
      <c r="R68">
        <v>0</v>
      </c>
      <c r="S68" t="s">
        <v>195</v>
      </c>
      <c r="T68">
        <v>0</v>
      </c>
      <c r="U68">
        <f t="shared" ref="U68:U131" si="2">IF(AND(R68&gt;3.5,R68&lt;50),T68,0)</f>
        <v>0</v>
      </c>
      <c r="V68">
        <f t="shared" ref="V68:V131" si="3">IF(S68="BET",T68,0)</f>
        <v>0</v>
      </c>
    </row>
    <row r="69" spans="1:22" x14ac:dyDescent="0.35">
      <c r="A69">
        <v>1207</v>
      </c>
      <c r="B69" t="s">
        <v>151</v>
      </c>
      <c r="C69" t="s">
        <v>179</v>
      </c>
      <c r="D69">
        <v>1</v>
      </c>
      <c r="E69">
        <v>145</v>
      </c>
      <c r="F69" t="s">
        <v>131</v>
      </c>
      <c r="G69" t="s">
        <v>43</v>
      </c>
      <c r="H69">
        <v>2.6491114120383745</v>
      </c>
      <c r="I69">
        <v>0.4687903966472991</v>
      </c>
      <c r="J69">
        <v>2.1331494995456652</v>
      </c>
      <c r="K69">
        <v>2.4500000000000002</v>
      </c>
      <c r="L69">
        <v>145</v>
      </c>
      <c r="M69">
        <v>0.4081632653061224</v>
      </c>
      <c r="P69">
        <v>6.0627131341176699E-2</v>
      </c>
      <c r="Q69">
        <v>5.4784503243077491</v>
      </c>
      <c r="R69">
        <v>6.2922000063346477</v>
      </c>
      <c r="S69" t="s">
        <v>192</v>
      </c>
      <c r="T69">
        <v>-5.4784503243077491</v>
      </c>
      <c r="U69">
        <f t="shared" si="2"/>
        <v>-5.4784503243077491</v>
      </c>
      <c r="V69">
        <f t="shared" si="3"/>
        <v>-5.4784503243077491</v>
      </c>
    </row>
    <row r="70" spans="1:22" x14ac:dyDescent="0.35">
      <c r="A70">
        <v>1207</v>
      </c>
      <c r="B70" t="s">
        <v>153</v>
      </c>
      <c r="C70" t="s">
        <v>161</v>
      </c>
      <c r="D70">
        <v>4</v>
      </c>
      <c r="E70">
        <v>-160</v>
      </c>
      <c r="F70" t="s">
        <v>128</v>
      </c>
      <c r="G70" t="s">
        <v>50</v>
      </c>
      <c r="H70">
        <v>2.8363324221594235</v>
      </c>
      <c r="I70">
        <v>0.53092505797873857</v>
      </c>
      <c r="J70">
        <v>1.8835049974982458</v>
      </c>
      <c r="K70">
        <v>1.625</v>
      </c>
      <c r="L70">
        <v>-160</v>
      </c>
      <c r="M70">
        <v>0.61538461538461542</v>
      </c>
      <c r="P70">
        <v>-8.4459557405876851E-2</v>
      </c>
      <c r="Q70">
        <v>0</v>
      </c>
      <c r="R70">
        <v>0</v>
      </c>
      <c r="S70" t="s">
        <v>195</v>
      </c>
      <c r="T70">
        <v>0</v>
      </c>
      <c r="U70">
        <f t="shared" si="2"/>
        <v>0</v>
      </c>
      <c r="V70">
        <f t="shared" si="3"/>
        <v>0</v>
      </c>
    </row>
    <row r="71" spans="1:22" x14ac:dyDescent="0.35">
      <c r="A71">
        <v>1207</v>
      </c>
      <c r="B71" t="s">
        <v>151</v>
      </c>
      <c r="C71" t="s">
        <v>168</v>
      </c>
      <c r="D71">
        <v>5</v>
      </c>
      <c r="E71">
        <v>-185</v>
      </c>
      <c r="F71" t="s">
        <v>131</v>
      </c>
      <c r="G71" t="s">
        <v>60</v>
      </c>
      <c r="H71">
        <v>3.4525786713192619</v>
      </c>
      <c r="I71">
        <v>0.81656098381152986</v>
      </c>
      <c r="J71">
        <v>1.2246482746851515</v>
      </c>
      <c r="K71">
        <v>1.5405405405405406</v>
      </c>
      <c r="L71">
        <v>-185</v>
      </c>
      <c r="M71">
        <v>0.64912280701754388</v>
      </c>
      <c r="P71">
        <v>0.16743817679398598</v>
      </c>
      <c r="Q71">
        <v>25.520664184402861</v>
      </c>
      <c r="R71">
        <v>32.103599547961117</v>
      </c>
      <c r="S71" t="s">
        <v>192</v>
      </c>
      <c r="T71">
        <v>13.794953613190735</v>
      </c>
      <c r="U71">
        <f t="shared" si="2"/>
        <v>13.794953613190735</v>
      </c>
      <c r="V71">
        <f t="shared" si="3"/>
        <v>13.794953613190735</v>
      </c>
    </row>
    <row r="72" spans="1:22" x14ac:dyDescent="0.35">
      <c r="A72">
        <v>1207</v>
      </c>
      <c r="B72" t="s">
        <v>153</v>
      </c>
      <c r="C72" t="s">
        <v>182</v>
      </c>
      <c r="D72">
        <v>3</v>
      </c>
      <c r="E72">
        <v>165</v>
      </c>
      <c r="F72" t="s">
        <v>128</v>
      </c>
      <c r="G72" t="s">
        <v>48</v>
      </c>
      <c r="H72">
        <v>1.4367714025474612</v>
      </c>
      <c r="I72">
        <v>0.1825234290843526</v>
      </c>
      <c r="J72">
        <v>5.4787487010111633</v>
      </c>
      <c r="K72">
        <v>2.65</v>
      </c>
      <c r="L72">
        <v>165</v>
      </c>
      <c r="M72">
        <v>0.37735849056603776</v>
      </c>
      <c r="P72">
        <v>-0.19483506148168517</v>
      </c>
      <c r="Q72">
        <v>0</v>
      </c>
      <c r="R72">
        <v>0</v>
      </c>
      <c r="S72" t="s">
        <v>195</v>
      </c>
      <c r="T72">
        <v>0</v>
      </c>
      <c r="U72">
        <f t="shared" si="2"/>
        <v>0</v>
      </c>
      <c r="V72">
        <f t="shared" si="3"/>
        <v>0</v>
      </c>
    </row>
    <row r="73" spans="1:22" x14ac:dyDescent="0.35">
      <c r="A73">
        <v>1207</v>
      </c>
      <c r="B73" t="s">
        <v>151</v>
      </c>
      <c r="C73" t="s">
        <v>154</v>
      </c>
      <c r="D73">
        <v>5</v>
      </c>
      <c r="E73">
        <v>103</v>
      </c>
      <c r="F73" t="s">
        <v>131</v>
      </c>
      <c r="G73" t="s">
        <v>64</v>
      </c>
      <c r="H73">
        <v>2.3301999794216175</v>
      </c>
      <c r="I73">
        <v>0.43038923608686086</v>
      </c>
      <c r="J73">
        <v>2.3234781824287554</v>
      </c>
      <c r="K73">
        <v>2.0300000000000002</v>
      </c>
      <c r="L73">
        <v>103</v>
      </c>
      <c r="M73">
        <v>0.4926108374384236</v>
      </c>
      <c r="P73">
        <v>-6.2221601351562739E-2</v>
      </c>
      <c r="Q73">
        <v>0</v>
      </c>
      <c r="R73">
        <v>0</v>
      </c>
      <c r="S73" t="s">
        <v>193</v>
      </c>
      <c r="T73">
        <v>0</v>
      </c>
      <c r="U73">
        <f t="shared" si="2"/>
        <v>0</v>
      </c>
      <c r="V73">
        <f t="shared" si="3"/>
        <v>0</v>
      </c>
    </row>
    <row r="74" spans="1:22" x14ac:dyDescent="0.35">
      <c r="A74">
        <v>1207</v>
      </c>
      <c r="B74" t="s">
        <v>153</v>
      </c>
      <c r="C74" t="s">
        <v>156</v>
      </c>
      <c r="D74">
        <v>2</v>
      </c>
      <c r="E74">
        <v>-113</v>
      </c>
      <c r="F74" t="s">
        <v>128</v>
      </c>
      <c r="G74" t="s">
        <v>62</v>
      </c>
      <c r="H74">
        <v>2.7348505552670876</v>
      </c>
      <c r="I74">
        <v>0.56944366079873387</v>
      </c>
      <c r="J74">
        <v>1.7560999776472066</v>
      </c>
      <c r="K74">
        <v>1.8849557522123894</v>
      </c>
      <c r="L74">
        <v>-113</v>
      </c>
      <c r="M74">
        <v>0.53051643192488263</v>
      </c>
      <c r="P74">
        <v>3.892722887385125E-2</v>
      </c>
      <c r="Q74">
        <v>4.4343066033532699</v>
      </c>
      <c r="R74">
        <v>4.759678745775437</v>
      </c>
      <c r="S74" t="s">
        <v>192</v>
      </c>
      <c r="T74">
        <v>-4.4343066033532699</v>
      </c>
      <c r="U74">
        <f t="shared" si="2"/>
        <v>-4.4343066033532699</v>
      </c>
      <c r="V74">
        <f t="shared" si="3"/>
        <v>-4.4343066033532699</v>
      </c>
    </row>
    <row r="75" spans="1:22" x14ac:dyDescent="0.35">
      <c r="A75">
        <v>1207</v>
      </c>
      <c r="B75" t="s">
        <v>151</v>
      </c>
      <c r="C75" t="s">
        <v>181</v>
      </c>
      <c r="D75">
        <v>4</v>
      </c>
      <c r="E75">
        <v>230</v>
      </c>
      <c r="F75" t="s">
        <v>131</v>
      </c>
      <c r="G75" t="s">
        <v>54</v>
      </c>
      <c r="H75">
        <v>2.527232304651331</v>
      </c>
      <c r="I75">
        <v>0.52672694984061807</v>
      </c>
      <c r="J75">
        <v>1.8985168697037227</v>
      </c>
      <c r="K75">
        <v>3.3</v>
      </c>
      <c r="L75">
        <v>230</v>
      </c>
      <c r="M75">
        <v>0.30303030303030304</v>
      </c>
      <c r="P75">
        <v>0.22369664681031504</v>
      </c>
      <c r="Q75">
        <v>17.164778536283144</v>
      </c>
      <c r="R75">
        <v>29.835799762250225</v>
      </c>
      <c r="S75" t="s">
        <v>192</v>
      </c>
      <c r="T75">
        <v>-17.164778536283144</v>
      </c>
      <c r="U75">
        <f t="shared" si="2"/>
        <v>-17.164778536283144</v>
      </c>
      <c r="V75">
        <f t="shared" si="3"/>
        <v>-17.164778536283144</v>
      </c>
    </row>
    <row r="76" spans="1:22" x14ac:dyDescent="0.35">
      <c r="A76">
        <v>1207</v>
      </c>
      <c r="B76" t="s">
        <v>153</v>
      </c>
      <c r="C76" t="s">
        <v>170</v>
      </c>
      <c r="D76">
        <v>6</v>
      </c>
      <c r="E76">
        <v>-260</v>
      </c>
      <c r="F76" t="s">
        <v>128</v>
      </c>
      <c r="G76" t="s">
        <v>55</v>
      </c>
      <c r="H76">
        <v>2.3743645094225125</v>
      </c>
      <c r="I76">
        <v>0.47316617146060341</v>
      </c>
      <c r="J76">
        <v>2.1134224302492464</v>
      </c>
      <c r="K76">
        <v>1.3846153846153846</v>
      </c>
      <c r="L76">
        <v>-260</v>
      </c>
      <c r="M76">
        <v>0.72222222222222221</v>
      </c>
      <c r="P76">
        <v>-0.2490560507616188</v>
      </c>
      <c r="Q76">
        <v>0</v>
      </c>
      <c r="R76">
        <v>0</v>
      </c>
      <c r="S76" t="s">
        <v>195</v>
      </c>
      <c r="T76">
        <v>0</v>
      </c>
      <c r="U76">
        <f t="shared" si="2"/>
        <v>0</v>
      </c>
      <c r="V76">
        <f t="shared" si="3"/>
        <v>0</v>
      </c>
    </row>
    <row r="77" spans="1:22" x14ac:dyDescent="0.35">
      <c r="A77">
        <v>1207</v>
      </c>
      <c r="B77" t="s">
        <v>151</v>
      </c>
      <c r="C77" t="s">
        <v>180</v>
      </c>
      <c r="D77">
        <v>1</v>
      </c>
      <c r="E77">
        <v>132</v>
      </c>
      <c r="F77" t="s">
        <v>131</v>
      </c>
      <c r="G77" t="s">
        <v>56</v>
      </c>
      <c r="H77">
        <v>1.9009693081643861</v>
      </c>
      <c r="I77">
        <v>0.50188919149136091</v>
      </c>
      <c r="J77">
        <v>1.9924716789148331</v>
      </c>
      <c r="K77">
        <v>2.3200000000000003</v>
      </c>
      <c r="L77">
        <v>132</v>
      </c>
      <c r="M77">
        <v>0.43103448275862066</v>
      </c>
      <c r="P77">
        <v>7.0854708732740246E-2</v>
      </c>
      <c r="Q77">
        <v>6.6600179125670138</v>
      </c>
      <c r="R77">
        <v>7.7548111326584772</v>
      </c>
      <c r="S77" t="s">
        <v>192</v>
      </c>
      <c r="T77">
        <v>-6.6600179125670138</v>
      </c>
      <c r="U77">
        <f t="shared" si="2"/>
        <v>-6.6600179125670138</v>
      </c>
      <c r="V77">
        <f t="shared" si="3"/>
        <v>-6.6600179125670138</v>
      </c>
    </row>
    <row r="78" spans="1:22" x14ac:dyDescent="0.35">
      <c r="A78">
        <v>1207</v>
      </c>
      <c r="B78" t="s">
        <v>153</v>
      </c>
      <c r="C78" t="s">
        <v>172</v>
      </c>
      <c r="D78">
        <v>3</v>
      </c>
      <c r="E78">
        <v>-145</v>
      </c>
      <c r="F78" t="s">
        <v>128</v>
      </c>
      <c r="G78" t="s">
        <v>47</v>
      </c>
      <c r="H78">
        <v>1.8913865237813006</v>
      </c>
      <c r="I78">
        <v>0.49810065231040274</v>
      </c>
      <c r="J78">
        <v>2.007626360980606</v>
      </c>
      <c r="K78">
        <v>1.6896551724137931</v>
      </c>
      <c r="L78">
        <v>-145</v>
      </c>
      <c r="M78">
        <v>0.59183673469387754</v>
      </c>
      <c r="P78">
        <v>-9.3736082383474806E-2</v>
      </c>
      <c r="Q78">
        <v>0</v>
      </c>
      <c r="R78">
        <v>0</v>
      </c>
      <c r="S78" t="s">
        <v>195</v>
      </c>
      <c r="T78">
        <v>0</v>
      </c>
      <c r="U78">
        <f t="shared" si="2"/>
        <v>0</v>
      </c>
      <c r="V78">
        <f t="shared" si="3"/>
        <v>0</v>
      </c>
    </row>
    <row r="79" spans="1:22" x14ac:dyDescent="0.35">
      <c r="A79">
        <v>1207</v>
      </c>
      <c r="B79" t="s">
        <v>151</v>
      </c>
      <c r="C79" t="s">
        <v>183</v>
      </c>
      <c r="D79">
        <v>3</v>
      </c>
      <c r="E79">
        <v>180</v>
      </c>
      <c r="F79" t="s">
        <v>131</v>
      </c>
      <c r="G79" t="s">
        <v>51</v>
      </c>
      <c r="H79">
        <v>1.6264265176600858</v>
      </c>
      <c r="I79">
        <v>0.30921674999443599</v>
      </c>
      <c r="J79">
        <v>3.2339774608522789</v>
      </c>
      <c r="K79">
        <v>2.8</v>
      </c>
      <c r="L79">
        <v>180</v>
      </c>
      <c r="M79">
        <v>0.35714285714285715</v>
      </c>
      <c r="P79">
        <v>-4.792610714842116E-2</v>
      </c>
      <c r="Q79">
        <v>0</v>
      </c>
      <c r="R79">
        <v>0</v>
      </c>
      <c r="S79" t="s">
        <v>193</v>
      </c>
      <c r="T79">
        <v>0</v>
      </c>
      <c r="U79">
        <f t="shared" si="2"/>
        <v>0</v>
      </c>
      <c r="V79">
        <f t="shared" si="3"/>
        <v>0</v>
      </c>
    </row>
    <row r="80" spans="1:22" x14ac:dyDescent="0.35">
      <c r="A80">
        <v>1207</v>
      </c>
      <c r="B80" t="s">
        <v>153</v>
      </c>
      <c r="C80" t="s">
        <v>173</v>
      </c>
      <c r="D80">
        <v>4</v>
      </c>
      <c r="E80">
        <v>-200</v>
      </c>
      <c r="F80" t="s">
        <v>128</v>
      </c>
      <c r="G80" t="s">
        <v>44</v>
      </c>
      <c r="H80">
        <v>2.6859154822299707</v>
      </c>
      <c r="I80">
        <v>0.6906672684599533</v>
      </c>
      <c r="J80">
        <v>1.4478751863104724</v>
      </c>
      <c r="K80">
        <v>1.5</v>
      </c>
      <c r="L80">
        <v>-200</v>
      </c>
      <c r="M80">
        <v>0.66666666666666663</v>
      </c>
      <c r="P80">
        <v>2.4000601793286669E-2</v>
      </c>
      <c r="Q80">
        <v>3.8506674385927768</v>
      </c>
      <c r="R80">
        <v>3.9892949423408375</v>
      </c>
      <c r="S80" t="s">
        <v>192</v>
      </c>
      <c r="T80">
        <v>1.9253337192963889</v>
      </c>
      <c r="U80">
        <f t="shared" si="2"/>
        <v>1.9253337192963889</v>
      </c>
      <c r="V80">
        <f t="shared" si="3"/>
        <v>1.9253337192963889</v>
      </c>
    </row>
    <row r="81" spans="1:22" x14ac:dyDescent="0.35">
      <c r="A81">
        <v>1208</v>
      </c>
      <c r="B81" t="s">
        <v>151</v>
      </c>
      <c r="C81" t="s">
        <v>176</v>
      </c>
      <c r="D81">
        <v>2</v>
      </c>
      <c r="E81">
        <v>135</v>
      </c>
      <c r="F81" t="s">
        <v>131</v>
      </c>
      <c r="G81" t="s">
        <v>38</v>
      </c>
      <c r="H81">
        <v>1.702263053318489</v>
      </c>
      <c r="I81">
        <v>0.41654536765001804</v>
      </c>
      <c r="J81">
        <v>2.4006988857938789</v>
      </c>
      <c r="K81">
        <v>2.35</v>
      </c>
      <c r="L81">
        <v>135</v>
      </c>
      <c r="M81">
        <v>0.42553191489361702</v>
      </c>
      <c r="P81">
        <v>-8.9865472435989857E-3</v>
      </c>
      <c r="Q81">
        <v>0</v>
      </c>
      <c r="R81">
        <v>0</v>
      </c>
      <c r="S81" t="s">
        <v>193</v>
      </c>
      <c r="T81">
        <v>0</v>
      </c>
      <c r="U81">
        <f t="shared" si="2"/>
        <v>0</v>
      </c>
      <c r="V81">
        <f t="shared" si="3"/>
        <v>0</v>
      </c>
    </row>
    <row r="82" spans="1:22" x14ac:dyDescent="0.35">
      <c r="A82">
        <v>1208</v>
      </c>
      <c r="B82" t="s">
        <v>153</v>
      </c>
      <c r="C82" t="s">
        <v>165</v>
      </c>
      <c r="D82">
        <v>3</v>
      </c>
      <c r="E82">
        <v>-150</v>
      </c>
      <c r="F82" t="s">
        <v>128</v>
      </c>
      <c r="G82" t="s">
        <v>66</v>
      </c>
      <c r="H82">
        <v>2.1289525954021098</v>
      </c>
      <c r="I82">
        <v>0.58343808141302389</v>
      </c>
      <c r="J82">
        <v>1.71397793846111</v>
      </c>
      <c r="K82">
        <v>1.6666666666666665</v>
      </c>
      <c r="L82">
        <v>-150</v>
      </c>
      <c r="M82">
        <v>0.60000000000000009</v>
      </c>
      <c r="P82">
        <v>-1.6561918586976199E-2</v>
      </c>
      <c r="Q82">
        <v>0</v>
      </c>
      <c r="R82">
        <v>0</v>
      </c>
      <c r="S82" t="s">
        <v>195</v>
      </c>
      <c r="T82">
        <v>0</v>
      </c>
      <c r="U82">
        <f t="shared" si="2"/>
        <v>0</v>
      </c>
      <c r="V82">
        <f t="shared" si="3"/>
        <v>0</v>
      </c>
    </row>
    <row r="83" spans="1:22" x14ac:dyDescent="0.35">
      <c r="A83">
        <v>1208</v>
      </c>
      <c r="B83" t="s">
        <v>151</v>
      </c>
      <c r="C83" t="s">
        <v>159</v>
      </c>
      <c r="D83">
        <v>1</v>
      </c>
      <c r="E83">
        <v>131</v>
      </c>
      <c r="F83" t="s">
        <v>131</v>
      </c>
      <c r="G83" t="s">
        <v>61</v>
      </c>
      <c r="H83">
        <v>2.5531827379054435</v>
      </c>
      <c r="I83">
        <v>0.42582770740557896</v>
      </c>
      <c r="J83">
        <v>2.3483676205398996</v>
      </c>
      <c r="K83">
        <v>2.31</v>
      </c>
      <c r="L83">
        <v>131</v>
      </c>
      <c r="M83">
        <v>0.4329004329004329</v>
      </c>
      <c r="P83">
        <v>-7.0727254948539375E-3</v>
      </c>
      <c r="Q83">
        <v>0</v>
      </c>
      <c r="R83">
        <v>0</v>
      </c>
      <c r="S83" t="s">
        <v>193</v>
      </c>
      <c r="T83">
        <v>0</v>
      </c>
      <c r="U83">
        <f t="shared" si="2"/>
        <v>0</v>
      </c>
      <c r="V83">
        <f t="shared" si="3"/>
        <v>0</v>
      </c>
    </row>
    <row r="84" spans="1:22" x14ac:dyDescent="0.35">
      <c r="A84">
        <v>1208</v>
      </c>
      <c r="B84" t="s">
        <v>153</v>
      </c>
      <c r="C84" t="s">
        <v>161</v>
      </c>
      <c r="D84">
        <v>5</v>
      </c>
      <c r="E84">
        <v>-142</v>
      </c>
      <c r="F84" t="s">
        <v>128</v>
      </c>
      <c r="G84" t="s">
        <v>50</v>
      </c>
      <c r="H84">
        <v>3.0037637315780938</v>
      </c>
      <c r="I84">
        <v>0.57380285887322113</v>
      </c>
      <c r="J84">
        <v>1.7427588317766556</v>
      </c>
      <c r="K84">
        <v>1.704225352112676</v>
      </c>
      <c r="L84">
        <v>-142</v>
      </c>
      <c r="M84">
        <v>0.58677685950413228</v>
      </c>
      <c r="P84">
        <v>-1.2974000630911142E-2</v>
      </c>
      <c r="Q84">
        <v>0</v>
      </c>
      <c r="R84">
        <v>0</v>
      </c>
      <c r="S84" t="s">
        <v>195</v>
      </c>
      <c r="T84">
        <v>0</v>
      </c>
      <c r="U84">
        <f t="shared" si="2"/>
        <v>0</v>
      </c>
      <c r="V84">
        <f t="shared" si="3"/>
        <v>0</v>
      </c>
    </row>
    <row r="85" spans="1:22" x14ac:dyDescent="0.35">
      <c r="A85">
        <v>1208</v>
      </c>
      <c r="B85" t="s">
        <v>151</v>
      </c>
      <c r="C85" t="s">
        <v>175</v>
      </c>
      <c r="D85">
        <v>4</v>
      </c>
      <c r="E85">
        <v>100</v>
      </c>
      <c r="F85" t="s">
        <v>131</v>
      </c>
      <c r="G85" t="s">
        <v>39</v>
      </c>
      <c r="H85">
        <v>2.5512150157862505</v>
      </c>
      <c r="I85">
        <v>0.67364639882011856</v>
      </c>
      <c r="J85">
        <v>1.484458317822948</v>
      </c>
      <c r="K85">
        <v>2</v>
      </c>
      <c r="L85">
        <v>100</v>
      </c>
      <c r="M85">
        <v>0.5</v>
      </c>
      <c r="P85">
        <v>0.17364639882011856</v>
      </c>
      <c r="Q85">
        <v>15.516180904336696</v>
      </c>
      <c r="R85">
        <v>20.904838779295812</v>
      </c>
      <c r="S85" t="s">
        <v>192</v>
      </c>
      <c r="T85">
        <v>15.516180904336696</v>
      </c>
      <c r="U85">
        <f t="shared" si="2"/>
        <v>15.516180904336696</v>
      </c>
      <c r="V85">
        <f t="shared" si="3"/>
        <v>15.516180904336696</v>
      </c>
    </row>
    <row r="86" spans="1:22" x14ac:dyDescent="0.35">
      <c r="A86">
        <v>1208</v>
      </c>
      <c r="B86" t="s">
        <v>153</v>
      </c>
      <c r="C86" t="s">
        <v>177</v>
      </c>
      <c r="D86">
        <v>3</v>
      </c>
      <c r="E86">
        <v>-110</v>
      </c>
      <c r="F86" t="s">
        <v>128</v>
      </c>
      <c r="G86" t="s">
        <v>45</v>
      </c>
      <c r="H86">
        <v>1.6084598431243109</v>
      </c>
      <c r="I86">
        <v>0.32627896278107504</v>
      </c>
      <c r="J86">
        <v>3.064862017080074</v>
      </c>
      <c r="K86">
        <v>1.9090909090909092</v>
      </c>
      <c r="L86">
        <v>-110</v>
      </c>
      <c r="M86">
        <v>0.52380952380952384</v>
      </c>
      <c r="P86">
        <v>-0.19753056102844879</v>
      </c>
      <c r="Q86">
        <v>0</v>
      </c>
      <c r="R86">
        <v>0</v>
      </c>
      <c r="S86" t="s">
        <v>195</v>
      </c>
      <c r="T86">
        <v>0</v>
      </c>
      <c r="U86">
        <f t="shared" si="2"/>
        <v>0</v>
      </c>
      <c r="V86">
        <f t="shared" si="3"/>
        <v>0</v>
      </c>
    </row>
    <row r="87" spans="1:22" x14ac:dyDescent="0.35">
      <c r="A87">
        <v>1208</v>
      </c>
      <c r="B87" t="s">
        <v>151</v>
      </c>
      <c r="C87" t="s">
        <v>166</v>
      </c>
      <c r="D87">
        <v>5</v>
      </c>
      <c r="E87">
        <v>180</v>
      </c>
      <c r="F87" t="s">
        <v>131</v>
      </c>
      <c r="G87" t="s">
        <v>57</v>
      </c>
      <c r="H87">
        <v>3.1302173690423931</v>
      </c>
      <c r="I87">
        <v>0.59494632581757712</v>
      </c>
      <c r="J87">
        <v>1.6808238938626889</v>
      </c>
      <c r="K87">
        <v>2.8</v>
      </c>
      <c r="L87">
        <v>180</v>
      </c>
      <c r="M87">
        <v>0.35714285714285715</v>
      </c>
      <c r="P87">
        <v>0.23780346867471996</v>
      </c>
      <c r="Q87">
        <v>16.526952123490695</v>
      </c>
      <c r="R87">
        <v>27.531418439934619</v>
      </c>
      <c r="S87" t="s">
        <v>192</v>
      </c>
      <c r="T87">
        <v>29.74851382228325</v>
      </c>
      <c r="U87">
        <f t="shared" si="2"/>
        <v>29.74851382228325</v>
      </c>
      <c r="V87">
        <f t="shared" si="3"/>
        <v>29.74851382228325</v>
      </c>
    </row>
    <row r="88" spans="1:22" x14ac:dyDescent="0.35">
      <c r="A88">
        <v>1208</v>
      </c>
      <c r="B88" t="s">
        <v>153</v>
      </c>
      <c r="C88" t="s">
        <v>160</v>
      </c>
      <c r="D88">
        <v>0</v>
      </c>
      <c r="E88">
        <v>-200</v>
      </c>
      <c r="F88" t="s">
        <v>128</v>
      </c>
      <c r="G88" t="s">
        <v>68</v>
      </c>
      <c r="H88">
        <v>2.542635255193638</v>
      </c>
      <c r="I88">
        <v>0.40456706280900867</v>
      </c>
      <c r="J88">
        <v>2.4717780855830278</v>
      </c>
      <c r="K88">
        <v>1.5</v>
      </c>
      <c r="L88">
        <v>-200</v>
      </c>
      <c r="M88">
        <v>0.66666666666666663</v>
      </c>
      <c r="P88">
        <v>-0.26209960385765796</v>
      </c>
      <c r="Q88">
        <v>0</v>
      </c>
      <c r="R88">
        <v>0</v>
      </c>
      <c r="S88" t="s">
        <v>195</v>
      </c>
      <c r="T88">
        <v>0</v>
      </c>
      <c r="U88">
        <f t="shared" si="2"/>
        <v>0</v>
      </c>
      <c r="V88">
        <f t="shared" si="3"/>
        <v>0</v>
      </c>
    </row>
    <row r="89" spans="1:22" x14ac:dyDescent="0.35">
      <c r="A89">
        <v>1208</v>
      </c>
      <c r="B89" t="s">
        <v>151</v>
      </c>
      <c r="C89" t="s">
        <v>167</v>
      </c>
      <c r="D89">
        <v>3</v>
      </c>
      <c r="E89">
        <v>160</v>
      </c>
      <c r="F89" t="s">
        <v>131</v>
      </c>
      <c r="G89" t="s">
        <v>41</v>
      </c>
      <c r="H89">
        <v>3.0350445181519912</v>
      </c>
      <c r="I89">
        <v>0.68041229707597251</v>
      </c>
      <c r="J89">
        <v>1.469697129663051</v>
      </c>
      <c r="K89">
        <v>2.6</v>
      </c>
      <c r="L89">
        <v>160</v>
      </c>
      <c r="M89">
        <v>0.38461538461538458</v>
      </c>
      <c r="P89">
        <v>0.29579691246058792</v>
      </c>
      <c r="Q89">
        <v>21.475142756445504</v>
      </c>
      <c r="R89">
        <v>37.99107315366355</v>
      </c>
      <c r="S89" t="s">
        <v>192</v>
      </c>
      <c r="T89">
        <v>34.360228410312814</v>
      </c>
      <c r="U89">
        <f t="shared" si="2"/>
        <v>34.360228410312814</v>
      </c>
      <c r="V89">
        <f t="shared" si="3"/>
        <v>34.360228410312814</v>
      </c>
    </row>
    <row r="90" spans="1:22" x14ac:dyDescent="0.35">
      <c r="A90">
        <v>1208</v>
      </c>
      <c r="B90" t="s">
        <v>153</v>
      </c>
      <c r="C90" t="s">
        <v>158</v>
      </c>
      <c r="D90">
        <v>2</v>
      </c>
      <c r="E90">
        <v>-180</v>
      </c>
      <c r="F90" t="s">
        <v>128</v>
      </c>
      <c r="G90" t="s">
        <v>49</v>
      </c>
      <c r="H90">
        <v>1.962505408100081</v>
      </c>
      <c r="I90">
        <v>0.31925881132872769</v>
      </c>
      <c r="J90">
        <v>3.132254974696191</v>
      </c>
      <c r="K90">
        <v>1.5555555555555556</v>
      </c>
      <c r="L90">
        <v>-180</v>
      </c>
      <c r="M90">
        <v>0.64285714285714279</v>
      </c>
      <c r="P90">
        <v>-0.32359833152841511</v>
      </c>
      <c r="Q90">
        <v>0</v>
      </c>
      <c r="R90">
        <v>0</v>
      </c>
      <c r="S90" t="s">
        <v>195</v>
      </c>
      <c r="T90">
        <v>0</v>
      </c>
      <c r="U90">
        <f t="shared" si="2"/>
        <v>0</v>
      </c>
      <c r="V90">
        <f t="shared" si="3"/>
        <v>0</v>
      </c>
    </row>
    <row r="91" spans="1:22" x14ac:dyDescent="0.35">
      <c r="A91">
        <v>1209</v>
      </c>
      <c r="B91" t="s">
        <v>151</v>
      </c>
      <c r="C91" t="s">
        <v>179</v>
      </c>
      <c r="D91">
        <v>5</v>
      </c>
      <c r="E91">
        <v>205</v>
      </c>
      <c r="F91" t="s">
        <v>131</v>
      </c>
      <c r="G91" t="s">
        <v>43</v>
      </c>
      <c r="H91">
        <v>2.0166334347131247</v>
      </c>
      <c r="I91">
        <v>0.2966971654285197</v>
      </c>
      <c r="J91">
        <v>3.3704400193904784</v>
      </c>
      <c r="K91">
        <v>3.05</v>
      </c>
      <c r="L91">
        <v>205</v>
      </c>
      <c r="M91">
        <v>0.32786885245901642</v>
      </c>
      <c r="P91">
        <v>-3.117168703049672E-2</v>
      </c>
      <c r="Q91">
        <v>0</v>
      </c>
      <c r="R91">
        <v>0</v>
      </c>
      <c r="S91" t="s">
        <v>193</v>
      </c>
      <c r="T91">
        <v>0</v>
      </c>
      <c r="U91">
        <f t="shared" si="2"/>
        <v>0</v>
      </c>
      <c r="V91">
        <f t="shared" si="3"/>
        <v>0</v>
      </c>
    </row>
    <row r="92" spans="1:22" x14ac:dyDescent="0.35">
      <c r="A92">
        <v>1209</v>
      </c>
      <c r="B92" t="s">
        <v>153</v>
      </c>
      <c r="C92" t="s">
        <v>155</v>
      </c>
      <c r="D92">
        <v>2</v>
      </c>
      <c r="E92">
        <v>-230</v>
      </c>
      <c r="F92" t="s">
        <v>128</v>
      </c>
      <c r="G92" t="s">
        <v>67</v>
      </c>
      <c r="H92">
        <v>3.2665627942220343</v>
      </c>
      <c r="I92">
        <v>0.70270634591675007</v>
      </c>
      <c r="J92">
        <v>1.4230695450677919</v>
      </c>
      <c r="K92">
        <v>1.4347826086956521</v>
      </c>
      <c r="L92">
        <v>-230</v>
      </c>
      <c r="M92">
        <v>0.69696969696969702</v>
      </c>
      <c r="P92">
        <v>5.7366489470530579E-3</v>
      </c>
      <c r="Q92">
        <v>1.1171149756680478</v>
      </c>
      <c r="R92">
        <v>1.1263097749208222</v>
      </c>
      <c r="S92" t="s">
        <v>195</v>
      </c>
      <c r="T92">
        <v>-1.1171149756680478</v>
      </c>
      <c r="U92">
        <f t="shared" si="2"/>
        <v>0</v>
      </c>
      <c r="V92">
        <f t="shared" si="3"/>
        <v>0</v>
      </c>
    </row>
    <row r="93" spans="1:22" x14ac:dyDescent="0.35">
      <c r="A93">
        <v>1209</v>
      </c>
      <c r="B93" t="s">
        <v>151</v>
      </c>
      <c r="C93" t="s">
        <v>180</v>
      </c>
      <c r="D93">
        <v>5</v>
      </c>
      <c r="E93">
        <v>155</v>
      </c>
      <c r="F93" t="s">
        <v>131</v>
      </c>
      <c r="G93" t="s">
        <v>56</v>
      </c>
      <c r="H93">
        <v>2.2748954889442725</v>
      </c>
      <c r="I93">
        <v>0.50624303114362301</v>
      </c>
      <c r="J93">
        <v>1.9753358337416724</v>
      </c>
      <c r="K93">
        <v>2.5499999999999998</v>
      </c>
      <c r="L93">
        <v>155</v>
      </c>
      <c r="M93">
        <v>0.39215686274509809</v>
      </c>
      <c r="P93">
        <v>0.11408616839852492</v>
      </c>
      <c r="Q93">
        <v>11.075596786769244</v>
      </c>
      <c r="R93">
        <v>14.297706407099515</v>
      </c>
      <c r="S93" t="s">
        <v>192</v>
      </c>
      <c r="T93">
        <v>17.167175019492326</v>
      </c>
      <c r="U93">
        <f t="shared" si="2"/>
        <v>17.167175019492326</v>
      </c>
      <c r="V93">
        <f t="shared" si="3"/>
        <v>17.167175019492326</v>
      </c>
    </row>
    <row r="94" spans="1:22" x14ac:dyDescent="0.35">
      <c r="A94">
        <v>1209</v>
      </c>
      <c r="B94" t="s">
        <v>153</v>
      </c>
      <c r="C94" t="s">
        <v>162</v>
      </c>
      <c r="D94">
        <v>1</v>
      </c>
      <c r="E94">
        <v>-170</v>
      </c>
      <c r="F94" t="s">
        <v>128</v>
      </c>
      <c r="G94" t="s">
        <v>63</v>
      </c>
      <c r="H94">
        <v>2.2404992557475221</v>
      </c>
      <c r="I94">
        <v>0.4937069184940775</v>
      </c>
      <c r="J94">
        <v>2.0254931874364566</v>
      </c>
      <c r="K94">
        <v>1.5882352941176472</v>
      </c>
      <c r="L94">
        <v>-170</v>
      </c>
      <c r="M94">
        <v>0.62962962962962954</v>
      </c>
      <c r="P94">
        <v>-0.13592271113555204</v>
      </c>
      <c r="Q94">
        <v>0</v>
      </c>
      <c r="R94">
        <v>0</v>
      </c>
      <c r="S94" t="s">
        <v>195</v>
      </c>
      <c r="T94">
        <v>0</v>
      </c>
      <c r="U94">
        <f t="shared" si="2"/>
        <v>0</v>
      </c>
      <c r="V94">
        <f t="shared" si="3"/>
        <v>0</v>
      </c>
    </row>
    <row r="95" spans="1:22" x14ac:dyDescent="0.35">
      <c r="A95">
        <v>1209</v>
      </c>
      <c r="B95" t="s">
        <v>151</v>
      </c>
      <c r="C95" t="s">
        <v>171</v>
      </c>
      <c r="D95">
        <v>2</v>
      </c>
      <c r="E95">
        <v>-174</v>
      </c>
      <c r="F95" t="s">
        <v>131</v>
      </c>
      <c r="G95" t="s">
        <v>40</v>
      </c>
      <c r="H95">
        <v>2.7483470585247027</v>
      </c>
      <c r="I95">
        <v>0.56559443110134677</v>
      </c>
      <c r="J95">
        <v>1.7680513544886967</v>
      </c>
      <c r="K95">
        <v>1.5747126436781609</v>
      </c>
      <c r="L95">
        <v>-174</v>
      </c>
      <c r="M95">
        <v>0.63503649635036497</v>
      </c>
      <c r="P95">
        <v>-6.9442065249018192E-2</v>
      </c>
      <c r="Q95">
        <v>0</v>
      </c>
      <c r="R95">
        <v>0</v>
      </c>
      <c r="S95" t="s">
        <v>193</v>
      </c>
      <c r="T95">
        <v>0</v>
      </c>
      <c r="U95">
        <f t="shared" si="2"/>
        <v>0</v>
      </c>
      <c r="V95">
        <f t="shared" si="3"/>
        <v>0</v>
      </c>
    </row>
    <row r="96" spans="1:22" x14ac:dyDescent="0.35">
      <c r="A96">
        <v>1209</v>
      </c>
      <c r="B96" t="s">
        <v>153</v>
      </c>
      <c r="C96" t="s">
        <v>152</v>
      </c>
      <c r="D96">
        <v>5</v>
      </c>
      <c r="E96">
        <v>157</v>
      </c>
      <c r="F96" t="s">
        <v>128</v>
      </c>
      <c r="G96" t="s">
        <v>58</v>
      </c>
      <c r="H96">
        <v>2.3645280230983721</v>
      </c>
      <c r="I96">
        <v>0.43422811760155977</v>
      </c>
      <c r="J96">
        <v>2.3029370035350469</v>
      </c>
      <c r="K96">
        <v>2.5700000000000003</v>
      </c>
      <c r="L96">
        <v>157</v>
      </c>
      <c r="M96">
        <v>0.3891050583657587</v>
      </c>
      <c r="P96">
        <v>4.5123059235801066E-2</v>
      </c>
      <c r="Q96">
        <v>4.3587069087492729</v>
      </c>
      <c r="R96">
        <v>4.8641698571391938</v>
      </c>
      <c r="S96" t="s">
        <v>192</v>
      </c>
      <c r="T96">
        <v>6.8431698467363589</v>
      </c>
      <c r="U96">
        <f t="shared" si="2"/>
        <v>6.8431698467363589</v>
      </c>
      <c r="V96">
        <f t="shared" si="3"/>
        <v>6.8431698467363589</v>
      </c>
    </row>
    <row r="97" spans="1:22" x14ac:dyDescent="0.35">
      <c r="A97">
        <v>1209</v>
      </c>
      <c r="B97" t="s">
        <v>151</v>
      </c>
      <c r="C97" t="s">
        <v>173</v>
      </c>
      <c r="D97">
        <v>5</v>
      </c>
      <c r="E97">
        <v>128</v>
      </c>
      <c r="F97" t="s">
        <v>131</v>
      </c>
      <c r="G97" t="s">
        <v>44</v>
      </c>
      <c r="H97">
        <v>2.0812110600240876</v>
      </c>
      <c r="I97">
        <v>0.39077059977516349</v>
      </c>
      <c r="J97">
        <v>2.5590461528461121</v>
      </c>
      <c r="K97">
        <v>2.2800000000000002</v>
      </c>
      <c r="L97">
        <v>128</v>
      </c>
      <c r="M97">
        <v>0.43859649122807015</v>
      </c>
      <c r="P97">
        <v>-4.7825891452906666E-2</v>
      </c>
      <c r="Q97">
        <v>0</v>
      </c>
      <c r="R97">
        <v>0</v>
      </c>
      <c r="S97" t="s">
        <v>193</v>
      </c>
      <c r="T97">
        <v>0</v>
      </c>
      <c r="U97">
        <f t="shared" si="2"/>
        <v>0</v>
      </c>
      <c r="V97">
        <f t="shared" si="3"/>
        <v>0</v>
      </c>
    </row>
    <row r="98" spans="1:22" x14ac:dyDescent="0.35">
      <c r="A98">
        <v>1209</v>
      </c>
      <c r="B98" t="s">
        <v>153</v>
      </c>
      <c r="C98" t="s">
        <v>174</v>
      </c>
      <c r="D98">
        <v>4</v>
      </c>
      <c r="E98">
        <v>-138</v>
      </c>
      <c r="F98" t="s">
        <v>128</v>
      </c>
      <c r="G98" t="s">
        <v>46</v>
      </c>
      <c r="H98">
        <v>2.7035751098921432</v>
      </c>
      <c r="I98">
        <v>0.60909601698999039</v>
      </c>
      <c r="J98">
        <v>1.6417772766628247</v>
      </c>
      <c r="K98">
        <v>1.7246376811594204</v>
      </c>
      <c r="L98">
        <v>-138</v>
      </c>
      <c r="M98">
        <v>0.57983193277310918</v>
      </c>
      <c r="P98">
        <v>2.9264084216881203E-2</v>
      </c>
      <c r="Q98">
        <v>4.1099596186747993</v>
      </c>
      <c r="R98">
        <v>4.3173890436698246</v>
      </c>
      <c r="S98" t="s">
        <v>192</v>
      </c>
      <c r="T98">
        <v>-4.1099596186747993</v>
      </c>
      <c r="U98">
        <f t="shared" si="2"/>
        <v>-4.1099596186747993</v>
      </c>
      <c r="V98">
        <f t="shared" si="3"/>
        <v>-4.1099596186747993</v>
      </c>
    </row>
    <row r="99" spans="1:22" x14ac:dyDescent="0.35">
      <c r="A99">
        <v>1210</v>
      </c>
      <c r="B99" t="s">
        <v>151</v>
      </c>
      <c r="C99" t="s">
        <v>163</v>
      </c>
      <c r="D99">
        <v>4</v>
      </c>
      <c r="E99">
        <v>127</v>
      </c>
      <c r="F99" t="s">
        <v>131</v>
      </c>
      <c r="G99" t="s">
        <v>53</v>
      </c>
      <c r="H99">
        <v>2.236901822995383</v>
      </c>
      <c r="I99">
        <v>0.40719211331099925</v>
      </c>
      <c r="J99">
        <v>2.4558432428091619</v>
      </c>
      <c r="K99">
        <v>2.27</v>
      </c>
      <c r="L99">
        <v>127</v>
      </c>
      <c r="M99">
        <v>0.44052863436123346</v>
      </c>
      <c r="P99">
        <v>-3.3336521050234214E-2</v>
      </c>
      <c r="Q99">
        <v>0</v>
      </c>
      <c r="R99">
        <v>0</v>
      </c>
      <c r="S99" t="s">
        <v>193</v>
      </c>
      <c r="T99">
        <v>0</v>
      </c>
      <c r="U99">
        <f t="shared" si="2"/>
        <v>0</v>
      </c>
      <c r="V99">
        <f t="shared" si="3"/>
        <v>0</v>
      </c>
    </row>
    <row r="100" spans="1:22" x14ac:dyDescent="0.35">
      <c r="A100">
        <v>1210</v>
      </c>
      <c r="B100" t="s">
        <v>153</v>
      </c>
      <c r="C100" t="s">
        <v>168</v>
      </c>
      <c r="D100">
        <v>1</v>
      </c>
      <c r="E100">
        <v>-137</v>
      </c>
      <c r="F100" t="s">
        <v>128</v>
      </c>
      <c r="G100" t="s">
        <v>60</v>
      </c>
      <c r="H100">
        <v>2.7757294995802941</v>
      </c>
      <c r="I100">
        <v>0.59263285066243387</v>
      </c>
      <c r="J100">
        <v>1.687385366643477</v>
      </c>
      <c r="K100">
        <v>1.7299270072992701</v>
      </c>
      <c r="L100">
        <v>-137</v>
      </c>
      <c r="M100">
        <v>0.57805907172995785</v>
      </c>
      <c r="P100">
        <v>1.4573778932476023E-2</v>
      </c>
      <c r="Q100">
        <v>2.1549759801187678</v>
      </c>
      <c r="R100">
        <v>2.2093063160220825</v>
      </c>
      <c r="S100" t="s">
        <v>195</v>
      </c>
      <c r="T100">
        <v>-2.1549759801187678</v>
      </c>
      <c r="U100">
        <f t="shared" si="2"/>
        <v>0</v>
      </c>
      <c r="V100">
        <f t="shared" si="3"/>
        <v>0</v>
      </c>
    </row>
    <row r="101" spans="1:22" x14ac:dyDescent="0.35">
      <c r="A101">
        <v>1210</v>
      </c>
      <c r="B101" t="s">
        <v>151</v>
      </c>
      <c r="C101" t="s">
        <v>162</v>
      </c>
      <c r="D101">
        <v>2</v>
      </c>
      <c r="E101">
        <v>-110</v>
      </c>
      <c r="F101" t="s">
        <v>131</v>
      </c>
      <c r="G101" t="s">
        <v>63</v>
      </c>
      <c r="H101">
        <v>3.2315440077090223</v>
      </c>
      <c r="I101">
        <v>0.56512502382904806</v>
      </c>
      <c r="J101">
        <v>1.7695199430816619</v>
      </c>
      <c r="K101">
        <v>1.9090909090909092</v>
      </c>
      <c r="L101">
        <v>-110</v>
      </c>
      <c r="M101">
        <v>0.52380952380952384</v>
      </c>
      <c r="P101">
        <v>4.1315500019524221E-2</v>
      </c>
      <c r="Q101">
        <v>5.4132018076003758</v>
      </c>
      <c r="R101">
        <v>5.8401683464312528</v>
      </c>
      <c r="S101" t="s">
        <v>192</v>
      </c>
      <c r="T101">
        <v>4.9210925523639792</v>
      </c>
      <c r="U101">
        <f t="shared" si="2"/>
        <v>4.9210925523639792</v>
      </c>
      <c r="V101">
        <f t="shared" si="3"/>
        <v>4.9210925523639792</v>
      </c>
    </row>
    <row r="102" spans="1:22" x14ac:dyDescent="0.35">
      <c r="A102">
        <v>1210</v>
      </c>
      <c r="B102" t="s">
        <v>153</v>
      </c>
      <c r="C102" t="s">
        <v>161</v>
      </c>
      <c r="D102">
        <v>1</v>
      </c>
      <c r="E102">
        <v>100</v>
      </c>
      <c r="F102" t="s">
        <v>128</v>
      </c>
      <c r="G102" t="s">
        <v>50</v>
      </c>
      <c r="H102">
        <v>2.8162646192088361</v>
      </c>
      <c r="I102">
        <v>0.43416467046051632</v>
      </c>
      <c r="J102">
        <v>2.3032735458168556</v>
      </c>
      <c r="K102">
        <v>2</v>
      </c>
      <c r="L102">
        <v>100</v>
      </c>
      <c r="M102">
        <v>0.5</v>
      </c>
      <c r="P102">
        <v>-6.5835329539483678E-2</v>
      </c>
      <c r="Q102">
        <v>0</v>
      </c>
      <c r="R102">
        <v>0</v>
      </c>
      <c r="S102" t="s">
        <v>195</v>
      </c>
      <c r="T102">
        <v>0</v>
      </c>
      <c r="U102">
        <f t="shared" si="2"/>
        <v>0</v>
      </c>
      <c r="V102">
        <f t="shared" si="3"/>
        <v>0</v>
      </c>
    </row>
    <row r="103" spans="1:22" x14ac:dyDescent="0.35">
      <c r="A103">
        <v>1210</v>
      </c>
      <c r="B103" t="s">
        <v>151</v>
      </c>
      <c r="C103" t="s">
        <v>156</v>
      </c>
      <c r="D103">
        <v>2</v>
      </c>
      <c r="E103">
        <v>-130</v>
      </c>
      <c r="F103" t="s">
        <v>131</v>
      </c>
      <c r="G103" t="s">
        <v>62</v>
      </c>
      <c r="H103">
        <v>2.6283786484762026</v>
      </c>
      <c r="I103">
        <v>0.63278842882108799</v>
      </c>
      <c r="J103">
        <v>1.5803070259407919</v>
      </c>
      <c r="K103">
        <v>1.7692307692307692</v>
      </c>
      <c r="L103">
        <v>-130</v>
      </c>
      <c r="M103">
        <v>0.56521739130434789</v>
      </c>
      <c r="P103">
        <v>6.7571037516740096E-2</v>
      </c>
      <c r="Q103">
        <v>9.6963957742673035</v>
      </c>
      <c r="R103">
        <v>10.85558785278454</v>
      </c>
      <c r="S103" t="s">
        <v>192</v>
      </c>
      <c r="T103">
        <v>-9.6963957742673035</v>
      </c>
      <c r="U103">
        <f t="shared" si="2"/>
        <v>-9.6963957742673035</v>
      </c>
      <c r="V103">
        <f t="shared" si="3"/>
        <v>-9.6963957742673035</v>
      </c>
    </row>
    <row r="104" spans="1:22" x14ac:dyDescent="0.35">
      <c r="A104">
        <v>1210</v>
      </c>
      <c r="B104" t="s">
        <v>153</v>
      </c>
      <c r="C104" t="s">
        <v>167</v>
      </c>
      <c r="D104">
        <v>5</v>
      </c>
      <c r="E104">
        <v>120</v>
      </c>
      <c r="F104" t="s">
        <v>128</v>
      </c>
      <c r="G104" t="s">
        <v>41</v>
      </c>
      <c r="H104">
        <v>1.8875994352201881</v>
      </c>
      <c r="I104">
        <v>0.3671114518278496</v>
      </c>
      <c r="J104">
        <v>2.7239684161880415</v>
      </c>
      <c r="K104">
        <v>2.2000000000000002</v>
      </c>
      <c r="L104">
        <v>120</v>
      </c>
      <c r="M104">
        <v>0.45454545454545453</v>
      </c>
      <c r="P104">
        <v>-8.7434002717604931E-2</v>
      </c>
      <c r="Q104">
        <v>0</v>
      </c>
      <c r="R104">
        <v>0</v>
      </c>
      <c r="S104" t="s">
        <v>195</v>
      </c>
      <c r="T104">
        <v>0</v>
      </c>
      <c r="U104">
        <f t="shared" si="2"/>
        <v>0</v>
      </c>
      <c r="V104">
        <f t="shared" si="3"/>
        <v>0</v>
      </c>
    </row>
    <row r="105" spans="1:22" x14ac:dyDescent="0.35">
      <c r="A105">
        <v>1210</v>
      </c>
      <c r="B105" t="s">
        <v>151</v>
      </c>
      <c r="C105" t="s">
        <v>182</v>
      </c>
      <c r="D105">
        <v>1</v>
      </c>
      <c r="E105">
        <v>210</v>
      </c>
      <c r="F105" t="s">
        <v>131</v>
      </c>
      <c r="G105" t="s">
        <v>48</v>
      </c>
      <c r="H105">
        <v>1.3369866831915069</v>
      </c>
      <c r="I105">
        <v>0.24305373523830415</v>
      </c>
      <c r="J105">
        <v>4.1143165276581382</v>
      </c>
      <c r="K105">
        <v>3.1</v>
      </c>
      <c r="L105">
        <v>210</v>
      </c>
      <c r="M105">
        <v>0.32258064516129031</v>
      </c>
      <c r="P105">
        <v>-7.9526909922986166E-2</v>
      </c>
      <c r="Q105">
        <v>0</v>
      </c>
      <c r="R105">
        <v>0</v>
      </c>
      <c r="S105" t="s">
        <v>193</v>
      </c>
      <c r="T105">
        <v>0</v>
      </c>
      <c r="U105">
        <f t="shared" si="2"/>
        <v>0</v>
      </c>
      <c r="V105">
        <f t="shared" si="3"/>
        <v>0</v>
      </c>
    </row>
    <row r="106" spans="1:22" x14ac:dyDescent="0.35">
      <c r="A106">
        <v>1210</v>
      </c>
      <c r="B106" t="s">
        <v>153</v>
      </c>
      <c r="C106" t="s">
        <v>165</v>
      </c>
      <c r="D106">
        <v>5</v>
      </c>
      <c r="E106">
        <v>-240</v>
      </c>
      <c r="F106" t="s">
        <v>128</v>
      </c>
      <c r="G106" t="s">
        <v>66</v>
      </c>
      <c r="H106">
        <v>2.7756752760670111</v>
      </c>
      <c r="I106">
        <v>0.75679405503000186</v>
      </c>
      <c r="J106">
        <v>1.3213634453832446</v>
      </c>
      <c r="K106">
        <v>1.4166666666666667</v>
      </c>
      <c r="L106">
        <v>-240</v>
      </c>
      <c r="M106">
        <v>0.70588235294117641</v>
      </c>
      <c r="P106">
        <v>5.091170208882545E-2</v>
      </c>
      <c r="Q106">
        <v>10.799867915281609</v>
      </c>
      <c r="R106">
        <v>11.578807430642041</v>
      </c>
      <c r="S106" t="s">
        <v>192</v>
      </c>
      <c r="T106">
        <v>4.4999449647006706</v>
      </c>
      <c r="U106">
        <f t="shared" si="2"/>
        <v>4.4999449647006706</v>
      </c>
      <c r="V106">
        <f t="shared" si="3"/>
        <v>4.4999449647006706</v>
      </c>
    </row>
    <row r="107" spans="1:22" x14ac:dyDescent="0.35">
      <c r="A107">
        <v>1210</v>
      </c>
      <c r="B107" t="s">
        <v>151</v>
      </c>
      <c r="C107" t="s">
        <v>159</v>
      </c>
      <c r="D107">
        <v>1</v>
      </c>
      <c r="E107">
        <v>155</v>
      </c>
      <c r="F107" t="s">
        <v>131</v>
      </c>
      <c r="G107" t="s">
        <v>61</v>
      </c>
      <c r="H107">
        <v>2.8322998800875729</v>
      </c>
      <c r="I107">
        <v>0.50291827173906367</v>
      </c>
      <c r="J107">
        <v>1.9883946481841972</v>
      </c>
      <c r="K107">
        <v>2.5499999999999998</v>
      </c>
      <c r="L107">
        <v>155</v>
      </c>
      <c r="M107">
        <v>0.39215686274509809</v>
      </c>
      <c r="P107">
        <v>0.11076140899396558</v>
      </c>
      <c r="Q107">
        <v>11.368910937641708</v>
      </c>
      <c r="R107">
        <v>14.57996425280097</v>
      </c>
      <c r="S107" t="s">
        <v>192</v>
      </c>
      <c r="T107">
        <v>-11.368910937641708</v>
      </c>
      <c r="U107">
        <f t="shared" si="2"/>
        <v>-11.368910937641708</v>
      </c>
      <c r="V107">
        <f t="shared" si="3"/>
        <v>-11.368910937641708</v>
      </c>
    </row>
    <row r="108" spans="1:22" x14ac:dyDescent="0.35">
      <c r="A108">
        <v>1210</v>
      </c>
      <c r="B108" t="s">
        <v>153</v>
      </c>
      <c r="C108" t="s">
        <v>170</v>
      </c>
      <c r="D108">
        <v>3</v>
      </c>
      <c r="E108">
        <v>-170</v>
      </c>
      <c r="F108" t="s">
        <v>128</v>
      </c>
      <c r="G108" t="s">
        <v>55</v>
      </c>
      <c r="H108">
        <v>2.8134099783565132</v>
      </c>
      <c r="I108">
        <v>0.49673081061538721</v>
      </c>
      <c r="J108">
        <v>2.0131628210481356</v>
      </c>
      <c r="K108">
        <v>1.5882352941176472</v>
      </c>
      <c r="L108">
        <v>-170</v>
      </c>
      <c r="M108">
        <v>0.62962962962962954</v>
      </c>
      <c r="P108">
        <v>-0.13289881901424233</v>
      </c>
      <c r="Q108">
        <v>0</v>
      </c>
      <c r="R108">
        <v>0</v>
      </c>
      <c r="S108" t="s">
        <v>195</v>
      </c>
      <c r="T108">
        <v>0</v>
      </c>
      <c r="U108">
        <f t="shared" si="2"/>
        <v>0</v>
      </c>
      <c r="V108">
        <f t="shared" si="3"/>
        <v>0</v>
      </c>
    </row>
    <row r="109" spans="1:22" x14ac:dyDescent="0.35">
      <c r="A109">
        <v>1210</v>
      </c>
      <c r="B109" t="s">
        <v>151</v>
      </c>
      <c r="C109" t="s">
        <v>176</v>
      </c>
      <c r="D109">
        <v>3</v>
      </c>
      <c r="E109">
        <v>132</v>
      </c>
      <c r="F109" t="s">
        <v>131</v>
      </c>
      <c r="G109" t="s">
        <v>38</v>
      </c>
      <c r="H109">
        <v>2.3871644636650364</v>
      </c>
      <c r="I109">
        <v>0.3905848586676976</v>
      </c>
      <c r="J109">
        <v>2.5602630972717288</v>
      </c>
      <c r="K109">
        <v>2.3200000000000003</v>
      </c>
      <c r="L109">
        <v>132</v>
      </c>
      <c r="M109">
        <v>0.43103448275862066</v>
      </c>
      <c r="P109">
        <v>-4.0449624090923064E-2</v>
      </c>
      <c r="Q109">
        <v>0</v>
      </c>
      <c r="R109">
        <v>0</v>
      </c>
      <c r="S109" t="s">
        <v>193</v>
      </c>
      <c r="T109">
        <v>0</v>
      </c>
      <c r="U109">
        <f t="shared" si="2"/>
        <v>0</v>
      </c>
      <c r="V109">
        <f t="shared" si="3"/>
        <v>0</v>
      </c>
    </row>
    <row r="110" spans="1:22" x14ac:dyDescent="0.35">
      <c r="A110">
        <v>1210</v>
      </c>
      <c r="B110" t="s">
        <v>153</v>
      </c>
      <c r="C110" t="s">
        <v>169</v>
      </c>
      <c r="D110">
        <v>2</v>
      </c>
      <c r="E110">
        <v>-145</v>
      </c>
      <c r="F110" t="s">
        <v>128</v>
      </c>
      <c r="G110" t="s">
        <v>52</v>
      </c>
      <c r="H110">
        <v>3.0493479422770338</v>
      </c>
      <c r="I110">
        <v>0.60903942287090029</v>
      </c>
      <c r="J110">
        <v>1.6419298364729547</v>
      </c>
      <c r="K110">
        <v>1.6896551724137931</v>
      </c>
      <c r="L110">
        <v>-145</v>
      </c>
      <c r="M110">
        <v>0.59183673469387754</v>
      </c>
      <c r="P110">
        <v>1.7202688177022751E-2</v>
      </c>
      <c r="Q110">
        <v>2.6295674296574423</v>
      </c>
      <c r="R110">
        <v>2.706000043385365</v>
      </c>
      <c r="S110" t="s">
        <v>195</v>
      </c>
      <c r="T110">
        <v>-2.6295674296574423</v>
      </c>
      <c r="U110">
        <f t="shared" si="2"/>
        <v>0</v>
      </c>
      <c r="V110">
        <f t="shared" si="3"/>
        <v>0</v>
      </c>
    </row>
    <row r="111" spans="1:22" x14ac:dyDescent="0.35">
      <c r="A111">
        <v>1210</v>
      </c>
      <c r="B111" t="s">
        <v>151</v>
      </c>
      <c r="C111" t="s">
        <v>181</v>
      </c>
      <c r="D111">
        <v>0</v>
      </c>
      <c r="E111">
        <v>180</v>
      </c>
      <c r="F111" t="s">
        <v>131</v>
      </c>
      <c r="G111" t="s">
        <v>54</v>
      </c>
      <c r="H111">
        <v>1.7663409071951128</v>
      </c>
      <c r="I111">
        <v>0.29273862021157665</v>
      </c>
      <c r="J111">
        <v>3.4160166474695095</v>
      </c>
      <c r="K111">
        <v>2.8</v>
      </c>
      <c r="L111">
        <v>180</v>
      </c>
      <c r="M111">
        <v>0.35714285714285715</v>
      </c>
      <c r="P111">
        <v>-6.4404236931280501E-2</v>
      </c>
      <c r="Q111">
        <v>0</v>
      </c>
      <c r="R111">
        <v>0</v>
      </c>
      <c r="S111" t="s">
        <v>193</v>
      </c>
      <c r="T111">
        <v>0</v>
      </c>
      <c r="U111">
        <f t="shared" si="2"/>
        <v>0</v>
      </c>
      <c r="V111">
        <f t="shared" si="3"/>
        <v>0</v>
      </c>
    </row>
    <row r="112" spans="1:22" x14ac:dyDescent="0.35">
      <c r="A112">
        <v>1210</v>
      </c>
      <c r="B112" t="s">
        <v>153</v>
      </c>
      <c r="C112" t="s">
        <v>172</v>
      </c>
      <c r="D112">
        <v>2</v>
      </c>
      <c r="E112">
        <v>-200</v>
      </c>
      <c r="F112" t="s">
        <v>128</v>
      </c>
      <c r="G112" t="s">
        <v>47</v>
      </c>
      <c r="H112">
        <v>2.9788397447504731</v>
      </c>
      <c r="I112">
        <v>0.70698315214245944</v>
      </c>
      <c r="J112">
        <v>1.4144608636989084</v>
      </c>
      <c r="K112">
        <v>1.5</v>
      </c>
      <c r="L112">
        <v>-200</v>
      </c>
      <c r="M112">
        <v>0.66666666666666663</v>
      </c>
      <c r="P112">
        <v>4.0316485475792807E-2</v>
      </c>
      <c r="Q112">
        <v>7.5461569058489717</v>
      </c>
      <c r="R112">
        <v>8.0025086937880427</v>
      </c>
      <c r="S112" t="s">
        <v>192</v>
      </c>
      <c r="T112">
        <v>3.7730784529244863</v>
      </c>
      <c r="U112">
        <f t="shared" si="2"/>
        <v>3.7730784529244863</v>
      </c>
      <c r="V112">
        <f t="shared" si="3"/>
        <v>3.7730784529244863</v>
      </c>
    </row>
    <row r="113" spans="1:22" x14ac:dyDescent="0.35">
      <c r="A113">
        <v>1210</v>
      </c>
      <c r="B113" t="s">
        <v>151</v>
      </c>
      <c r="C113" t="s">
        <v>164</v>
      </c>
      <c r="D113">
        <v>6</v>
      </c>
      <c r="E113">
        <v>-116</v>
      </c>
      <c r="F113" t="s">
        <v>131</v>
      </c>
      <c r="G113" t="s">
        <v>42</v>
      </c>
      <c r="H113">
        <v>2.858269477823697</v>
      </c>
      <c r="I113">
        <v>0.74783492363022586</v>
      </c>
      <c r="J113">
        <v>1.3371935014022689</v>
      </c>
      <c r="K113">
        <v>1.8620689655172413</v>
      </c>
      <c r="L113">
        <v>-116</v>
      </c>
      <c r="M113">
        <v>0.53703703703703709</v>
      </c>
      <c r="P113">
        <v>0.21079788659318877</v>
      </c>
      <c r="Q113">
        <v>28.408082063558002</v>
      </c>
      <c r="R113">
        <v>39.558828191242512</v>
      </c>
      <c r="S113" t="s">
        <v>192</v>
      </c>
      <c r="T113">
        <v>24.489725916860348</v>
      </c>
      <c r="U113">
        <f t="shared" si="2"/>
        <v>24.489725916860348</v>
      </c>
      <c r="V113">
        <f t="shared" si="3"/>
        <v>24.489725916860348</v>
      </c>
    </row>
    <row r="114" spans="1:22" x14ac:dyDescent="0.35">
      <c r="A114">
        <v>1210</v>
      </c>
      <c r="B114" t="s">
        <v>153</v>
      </c>
      <c r="C114" t="s">
        <v>158</v>
      </c>
      <c r="D114">
        <v>3</v>
      </c>
      <c r="E114">
        <v>106</v>
      </c>
      <c r="F114" t="s">
        <v>128</v>
      </c>
      <c r="G114" t="s">
        <v>49</v>
      </c>
      <c r="H114">
        <v>1.445898296422778</v>
      </c>
      <c r="I114">
        <v>0.25196977941185306</v>
      </c>
      <c r="J114">
        <v>3.968729910127303</v>
      </c>
      <c r="K114">
        <v>2.06</v>
      </c>
      <c r="L114">
        <v>106</v>
      </c>
      <c r="M114">
        <v>0.4854368932038835</v>
      </c>
      <c r="P114">
        <v>-0.23346711379203045</v>
      </c>
      <c r="Q114">
        <v>0</v>
      </c>
      <c r="R114">
        <v>0</v>
      </c>
      <c r="S114" t="s">
        <v>195</v>
      </c>
      <c r="T114">
        <v>0</v>
      </c>
      <c r="U114">
        <f t="shared" si="2"/>
        <v>0</v>
      </c>
      <c r="V114">
        <f t="shared" si="3"/>
        <v>0</v>
      </c>
    </row>
    <row r="115" spans="1:22" x14ac:dyDescent="0.35">
      <c r="A115">
        <v>1210</v>
      </c>
      <c r="B115" t="s">
        <v>151</v>
      </c>
      <c r="C115" t="s">
        <v>173</v>
      </c>
      <c r="D115">
        <v>5</v>
      </c>
      <c r="E115">
        <v>125</v>
      </c>
      <c r="F115" t="s">
        <v>131</v>
      </c>
      <c r="G115" t="s">
        <v>44</v>
      </c>
      <c r="H115">
        <v>2.0430727913314475</v>
      </c>
      <c r="I115">
        <v>0.52222524682196347</v>
      </c>
      <c r="J115">
        <v>1.9148825264300542</v>
      </c>
      <c r="K115">
        <v>2.25</v>
      </c>
      <c r="L115">
        <v>125</v>
      </c>
      <c r="M115">
        <v>0.44444444444444442</v>
      </c>
      <c r="P115">
        <v>7.7780802377519054E-2</v>
      </c>
      <c r="Q115">
        <v>8.7350789446566797</v>
      </c>
      <c r="R115">
        <v>10.263777205236009</v>
      </c>
      <c r="S115" t="s">
        <v>192</v>
      </c>
      <c r="T115">
        <v>10.918848680820849</v>
      </c>
      <c r="U115">
        <f t="shared" si="2"/>
        <v>10.918848680820849</v>
      </c>
      <c r="V115">
        <f t="shared" si="3"/>
        <v>10.918848680820849</v>
      </c>
    </row>
    <row r="116" spans="1:22" x14ac:dyDescent="0.35">
      <c r="A116">
        <v>1210</v>
      </c>
      <c r="B116" t="s">
        <v>153</v>
      </c>
      <c r="C116" t="s">
        <v>175</v>
      </c>
      <c r="D116">
        <v>2</v>
      </c>
      <c r="E116">
        <v>-135</v>
      </c>
      <c r="F116" t="s">
        <v>128</v>
      </c>
      <c r="G116" t="s">
        <v>39</v>
      </c>
      <c r="H116">
        <v>1.9281262780861939</v>
      </c>
      <c r="I116">
        <v>0.47775872374984757</v>
      </c>
      <c r="J116">
        <v>2.093106730006244</v>
      </c>
      <c r="K116">
        <v>1.7407407407407407</v>
      </c>
      <c r="L116">
        <v>-135</v>
      </c>
      <c r="M116">
        <v>0.57446808510638303</v>
      </c>
      <c r="P116">
        <v>-9.6709361356535462E-2</v>
      </c>
      <c r="Q116">
        <v>0</v>
      </c>
      <c r="R116">
        <v>0</v>
      </c>
      <c r="S116" t="s">
        <v>195</v>
      </c>
      <c r="T116">
        <v>0</v>
      </c>
      <c r="U116">
        <f t="shared" si="2"/>
        <v>0</v>
      </c>
      <c r="V116">
        <f t="shared" si="3"/>
        <v>0</v>
      </c>
    </row>
    <row r="117" spans="1:22" x14ac:dyDescent="0.35">
      <c r="A117">
        <v>1210</v>
      </c>
      <c r="B117" t="s">
        <v>151</v>
      </c>
      <c r="C117" t="s">
        <v>177</v>
      </c>
      <c r="D117">
        <v>1</v>
      </c>
      <c r="E117">
        <v>180</v>
      </c>
      <c r="F117" t="s">
        <v>131</v>
      </c>
      <c r="G117" t="s">
        <v>45</v>
      </c>
      <c r="H117">
        <v>3.2748745107615802</v>
      </c>
      <c r="I117">
        <v>0.71753426201888526</v>
      </c>
      <c r="J117">
        <v>1.39366167294417</v>
      </c>
      <c r="K117">
        <v>2.8</v>
      </c>
      <c r="L117">
        <v>180</v>
      </c>
      <c r="M117">
        <v>0.35714285714285715</v>
      </c>
      <c r="P117">
        <v>0.36039140487602811</v>
      </c>
      <c r="Q117">
        <v>34.9769439663554</v>
      </c>
      <c r="R117">
        <v>70.272035894409228</v>
      </c>
      <c r="S117" t="s">
        <v>192</v>
      </c>
      <c r="T117">
        <v>-34.9769439663554</v>
      </c>
      <c r="U117">
        <f t="shared" si="2"/>
        <v>0</v>
      </c>
      <c r="V117">
        <f t="shared" si="3"/>
        <v>-34.9769439663554</v>
      </c>
    </row>
    <row r="118" spans="1:22" x14ac:dyDescent="0.35">
      <c r="A118">
        <v>1210</v>
      </c>
      <c r="B118" t="s">
        <v>153</v>
      </c>
      <c r="C118" t="s">
        <v>160</v>
      </c>
      <c r="D118">
        <v>5</v>
      </c>
      <c r="E118">
        <v>-200</v>
      </c>
      <c r="F118" t="s">
        <v>128</v>
      </c>
      <c r="G118" t="s">
        <v>68</v>
      </c>
      <c r="H118">
        <v>1.933996096008419</v>
      </c>
      <c r="I118">
        <v>0.28185992870788357</v>
      </c>
      <c r="J118">
        <v>3.5478615374106215</v>
      </c>
      <c r="K118">
        <v>1.5</v>
      </c>
      <c r="L118">
        <v>-200</v>
      </c>
      <c r="M118">
        <v>0.66666666666666663</v>
      </c>
      <c r="P118">
        <v>-0.38480673795878306</v>
      </c>
      <c r="Q118">
        <v>0</v>
      </c>
      <c r="R118">
        <v>0</v>
      </c>
      <c r="S118" t="s">
        <v>195</v>
      </c>
      <c r="T118">
        <v>0</v>
      </c>
      <c r="U118">
        <f t="shared" si="2"/>
        <v>0</v>
      </c>
      <c r="V118">
        <f t="shared" si="3"/>
        <v>0</v>
      </c>
    </row>
    <row r="119" spans="1:22" x14ac:dyDescent="0.35">
      <c r="A119">
        <v>1210</v>
      </c>
      <c r="B119" t="s">
        <v>151</v>
      </c>
      <c r="C119" t="s">
        <v>154</v>
      </c>
      <c r="D119">
        <v>4</v>
      </c>
      <c r="E119">
        <v>-113</v>
      </c>
      <c r="F119" t="s">
        <v>131</v>
      </c>
      <c r="G119" t="s">
        <v>64</v>
      </c>
      <c r="H119">
        <v>3.7603024486165881</v>
      </c>
      <c r="I119">
        <v>0.58046346569968166</v>
      </c>
      <c r="J119">
        <v>1.7227613090078211</v>
      </c>
      <c r="K119">
        <v>1.8849557522123894</v>
      </c>
      <c r="L119">
        <v>-113</v>
      </c>
      <c r="M119">
        <v>0.53051643192488263</v>
      </c>
      <c r="P119">
        <v>4.9947033774799032E-2</v>
      </c>
      <c r="Q119">
        <v>6.6376021141922701</v>
      </c>
      <c r="R119">
        <v>7.2625187369976141</v>
      </c>
      <c r="S119" t="s">
        <v>192</v>
      </c>
      <c r="T119">
        <v>5.8739841718515668</v>
      </c>
      <c r="U119">
        <f t="shared" si="2"/>
        <v>5.8739841718515668</v>
      </c>
      <c r="V119">
        <f t="shared" si="3"/>
        <v>5.8739841718515668</v>
      </c>
    </row>
    <row r="120" spans="1:22" x14ac:dyDescent="0.35">
      <c r="A120">
        <v>1210</v>
      </c>
      <c r="B120" t="s">
        <v>153</v>
      </c>
      <c r="C120" t="s">
        <v>157</v>
      </c>
      <c r="D120">
        <v>1</v>
      </c>
      <c r="E120">
        <v>103</v>
      </c>
      <c r="F120" t="s">
        <v>128</v>
      </c>
      <c r="G120" t="s">
        <v>65</v>
      </c>
      <c r="H120">
        <v>3.2025135695438816</v>
      </c>
      <c r="I120">
        <v>0.41725692347080057</v>
      </c>
      <c r="J120">
        <v>2.3966049303193397</v>
      </c>
      <c r="K120">
        <v>2.0300000000000002</v>
      </c>
      <c r="L120">
        <v>103</v>
      </c>
      <c r="M120">
        <v>0.4926108374384236</v>
      </c>
      <c r="P120">
        <v>-7.5353913967623032E-2</v>
      </c>
      <c r="Q120">
        <v>0</v>
      </c>
      <c r="R120">
        <v>0</v>
      </c>
      <c r="S120" t="s">
        <v>195</v>
      </c>
      <c r="T120">
        <v>0</v>
      </c>
      <c r="U120">
        <f t="shared" si="2"/>
        <v>0</v>
      </c>
      <c r="V120">
        <f t="shared" si="3"/>
        <v>0</v>
      </c>
    </row>
    <row r="121" spans="1:22" x14ac:dyDescent="0.35">
      <c r="A121">
        <v>1210</v>
      </c>
      <c r="B121" t="s">
        <v>151</v>
      </c>
      <c r="C121" t="s">
        <v>166</v>
      </c>
      <c r="D121">
        <v>1</v>
      </c>
      <c r="E121">
        <v>114</v>
      </c>
      <c r="F121" t="s">
        <v>131</v>
      </c>
      <c r="G121" t="s">
        <v>57</v>
      </c>
      <c r="H121">
        <v>2.5145644531639144</v>
      </c>
      <c r="I121">
        <v>0.49245755448672757</v>
      </c>
      <c r="J121">
        <v>2.0306318603280791</v>
      </c>
      <c r="K121">
        <v>2.1399999999999997</v>
      </c>
      <c r="L121">
        <v>114</v>
      </c>
      <c r="M121">
        <v>0.46728971962616828</v>
      </c>
      <c r="P121">
        <v>2.5167834860559291E-2</v>
      </c>
      <c r="Q121">
        <v>2.9476552481136831</v>
      </c>
      <c r="R121">
        <v>3.1064135032059088</v>
      </c>
      <c r="S121" t="s">
        <v>193</v>
      </c>
      <c r="T121">
        <v>-2.9476552481136831</v>
      </c>
      <c r="U121">
        <f t="shared" si="2"/>
        <v>0</v>
      </c>
      <c r="V121">
        <f t="shared" si="3"/>
        <v>0</v>
      </c>
    </row>
    <row r="122" spans="1:22" x14ac:dyDescent="0.35">
      <c r="A122">
        <v>1210</v>
      </c>
      <c r="B122" t="s">
        <v>153</v>
      </c>
      <c r="C122" t="s">
        <v>183</v>
      </c>
      <c r="D122">
        <v>3</v>
      </c>
      <c r="E122">
        <v>-124</v>
      </c>
      <c r="F122" t="s">
        <v>128</v>
      </c>
      <c r="G122" t="s">
        <v>51</v>
      </c>
      <c r="H122">
        <v>2.5578949067229875</v>
      </c>
      <c r="I122">
        <v>0.50740235813688728</v>
      </c>
      <c r="J122">
        <v>1.9708225315937917</v>
      </c>
      <c r="K122">
        <v>1.8064516129032258</v>
      </c>
      <c r="L122">
        <v>-124</v>
      </c>
      <c r="M122">
        <v>0.5535714285714286</v>
      </c>
      <c r="P122">
        <v>-4.6169070434541326E-2</v>
      </c>
      <c r="Q122">
        <v>0</v>
      </c>
      <c r="R122">
        <v>0</v>
      </c>
      <c r="S122" t="s">
        <v>195</v>
      </c>
      <c r="T122">
        <v>0</v>
      </c>
      <c r="U122">
        <f t="shared" si="2"/>
        <v>0</v>
      </c>
      <c r="V122">
        <f t="shared" si="3"/>
        <v>0</v>
      </c>
    </row>
    <row r="123" spans="1:22" x14ac:dyDescent="0.35">
      <c r="A123">
        <v>1211</v>
      </c>
      <c r="B123" t="s">
        <v>151</v>
      </c>
      <c r="C123" t="s">
        <v>171</v>
      </c>
      <c r="D123">
        <v>2</v>
      </c>
      <c r="E123">
        <v>110</v>
      </c>
      <c r="F123" t="s">
        <v>131</v>
      </c>
      <c r="G123" t="s">
        <v>40</v>
      </c>
      <c r="H123">
        <v>3.7489055620310654</v>
      </c>
      <c r="I123">
        <v>0.61812003126567006</v>
      </c>
      <c r="J123">
        <v>1.6178087578756959</v>
      </c>
      <c r="K123">
        <v>2.1</v>
      </c>
      <c r="L123">
        <v>110</v>
      </c>
      <c r="M123">
        <v>0.47619047619047616</v>
      </c>
      <c r="P123">
        <v>0.14192955507519389</v>
      </c>
      <c r="Q123">
        <v>16.451768281162796</v>
      </c>
      <c r="R123">
        <v>21.355251801088606</v>
      </c>
      <c r="S123" t="s">
        <v>192</v>
      </c>
      <c r="T123">
        <v>-16.451768281162796</v>
      </c>
      <c r="U123">
        <f t="shared" si="2"/>
        <v>-16.451768281162796</v>
      </c>
      <c r="V123">
        <f t="shared" si="3"/>
        <v>-16.451768281162796</v>
      </c>
    </row>
    <row r="124" spans="1:22" x14ac:dyDescent="0.35">
      <c r="A124">
        <v>1211</v>
      </c>
      <c r="B124" t="s">
        <v>153</v>
      </c>
      <c r="C124" t="s">
        <v>155</v>
      </c>
      <c r="D124">
        <v>3</v>
      </c>
      <c r="E124">
        <v>-120</v>
      </c>
      <c r="F124" t="s">
        <v>128</v>
      </c>
      <c r="G124" t="s">
        <v>67</v>
      </c>
      <c r="H124">
        <v>2.9453525588477696</v>
      </c>
      <c r="I124">
        <v>0.37989039781047618</v>
      </c>
      <c r="J124">
        <v>2.6323381842856972</v>
      </c>
      <c r="K124">
        <v>1.8333333333333335</v>
      </c>
      <c r="L124">
        <v>-120</v>
      </c>
      <c r="M124">
        <v>0.54545454545454541</v>
      </c>
      <c r="P124">
        <v>-0.16556414764406924</v>
      </c>
      <c r="Q124">
        <v>0</v>
      </c>
      <c r="R124">
        <v>0</v>
      </c>
      <c r="S124" t="s">
        <v>195</v>
      </c>
      <c r="T124">
        <v>0</v>
      </c>
      <c r="U124">
        <f t="shared" si="2"/>
        <v>0</v>
      </c>
      <c r="V124">
        <f t="shared" si="3"/>
        <v>0</v>
      </c>
    </row>
    <row r="125" spans="1:22" x14ac:dyDescent="0.35">
      <c r="A125">
        <v>1211</v>
      </c>
      <c r="B125" t="s">
        <v>151</v>
      </c>
      <c r="C125" t="s">
        <v>152</v>
      </c>
      <c r="D125">
        <v>2</v>
      </c>
      <c r="E125">
        <v>135</v>
      </c>
      <c r="F125" t="s">
        <v>131</v>
      </c>
      <c r="G125" t="s">
        <v>58</v>
      </c>
      <c r="H125">
        <v>3.2524990225667976</v>
      </c>
      <c r="I125">
        <v>0.64363904764484303</v>
      </c>
      <c r="J125">
        <v>1.5536658374893924</v>
      </c>
      <c r="K125">
        <v>2.35</v>
      </c>
      <c r="L125">
        <v>135</v>
      </c>
      <c r="M125">
        <v>0.42553191489361702</v>
      </c>
      <c r="P125">
        <v>0.21810713275122601</v>
      </c>
      <c r="Q125">
        <v>23.052450352000868</v>
      </c>
      <c r="R125">
        <v>34.868024397538385</v>
      </c>
      <c r="S125" t="s">
        <v>192</v>
      </c>
      <c r="T125">
        <v>-23.052450352000868</v>
      </c>
      <c r="U125">
        <f t="shared" si="2"/>
        <v>-23.052450352000868</v>
      </c>
      <c r="V125">
        <f t="shared" si="3"/>
        <v>-23.052450352000868</v>
      </c>
    </row>
    <row r="126" spans="1:22" x14ac:dyDescent="0.35">
      <c r="A126">
        <v>1211</v>
      </c>
      <c r="B126" t="s">
        <v>153</v>
      </c>
      <c r="C126" t="s">
        <v>163</v>
      </c>
      <c r="D126">
        <v>3</v>
      </c>
      <c r="E126">
        <v>-150</v>
      </c>
      <c r="F126" t="s">
        <v>128</v>
      </c>
      <c r="G126" t="s">
        <v>53</v>
      </c>
      <c r="H126">
        <v>2.3586172879260059</v>
      </c>
      <c r="I126">
        <v>0.35575670414353255</v>
      </c>
      <c r="J126">
        <v>2.8109097828738117</v>
      </c>
      <c r="K126">
        <v>1.6666666666666665</v>
      </c>
      <c r="L126">
        <v>-150</v>
      </c>
      <c r="M126">
        <v>0.60000000000000009</v>
      </c>
      <c r="P126">
        <v>-0.24424329585646753</v>
      </c>
      <c r="Q126">
        <v>0</v>
      </c>
      <c r="R126">
        <v>0</v>
      </c>
      <c r="S126" t="s">
        <v>195</v>
      </c>
      <c r="T126">
        <v>0</v>
      </c>
      <c r="U126">
        <f t="shared" si="2"/>
        <v>0</v>
      </c>
      <c r="V126">
        <f t="shared" si="3"/>
        <v>0</v>
      </c>
    </row>
    <row r="127" spans="1:22" x14ac:dyDescent="0.35">
      <c r="A127">
        <v>1211</v>
      </c>
      <c r="B127" t="s">
        <v>151</v>
      </c>
      <c r="C127" t="s">
        <v>178</v>
      </c>
      <c r="D127">
        <v>1</v>
      </c>
      <c r="E127">
        <v>140</v>
      </c>
      <c r="F127" t="s">
        <v>131</v>
      </c>
      <c r="G127" t="s">
        <v>59</v>
      </c>
      <c r="H127">
        <v>2.9344109150894355</v>
      </c>
      <c r="I127">
        <v>0.45259742001486236</v>
      </c>
      <c r="J127">
        <v>2.2094690684873148</v>
      </c>
      <c r="K127">
        <v>2.4</v>
      </c>
      <c r="L127">
        <v>140</v>
      </c>
      <c r="M127">
        <v>0.41666666666666669</v>
      </c>
      <c r="P127">
        <v>3.5930753348195676E-2</v>
      </c>
      <c r="Q127">
        <v>3.739923011535617</v>
      </c>
      <c r="R127">
        <v>4.062430814580563</v>
      </c>
      <c r="S127" t="s">
        <v>192</v>
      </c>
      <c r="T127">
        <v>-3.739923011535617</v>
      </c>
      <c r="U127">
        <f t="shared" si="2"/>
        <v>-3.739923011535617</v>
      </c>
      <c r="V127">
        <f t="shared" si="3"/>
        <v>-3.739923011535617</v>
      </c>
    </row>
    <row r="128" spans="1:22" x14ac:dyDescent="0.35">
      <c r="A128">
        <v>1211</v>
      </c>
      <c r="B128" t="s">
        <v>153</v>
      </c>
      <c r="C128" t="s">
        <v>174</v>
      </c>
      <c r="D128">
        <v>3</v>
      </c>
      <c r="E128">
        <v>-155</v>
      </c>
      <c r="F128" t="s">
        <v>128</v>
      </c>
      <c r="G128" t="s">
        <v>46</v>
      </c>
      <c r="H128">
        <v>3.2349295395113691</v>
      </c>
      <c r="I128">
        <v>0.54661659212881697</v>
      </c>
      <c r="J128">
        <v>1.8294358685773988</v>
      </c>
      <c r="K128">
        <v>1.6451612903225805</v>
      </c>
      <c r="L128">
        <v>-155</v>
      </c>
      <c r="M128">
        <v>0.60784313725490202</v>
      </c>
      <c r="P128">
        <v>-6.1226545126085052E-2</v>
      </c>
      <c r="Q128">
        <v>0</v>
      </c>
      <c r="R128">
        <v>0</v>
      </c>
      <c r="S128" t="s">
        <v>195</v>
      </c>
      <c r="T128">
        <v>0</v>
      </c>
      <c r="U128">
        <f t="shared" si="2"/>
        <v>0</v>
      </c>
      <c r="V128">
        <f t="shared" si="3"/>
        <v>0</v>
      </c>
    </row>
    <row r="129" spans="1:22" x14ac:dyDescent="0.35">
      <c r="A129">
        <v>1212</v>
      </c>
      <c r="B129" t="s">
        <v>151</v>
      </c>
      <c r="C129" t="s">
        <v>180</v>
      </c>
      <c r="D129">
        <v>3</v>
      </c>
      <c r="E129">
        <v>107</v>
      </c>
      <c r="F129" t="s">
        <v>131</v>
      </c>
      <c r="G129" t="s">
        <v>56</v>
      </c>
      <c r="H129">
        <v>2.1684906659822887</v>
      </c>
      <c r="I129">
        <v>0.52408737061919441</v>
      </c>
      <c r="J129">
        <v>1.9080787976602609</v>
      </c>
      <c r="K129">
        <v>2.0700000000000003</v>
      </c>
      <c r="L129">
        <v>107</v>
      </c>
      <c r="M129">
        <v>0.48309178743961345</v>
      </c>
      <c r="P129">
        <v>4.0995583179580963E-2</v>
      </c>
      <c r="Q129">
        <v>4.1981102142871016</v>
      </c>
      <c r="R129">
        <v>4.5543654456148923</v>
      </c>
      <c r="S129" t="s">
        <v>192</v>
      </c>
      <c r="T129">
        <v>4.4919779292872004</v>
      </c>
      <c r="U129">
        <f t="shared" si="2"/>
        <v>4.4919779292872004</v>
      </c>
      <c r="V129">
        <f t="shared" si="3"/>
        <v>4.4919779292872004</v>
      </c>
    </row>
    <row r="130" spans="1:22" x14ac:dyDescent="0.35">
      <c r="A130">
        <v>1212</v>
      </c>
      <c r="B130" t="s">
        <v>153</v>
      </c>
      <c r="C130" t="s">
        <v>161</v>
      </c>
      <c r="D130">
        <v>1</v>
      </c>
      <c r="E130">
        <v>-117</v>
      </c>
      <c r="F130" t="s">
        <v>128</v>
      </c>
      <c r="G130" t="s">
        <v>50</v>
      </c>
      <c r="H130">
        <v>2.0404598712766036</v>
      </c>
      <c r="I130">
        <v>0.47588527310694423</v>
      </c>
      <c r="J130">
        <v>2.1013468088037954</v>
      </c>
      <c r="K130">
        <v>1.8547008547008548</v>
      </c>
      <c r="L130">
        <v>-117</v>
      </c>
      <c r="M130">
        <v>0.53917050691244239</v>
      </c>
      <c r="P130">
        <v>-6.3285233805498164E-2</v>
      </c>
      <c r="Q130">
        <v>0</v>
      </c>
      <c r="R130">
        <v>0</v>
      </c>
      <c r="S130" t="s">
        <v>195</v>
      </c>
      <c r="T130">
        <v>0</v>
      </c>
      <c r="U130">
        <f t="shared" si="2"/>
        <v>0</v>
      </c>
      <c r="V130">
        <f t="shared" si="3"/>
        <v>0</v>
      </c>
    </row>
    <row r="131" spans="1:22" x14ac:dyDescent="0.35">
      <c r="A131">
        <v>1212</v>
      </c>
      <c r="B131" t="s">
        <v>151</v>
      </c>
      <c r="C131" t="s">
        <v>171</v>
      </c>
      <c r="D131">
        <v>2</v>
      </c>
      <c r="E131">
        <v>116</v>
      </c>
      <c r="F131" t="s">
        <v>131</v>
      </c>
      <c r="G131" t="s">
        <v>40</v>
      </c>
      <c r="H131">
        <v>4.1221803969124222</v>
      </c>
      <c r="I131">
        <v>0.71449110507472158</v>
      </c>
      <c r="J131">
        <v>1.3995975497769422</v>
      </c>
      <c r="K131">
        <v>2.16</v>
      </c>
      <c r="L131">
        <v>116</v>
      </c>
      <c r="M131">
        <v>0.46296296296296291</v>
      </c>
      <c r="P131">
        <v>0.25152814211175867</v>
      </c>
      <c r="Q131">
        <v>24.792056007966881</v>
      </c>
      <c r="R131">
        <v>38.261599547486362</v>
      </c>
      <c r="S131" t="s">
        <v>192</v>
      </c>
      <c r="T131">
        <v>-24.792056007966881</v>
      </c>
      <c r="U131">
        <f t="shared" si="2"/>
        <v>-24.792056007966881</v>
      </c>
      <c r="V131">
        <f t="shared" si="3"/>
        <v>-24.792056007966881</v>
      </c>
    </row>
    <row r="132" spans="1:22" x14ac:dyDescent="0.35">
      <c r="A132">
        <v>1212</v>
      </c>
      <c r="B132" t="s">
        <v>153</v>
      </c>
      <c r="C132" t="s">
        <v>162</v>
      </c>
      <c r="D132">
        <v>3</v>
      </c>
      <c r="E132">
        <v>-126</v>
      </c>
      <c r="F132" t="s">
        <v>128</v>
      </c>
      <c r="G132" t="s">
        <v>63</v>
      </c>
      <c r="H132">
        <v>2.6055136976202307</v>
      </c>
      <c r="I132">
        <v>0.28187257406382227</v>
      </c>
      <c r="J132">
        <v>3.5477023733908131</v>
      </c>
      <c r="K132">
        <v>1.7936507936507935</v>
      </c>
      <c r="L132">
        <v>-126</v>
      </c>
      <c r="M132">
        <v>0.5575221238938054</v>
      </c>
      <c r="P132">
        <v>-0.27564954982998313</v>
      </c>
      <c r="Q132">
        <v>0</v>
      </c>
      <c r="R132">
        <v>0</v>
      </c>
      <c r="S132" t="s">
        <v>195</v>
      </c>
      <c r="T132">
        <v>0</v>
      </c>
      <c r="U132">
        <f t="shared" ref="U132:U195" si="4">IF(AND(R132&gt;3.5,R132&lt;50),T132,0)</f>
        <v>0</v>
      </c>
      <c r="V132">
        <f t="shared" ref="V132:V195" si="5">IF(S132="BET",T132,0)</f>
        <v>0</v>
      </c>
    </row>
    <row r="133" spans="1:22" x14ac:dyDescent="0.35">
      <c r="A133">
        <v>1212</v>
      </c>
      <c r="B133" t="s">
        <v>151</v>
      </c>
      <c r="C133" t="s">
        <v>179</v>
      </c>
      <c r="D133">
        <v>0</v>
      </c>
      <c r="E133">
        <v>145</v>
      </c>
      <c r="F133" t="s">
        <v>131</v>
      </c>
      <c r="G133" t="s">
        <v>43</v>
      </c>
      <c r="H133">
        <v>2.1798583015794262</v>
      </c>
      <c r="I133">
        <v>0.4249218903329508</v>
      </c>
      <c r="J133">
        <v>2.3533736970256869</v>
      </c>
      <c r="K133">
        <v>2.4500000000000002</v>
      </c>
      <c r="L133">
        <v>145</v>
      </c>
      <c r="M133">
        <v>0.4081632653061224</v>
      </c>
      <c r="P133">
        <v>1.67586250268284E-2</v>
      </c>
      <c r="Q133">
        <v>1.4988793119673538</v>
      </c>
      <c r="R133">
        <v>1.5604212450241959</v>
      </c>
      <c r="S133" t="s">
        <v>193</v>
      </c>
      <c r="T133">
        <v>-1.4988793119673538</v>
      </c>
      <c r="U133">
        <f t="shared" si="4"/>
        <v>0</v>
      </c>
      <c r="V133">
        <f t="shared" si="5"/>
        <v>0</v>
      </c>
    </row>
    <row r="134" spans="1:22" x14ac:dyDescent="0.35">
      <c r="A134">
        <v>1212</v>
      </c>
      <c r="B134" t="s">
        <v>153</v>
      </c>
      <c r="C134" t="s">
        <v>168</v>
      </c>
      <c r="D134">
        <v>1</v>
      </c>
      <c r="E134">
        <v>-160</v>
      </c>
      <c r="F134" t="s">
        <v>128</v>
      </c>
      <c r="G134" t="s">
        <v>60</v>
      </c>
      <c r="H134">
        <v>2.6051324863005232</v>
      </c>
      <c r="I134">
        <v>0.57497169040504392</v>
      </c>
      <c r="J134">
        <v>1.739216063482258</v>
      </c>
      <c r="K134">
        <v>1.625</v>
      </c>
      <c r="L134">
        <v>-160</v>
      </c>
      <c r="M134">
        <v>0.61538461538461542</v>
      </c>
      <c r="P134">
        <v>-4.0412924979571496E-2</v>
      </c>
      <c r="Q134">
        <v>0</v>
      </c>
      <c r="R134">
        <v>0</v>
      </c>
      <c r="S134" t="s">
        <v>195</v>
      </c>
      <c r="T134">
        <v>0</v>
      </c>
      <c r="U134">
        <f t="shared" si="4"/>
        <v>0</v>
      </c>
      <c r="V134">
        <f t="shared" si="5"/>
        <v>0</v>
      </c>
    </row>
    <row r="135" spans="1:22" x14ac:dyDescent="0.35">
      <c r="A135">
        <v>1212</v>
      </c>
      <c r="B135" t="s">
        <v>151</v>
      </c>
      <c r="C135" t="s">
        <v>170</v>
      </c>
      <c r="D135">
        <v>3</v>
      </c>
      <c r="E135">
        <v>-140</v>
      </c>
      <c r="F135" t="s">
        <v>131</v>
      </c>
      <c r="G135" t="s">
        <v>55</v>
      </c>
      <c r="H135">
        <v>3.088004689060309</v>
      </c>
      <c r="I135">
        <v>0.54297252893715098</v>
      </c>
      <c r="J135">
        <v>1.8417138008021579</v>
      </c>
      <c r="K135">
        <v>1.7142857142857144</v>
      </c>
      <c r="L135">
        <v>-140</v>
      </c>
      <c r="M135">
        <v>0.58333333333333326</v>
      </c>
      <c r="P135">
        <v>-4.0360804396182282E-2</v>
      </c>
      <c r="Q135">
        <v>0</v>
      </c>
      <c r="R135">
        <v>0</v>
      </c>
      <c r="S135" t="s">
        <v>193</v>
      </c>
      <c r="T135">
        <v>0</v>
      </c>
      <c r="U135">
        <f t="shared" si="4"/>
        <v>0</v>
      </c>
      <c r="V135">
        <f t="shared" si="5"/>
        <v>0</v>
      </c>
    </row>
    <row r="136" spans="1:22" x14ac:dyDescent="0.35">
      <c r="A136">
        <v>1212</v>
      </c>
      <c r="B136" t="s">
        <v>153</v>
      </c>
      <c r="C136" t="s">
        <v>167</v>
      </c>
      <c r="D136">
        <v>4</v>
      </c>
      <c r="E136">
        <v>130</v>
      </c>
      <c r="F136" t="s">
        <v>128</v>
      </c>
      <c r="G136" t="s">
        <v>41</v>
      </c>
      <c r="H136">
        <v>2.8175901260369076</v>
      </c>
      <c r="I136">
        <v>0.45648350799084703</v>
      </c>
      <c r="J136">
        <v>2.1906596459560399</v>
      </c>
      <c r="K136">
        <v>2.2999999999999998</v>
      </c>
      <c r="L136">
        <v>130</v>
      </c>
      <c r="M136">
        <v>0.43478260869565222</v>
      </c>
      <c r="P136">
        <v>2.1700899295194809E-2</v>
      </c>
      <c r="Q136">
        <v>2.0323215148368128</v>
      </c>
      <c r="R136">
        <v>2.1337588852533553</v>
      </c>
      <c r="S136" t="s">
        <v>195</v>
      </c>
      <c r="T136">
        <v>-2.0323215148368128</v>
      </c>
      <c r="U136">
        <f t="shared" si="4"/>
        <v>0</v>
      </c>
      <c r="V136">
        <f t="shared" si="5"/>
        <v>0</v>
      </c>
    </row>
    <row r="137" spans="1:22" x14ac:dyDescent="0.35">
      <c r="A137">
        <v>1212</v>
      </c>
      <c r="B137" t="s">
        <v>151</v>
      </c>
      <c r="C137" t="s">
        <v>165</v>
      </c>
      <c r="D137">
        <v>2</v>
      </c>
      <c r="E137">
        <v>-200</v>
      </c>
      <c r="F137" t="s">
        <v>131</v>
      </c>
      <c r="G137" t="s">
        <v>66</v>
      </c>
      <c r="H137">
        <v>4.2109109765719177</v>
      </c>
      <c r="I137">
        <v>0.93697387382775799</v>
      </c>
      <c r="J137">
        <v>1.0672656174656883</v>
      </c>
      <c r="K137">
        <v>1.5</v>
      </c>
      <c r="L137">
        <v>-200</v>
      </c>
      <c r="M137">
        <v>0.66666666666666663</v>
      </c>
      <c r="P137">
        <v>0.27030720716109136</v>
      </c>
      <c r="Q137">
        <v>42.924878996729966</v>
      </c>
      <c r="R137">
        <v>60.329235235730756</v>
      </c>
      <c r="S137" t="s">
        <v>192</v>
      </c>
      <c r="T137">
        <v>-42.924878996729966</v>
      </c>
      <c r="U137">
        <f t="shared" si="4"/>
        <v>0</v>
      </c>
      <c r="V137">
        <f t="shared" si="5"/>
        <v>-42.924878996729966</v>
      </c>
    </row>
    <row r="138" spans="1:22" x14ac:dyDescent="0.35">
      <c r="A138">
        <v>1212</v>
      </c>
      <c r="B138" t="s">
        <v>153</v>
      </c>
      <c r="C138" t="s">
        <v>182</v>
      </c>
      <c r="D138">
        <v>5</v>
      </c>
      <c r="E138">
        <v>180</v>
      </c>
      <c r="F138" t="s">
        <v>128</v>
      </c>
      <c r="G138" t="s">
        <v>48</v>
      </c>
      <c r="H138">
        <v>0.82537503490755693</v>
      </c>
      <c r="I138">
        <v>5.8879727779985215E-2</v>
      </c>
      <c r="J138">
        <v>16.983774173289003</v>
      </c>
      <c r="K138">
        <v>2.8</v>
      </c>
      <c r="L138">
        <v>180</v>
      </c>
      <c r="M138">
        <v>0.35714285714285715</v>
      </c>
      <c r="P138">
        <v>-0.29826312936287191</v>
      </c>
      <c r="Q138">
        <v>0</v>
      </c>
      <c r="R138">
        <v>0</v>
      </c>
      <c r="S138" t="s">
        <v>195</v>
      </c>
      <c r="T138">
        <v>0</v>
      </c>
      <c r="U138">
        <f t="shared" si="4"/>
        <v>0</v>
      </c>
      <c r="V138">
        <f t="shared" si="5"/>
        <v>0</v>
      </c>
    </row>
    <row r="139" spans="1:22" x14ac:dyDescent="0.35">
      <c r="A139">
        <v>1212</v>
      </c>
      <c r="B139" t="s">
        <v>151</v>
      </c>
      <c r="C139" t="s">
        <v>158</v>
      </c>
      <c r="D139">
        <v>5</v>
      </c>
      <c r="E139">
        <v>106</v>
      </c>
      <c r="F139" t="s">
        <v>131</v>
      </c>
      <c r="G139" t="s">
        <v>49</v>
      </c>
      <c r="H139">
        <v>2.6590260589930499</v>
      </c>
      <c r="I139">
        <v>0.55676465658355268</v>
      </c>
      <c r="J139">
        <v>1.7960910201021925</v>
      </c>
      <c r="K139">
        <v>2.06</v>
      </c>
      <c r="L139">
        <v>106</v>
      </c>
      <c r="M139">
        <v>0.4854368932038835</v>
      </c>
      <c r="P139">
        <v>7.1327763379669173E-2</v>
      </c>
      <c r="Q139">
        <v>7.3375345746819951</v>
      </c>
      <c r="R139">
        <v>8.4156766303440964</v>
      </c>
      <c r="S139" t="s">
        <v>192</v>
      </c>
      <c r="T139">
        <v>-7.3375345746819951</v>
      </c>
      <c r="U139">
        <f t="shared" si="4"/>
        <v>-7.3375345746819951</v>
      </c>
      <c r="V139">
        <f t="shared" si="5"/>
        <v>-7.3375345746819951</v>
      </c>
    </row>
    <row r="140" spans="1:22" x14ac:dyDescent="0.35">
      <c r="A140">
        <v>1212</v>
      </c>
      <c r="B140" t="s">
        <v>153</v>
      </c>
      <c r="C140" t="s">
        <v>169</v>
      </c>
      <c r="D140">
        <v>6</v>
      </c>
      <c r="E140">
        <v>-116</v>
      </c>
      <c r="F140" t="s">
        <v>128</v>
      </c>
      <c r="G140" t="s">
        <v>52</v>
      </c>
      <c r="H140">
        <v>2.3310819430577459</v>
      </c>
      <c r="I140">
        <v>0.4430968427324769</v>
      </c>
      <c r="J140">
        <v>2.2568429822998257</v>
      </c>
      <c r="K140">
        <v>1.8620689655172413</v>
      </c>
      <c r="L140">
        <v>-116</v>
      </c>
      <c r="M140">
        <v>0.53703703703703709</v>
      </c>
      <c r="P140">
        <v>-9.3940194304560187E-2</v>
      </c>
      <c r="Q140">
        <v>0</v>
      </c>
      <c r="R140">
        <v>0</v>
      </c>
      <c r="S140" t="s">
        <v>195</v>
      </c>
      <c r="T140">
        <v>0</v>
      </c>
      <c r="U140">
        <f t="shared" si="4"/>
        <v>0</v>
      </c>
      <c r="V140">
        <f t="shared" si="5"/>
        <v>0</v>
      </c>
    </row>
    <row r="141" spans="1:22" x14ac:dyDescent="0.35">
      <c r="A141">
        <v>1212</v>
      </c>
      <c r="B141" t="s">
        <v>151</v>
      </c>
      <c r="C141" t="s">
        <v>160</v>
      </c>
      <c r="D141">
        <v>2</v>
      </c>
      <c r="E141">
        <v>102</v>
      </c>
      <c r="F141" t="s">
        <v>131</v>
      </c>
      <c r="G141" t="s">
        <v>68</v>
      </c>
      <c r="H141">
        <v>2.1167994687706733</v>
      </c>
      <c r="I141">
        <v>0.48897985677038358</v>
      </c>
      <c r="J141">
        <v>2.0450740171687327</v>
      </c>
      <c r="K141">
        <v>2.02</v>
      </c>
      <c r="L141">
        <v>102</v>
      </c>
      <c r="M141">
        <v>0.49504950495049505</v>
      </c>
      <c r="P141">
        <v>-6.0696481801114643E-3</v>
      </c>
      <c r="Q141">
        <v>0</v>
      </c>
      <c r="R141">
        <v>0</v>
      </c>
      <c r="S141" t="s">
        <v>193</v>
      </c>
      <c r="T141">
        <v>0</v>
      </c>
      <c r="U141">
        <f t="shared" si="4"/>
        <v>0</v>
      </c>
      <c r="V141">
        <f t="shared" si="5"/>
        <v>0</v>
      </c>
    </row>
    <row r="142" spans="1:22" x14ac:dyDescent="0.35">
      <c r="A142">
        <v>1212</v>
      </c>
      <c r="B142" t="s">
        <v>153</v>
      </c>
      <c r="C142" t="s">
        <v>156</v>
      </c>
      <c r="D142">
        <v>4</v>
      </c>
      <c r="E142">
        <v>-112</v>
      </c>
      <c r="F142" t="s">
        <v>128</v>
      </c>
      <c r="G142" t="s">
        <v>62</v>
      </c>
      <c r="H142">
        <v>2.1757728669265401</v>
      </c>
      <c r="I142">
        <v>0.51098827771410393</v>
      </c>
      <c r="J142">
        <v>1.9569920556171669</v>
      </c>
      <c r="K142">
        <v>1.8928571428571428</v>
      </c>
      <c r="L142">
        <v>-112</v>
      </c>
      <c r="M142">
        <v>0.52830188679245282</v>
      </c>
      <c r="P142">
        <v>-1.7313609078348891E-2</v>
      </c>
      <c r="Q142">
        <v>0</v>
      </c>
      <c r="R142">
        <v>0</v>
      </c>
      <c r="S142" t="s">
        <v>195</v>
      </c>
      <c r="T142">
        <v>0</v>
      </c>
      <c r="U142">
        <f t="shared" si="4"/>
        <v>0</v>
      </c>
      <c r="V142">
        <f t="shared" si="5"/>
        <v>0</v>
      </c>
    </row>
    <row r="143" spans="1:22" x14ac:dyDescent="0.35">
      <c r="A143">
        <v>1212</v>
      </c>
      <c r="B143" t="s">
        <v>151</v>
      </c>
      <c r="C143" t="s">
        <v>177</v>
      </c>
      <c r="D143">
        <v>2</v>
      </c>
      <c r="E143">
        <v>135</v>
      </c>
      <c r="F143" t="s">
        <v>131</v>
      </c>
      <c r="G143" t="s">
        <v>45</v>
      </c>
      <c r="H143">
        <v>2.4395730154947275</v>
      </c>
      <c r="I143">
        <v>0.63315614131660347</v>
      </c>
      <c r="J143">
        <v>1.5793892449981937</v>
      </c>
      <c r="K143">
        <v>2.35</v>
      </c>
      <c r="L143">
        <v>135</v>
      </c>
      <c r="M143">
        <v>0.42553191489361702</v>
      </c>
      <c r="P143">
        <v>0.20762422642298645</v>
      </c>
      <c r="Q143">
        <v>19.131204788286059</v>
      </c>
      <c r="R143">
        <v>28.465643535848987</v>
      </c>
      <c r="S143" t="s">
        <v>192</v>
      </c>
      <c r="T143">
        <v>-19.131204788286059</v>
      </c>
      <c r="U143">
        <f t="shared" si="4"/>
        <v>-19.131204788286059</v>
      </c>
      <c r="V143">
        <f t="shared" si="5"/>
        <v>-19.131204788286059</v>
      </c>
    </row>
    <row r="144" spans="1:22" x14ac:dyDescent="0.35">
      <c r="A144">
        <v>1212</v>
      </c>
      <c r="B144" t="s">
        <v>153</v>
      </c>
      <c r="C144" t="s">
        <v>175</v>
      </c>
      <c r="D144">
        <v>5</v>
      </c>
      <c r="E144">
        <v>-150</v>
      </c>
      <c r="F144" t="s">
        <v>128</v>
      </c>
      <c r="G144" t="s">
        <v>39</v>
      </c>
      <c r="H144">
        <v>1.7246915101367828</v>
      </c>
      <c r="I144">
        <v>0.3667920530531974</v>
      </c>
      <c r="J144">
        <v>2.7263404200716579</v>
      </c>
      <c r="K144">
        <v>1.6666666666666665</v>
      </c>
      <c r="L144">
        <v>-150</v>
      </c>
      <c r="M144">
        <v>0.60000000000000009</v>
      </c>
      <c r="P144">
        <v>-0.23320794694680269</v>
      </c>
      <c r="Q144">
        <v>0</v>
      </c>
      <c r="R144">
        <v>0</v>
      </c>
      <c r="S144" t="s">
        <v>195</v>
      </c>
      <c r="T144">
        <v>0</v>
      </c>
      <c r="U144">
        <f t="shared" si="4"/>
        <v>0</v>
      </c>
      <c r="V144">
        <f t="shared" si="5"/>
        <v>0</v>
      </c>
    </row>
    <row r="145" spans="1:22" x14ac:dyDescent="0.35">
      <c r="A145">
        <v>1212</v>
      </c>
      <c r="B145" t="s">
        <v>151</v>
      </c>
      <c r="C145" t="s">
        <v>154</v>
      </c>
      <c r="D145">
        <v>2</v>
      </c>
      <c r="E145">
        <v>-128</v>
      </c>
      <c r="F145" t="s">
        <v>131</v>
      </c>
      <c r="G145" t="s">
        <v>64</v>
      </c>
      <c r="H145">
        <v>3.7966547592253281</v>
      </c>
      <c r="I145">
        <v>0.71063423865390307</v>
      </c>
      <c r="J145">
        <v>1.4071936667366591</v>
      </c>
      <c r="K145">
        <v>1.78125</v>
      </c>
      <c r="L145">
        <v>-128</v>
      </c>
      <c r="M145">
        <v>0.56140350877192979</v>
      </c>
      <c r="P145">
        <v>0.14923072988197328</v>
      </c>
      <c r="Q145">
        <v>18.010397978066131</v>
      </c>
      <c r="R145">
        <v>22.797872216713085</v>
      </c>
      <c r="S145" t="s">
        <v>192</v>
      </c>
      <c r="T145">
        <v>-18.010397978066131</v>
      </c>
      <c r="U145">
        <f t="shared" si="4"/>
        <v>-18.010397978066131</v>
      </c>
      <c r="V145">
        <f t="shared" si="5"/>
        <v>-18.010397978066131</v>
      </c>
    </row>
    <row r="146" spans="1:22" x14ac:dyDescent="0.35">
      <c r="A146">
        <v>1212</v>
      </c>
      <c r="B146" t="s">
        <v>153</v>
      </c>
      <c r="C146" t="s">
        <v>173</v>
      </c>
      <c r="D146">
        <v>4</v>
      </c>
      <c r="E146">
        <v>118</v>
      </c>
      <c r="F146" t="s">
        <v>128</v>
      </c>
      <c r="G146" t="s">
        <v>44</v>
      </c>
      <c r="H146">
        <v>2.381651461440994</v>
      </c>
      <c r="I146">
        <v>0.28740964508139177</v>
      </c>
      <c r="J146">
        <v>3.4793543540155349</v>
      </c>
      <c r="K146">
        <v>2.1799999999999997</v>
      </c>
      <c r="L146">
        <v>118</v>
      </c>
      <c r="M146">
        <v>0.45871559633027531</v>
      </c>
      <c r="P146">
        <v>-0.17130595124888354</v>
      </c>
      <c r="Q146">
        <v>0</v>
      </c>
      <c r="R146">
        <v>0</v>
      </c>
      <c r="S146" t="s">
        <v>195</v>
      </c>
      <c r="T146">
        <v>0</v>
      </c>
      <c r="U146">
        <f t="shared" si="4"/>
        <v>0</v>
      </c>
      <c r="V146">
        <f t="shared" si="5"/>
        <v>0</v>
      </c>
    </row>
    <row r="147" spans="1:22" x14ac:dyDescent="0.35">
      <c r="A147">
        <v>1212</v>
      </c>
      <c r="B147" t="s">
        <v>151</v>
      </c>
      <c r="C147" t="s">
        <v>164</v>
      </c>
      <c r="D147">
        <v>0</v>
      </c>
      <c r="E147">
        <v>-110</v>
      </c>
      <c r="F147" t="s">
        <v>131</v>
      </c>
      <c r="G147" t="s">
        <v>42</v>
      </c>
      <c r="H147">
        <v>3.048580897524547</v>
      </c>
      <c r="I147">
        <v>0.64285075488137489</v>
      </c>
      <c r="J147">
        <v>1.5555710130332348</v>
      </c>
      <c r="K147">
        <v>1.9090909090909092</v>
      </c>
      <c r="L147">
        <v>-110</v>
      </c>
      <c r="M147">
        <v>0.52380952380952384</v>
      </c>
      <c r="P147">
        <v>0.11904123107185105</v>
      </c>
      <c r="Q147">
        <v>13.232652377762983</v>
      </c>
      <c r="R147">
        <v>16.239911997516622</v>
      </c>
      <c r="S147" t="s">
        <v>192</v>
      </c>
      <c r="T147">
        <v>-13.232652377762983</v>
      </c>
      <c r="U147">
        <f t="shared" si="4"/>
        <v>-13.232652377762983</v>
      </c>
      <c r="V147">
        <f t="shared" si="5"/>
        <v>-13.232652377762983</v>
      </c>
    </row>
    <row r="148" spans="1:22" x14ac:dyDescent="0.35">
      <c r="A148">
        <v>1212</v>
      </c>
      <c r="B148" t="s">
        <v>153</v>
      </c>
      <c r="C148" t="s">
        <v>157</v>
      </c>
      <c r="D148">
        <v>1</v>
      </c>
      <c r="E148">
        <v>100</v>
      </c>
      <c r="F148" t="s">
        <v>128</v>
      </c>
      <c r="G148" t="s">
        <v>65</v>
      </c>
      <c r="H148">
        <v>2.189910680474247</v>
      </c>
      <c r="I148">
        <v>0.35679627232520139</v>
      </c>
      <c r="J148">
        <v>2.8027198644288291</v>
      </c>
      <c r="K148">
        <v>2</v>
      </c>
      <c r="L148">
        <v>100</v>
      </c>
      <c r="M148">
        <v>0.5</v>
      </c>
      <c r="P148">
        <v>-0.14320372767479861</v>
      </c>
      <c r="Q148">
        <v>0</v>
      </c>
      <c r="R148">
        <v>0</v>
      </c>
      <c r="S148" t="s">
        <v>195</v>
      </c>
      <c r="T148">
        <v>0</v>
      </c>
      <c r="U148">
        <f t="shared" si="4"/>
        <v>0</v>
      </c>
      <c r="V148">
        <f t="shared" si="5"/>
        <v>0</v>
      </c>
    </row>
    <row r="149" spans="1:22" x14ac:dyDescent="0.35">
      <c r="A149">
        <v>1212</v>
      </c>
      <c r="B149" t="s">
        <v>151</v>
      </c>
      <c r="C149" t="s">
        <v>183</v>
      </c>
      <c r="D149">
        <v>2</v>
      </c>
      <c r="E149">
        <v>130</v>
      </c>
      <c r="F149" t="s">
        <v>131</v>
      </c>
      <c r="G149" t="s">
        <v>51</v>
      </c>
      <c r="H149">
        <v>1.6524843878281306</v>
      </c>
      <c r="I149">
        <v>0.37925956667809746</v>
      </c>
      <c r="J149">
        <v>2.6367166127381192</v>
      </c>
      <c r="K149">
        <v>2.2999999999999998</v>
      </c>
      <c r="L149">
        <v>130</v>
      </c>
      <c r="M149">
        <v>0.43478260869565222</v>
      </c>
      <c r="P149">
        <v>-5.5523042017554758E-2</v>
      </c>
      <c r="Q149">
        <v>0</v>
      </c>
      <c r="R149">
        <v>0</v>
      </c>
      <c r="S149" t="s">
        <v>193</v>
      </c>
      <c r="T149">
        <v>0</v>
      </c>
      <c r="U149">
        <f t="shared" si="4"/>
        <v>0</v>
      </c>
      <c r="V149">
        <f t="shared" si="5"/>
        <v>0</v>
      </c>
    </row>
    <row r="150" spans="1:22" x14ac:dyDescent="0.35">
      <c r="A150">
        <v>1212</v>
      </c>
      <c r="B150" t="s">
        <v>153</v>
      </c>
      <c r="C150" t="s">
        <v>176</v>
      </c>
      <c r="D150">
        <v>1</v>
      </c>
      <c r="E150">
        <v>-140</v>
      </c>
      <c r="F150" t="s">
        <v>128</v>
      </c>
      <c r="G150" t="s">
        <v>38</v>
      </c>
      <c r="H150">
        <v>2.2816829727359695</v>
      </c>
      <c r="I150">
        <v>0.62071158550599126</v>
      </c>
      <c r="J150">
        <v>1.6110541890156935</v>
      </c>
      <c r="K150">
        <v>1.7142857142857144</v>
      </c>
      <c r="L150">
        <v>-140</v>
      </c>
      <c r="M150">
        <v>0.58333333333333326</v>
      </c>
      <c r="P150">
        <v>3.7378252172658E-2</v>
      </c>
      <c r="Q150">
        <v>4.7485436099805272</v>
      </c>
      <c r="R150">
        <v>5.0528160565634685</v>
      </c>
      <c r="S150" t="s">
        <v>192</v>
      </c>
      <c r="T150">
        <v>-4.7485436099805272</v>
      </c>
      <c r="U150">
        <f t="shared" si="4"/>
        <v>-4.7485436099805272</v>
      </c>
      <c r="V150">
        <f t="shared" si="5"/>
        <v>-4.7485436099805272</v>
      </c>
    </row>
    <row r="151" spans="1:22" x14ac:dyDescent="0.35">
      <c r="A151">
        <v>1212</v>
      </c>
      <c r="B151" t="s">
        <v>151</v>
      </c>
      <c r="C151" t="s">
        <v>166</v>
      </c>
      <c r="D151">
        <v>6</v>
      </c>
      <c r="E151">
        <v>140</v>
      </c>
      <c r="F151" t="s">
        <v>131</v>
      </c>
      <c r="G151" t="s">
        <v>57</v>
      </c>
      <c r="H151">
        <v>3.5631521528271559</v>
      </c>
      <c r="I151">
        <v>0.58794972855576444</v>
      </c>
      <c r="J151">
        <v>1.7008256853122339</v>
      </c>
      <c r="K151">
        <v>2.4</v>
      </c>
      <c r="L151">
        <v>140</v>
      </c>
      <c r="M151">
        <v>0.41666666666666669</v>
      </c>
      <c r="P151">
        <v>0.17128306188909775</v>
      </c>
      <c r="Q151">
        <v>15.542748633509483</v>
      </c>
      <c r="R151">
        <v>21.932051616197707</v>
      </c>
      <c r="S151" t="s">
        <v>192</v>
      </c>
      <c r="T151">
        <v>21.759848086913273</v>
      </c>
      <c r="U151">
        <f t="shared" si="4"/>
        <v>21.759848086913273</v>
      </c>
      <c r="V151">
        <f t="shared" si="5"/>
        <v>21.759848086913273</v>
      </c>
    </row>
    <row r="152" spans="1:22" x14ac:dyDescent="0.35">
      <c r="A152">
        <v>1212</v>
      </c>
      <c r="B152" t="s">
        <v>153</v>
      </c>
      <c r="C152" t="s">
        <v>159</v>
      </c>
      <c r="D152">
        <v>3</v>
      </c>
      <c r="E152">
        <v>-155</v>
      </c>
      <c r="F152" t="s">
        <v>128</v>
      </c>
      <c r="G152" t="s">
        <v>61</v>
      </c>
      <c r="H152">
        <v>2.9760105579242104</v>
      </c>
      <c r="I152">
        <v>0.41060403268167833</v>
      </c>
      <c r="J152">
        <v>2.4354363825141778</v>
      </c>
      <c r="K152">
        <v>1.6451612903225805</v>
      </c>
      <c r="L152">
        <v>-155</v>
      </c>
      <c r="M152">
        <v>0.60784313725490202</v>
      </c>
      <c r="P152">
        <v>-0.19723910457322369</v>
      </c>
      <c r="Q152">
        <v>0</v>
      </c>
      <c r="R152">
        <v>0</v>
      </c>
      <c r="S152" t="s">
        <v>195</v>
      </c>
      <c r="T152">
        <v>0</v>
      </c>
      <c r="U152">
        <f t="shared" si="4"/>
        <v>0</v>
      </c>
      <c r="V152">
        <f t="shared" si="5"/>
        <v>0</v>
      </c>
    </row>
    <row r="153" spans="1:22" x14ac:dyDescent="0.35">
      <c r="A153">
        <v>1213</v>
      </c>
      <c r="B153" t="s">
        <v>151</v>
      </c>
      <c r="C153" t="s">
        <v>160</v>
      </c>
      <c r="D153">
        <v>3</v>
      </c>
      <c r="E153">
        <v>145</v>
      </c>
      <c r="F153" t="s">
        <v>131</v>
      </c>
      <c r="G153" t="s">
        <v>68</v>
      </c>
      <c r="H153">
        <v>1.6218997435935996</v>
      </c>
      <c r="I153">
        <v>0.38174731687174501</v>
      </c>
      <c r="J153">
        <v>2.6195338010351183</v>
      </c>
      <c r="K153">
        <v>2.4500000000000002</v>
      </c>
      <c r="L153">
        <v>145</v>
      </c>
      <c r="M153">
        <v>0.4081632653061224</v>
      </c>
      <c r="P153">
        <v>-2.641594843437739E-2</v>
      </c>
      <c r="Q153">
        <v>0</v>
      </c>
      <c r="R153">
        <v>0</v>
      </c>
      <c r="S153" t="s">
        <v>193</v>
      </c>
      <c r="T153">
        <v>0</v>
      </c>
      <c r="U153">
        <f t="shared" si="4"/>
        <v>0</v>
      </c>
      <c r="V153">
        <f t="shared" si="5"/>
        <v>0</v>
      </c>
    </row>
    <row r="154" spans="1:22" x14ac:dyDescent="0.35">
      <c r="A154">
        <v>1213</v>
      </c>
      <c r="B154" t="s">
        <v>153</v>
      </c>
      <c r="C154" t="s">
        <v>172</v>
      </c>
      <c r="D154">
        <v>2</v>
      </c>
      <c r="E154">
        <v>-160</v>
      </c>
      <c r="F154" t="s">
        <v>128</v>
      </c>
      <c r="G154" t="s">
        <v>47</v>
      </c>
      <c r="H154">
        <v>2.2319297293614504</v>
      </c>
      <c r="I154">
        <v>0.61822898637913626</v>
      </c>
      <c r="J154">
        <v>1.617523639350579</v>
      </c>
      <c r="K154">
        <v>1.625</v>
      </c>
      <c r="L154">
        <v>-160</v>
      </c>
      <c r="M154">
        <v>0.61538461538461542</v>
      </c>
      <c r="P154">
        <v>2.8443709945208395E-3</v>
      </c>
      <c r="Q154">
        <v>0.24841957096899053</v>
      </c>
      <c r="R154">
        <v>0.24956779177996077</v>
      </c>
      <c r="T154">
        <v>0</v>
      </c>
      <c r="U154">
        <f t="shared" si="4"/>
        <v>0</v>
      </c>
      <c r="V154">
        <f t="shared" si="5"/>
        <v>0</v>
      </c>
    </row>
    <row r="155" spans="1:22" x14ac:dyDescent="0.35">
      <c r="A155">
        <v>1213</v>
      </c>
      <c r="B155" t="s">
        <v>151</v>
      </c>
      <c r="C155" t="s">
        <v>181</v>
      </c>
      <c r="D155">
        <v>1</v>
      </c>
      <c r="E155">
        <v>205</v>
      </c>
      <c r="F155" t="s">
        <v>131</v>
      </c>
      <c r="G155" t="s">
        <v>54</v>
      </c>
      <c r="H155">
        <v>2.2595573656771704</v>
      </c>
      <c r="I155">
        <v>0.28370495461516687</v>
      </c>
      <c r="J155">
        <v>3.5247886359843643</v>
      </c>
      <c r="K155">
        <v>3.05</v>
      </c>
      <c r="L155">
        <v>205</v>
      </c>
      <c r="M155">
        <v>0.32786885245901642</v>
      </c>
      <c r="P155">
        <v>-4.4163897843849553E-2</v>
      </c>
      <c r="Q155">
        <v>0</v>
      </c>
      <c r="R155">
        <v>0</v>
      </c>
      <c r="S155" t="s">
        <v>193</v>
      </c>
      <c r="T155">
        <v>0</v>
      </c>
      <c r="U155">
        <f t="shared" si="4"/>
        <v>0</v>
      </c>
      <c r="V155">
        <f t="shared" si="5"/>
        <v>0</v>
      </c>
    </row>
    <row r="156" spans="1:22" x14ac:dyDescent="0.35">
      <c r="A156">
        <v>1213</v>
      </c>
      <c r="B156" t="s">
        <v>153</v>
      </c>
      <c r="C156" t="s">
        <v>174</v>
      </c>
      <c r="D156">
        <v>3</v>
      </c>
      <c r="E156">
        <v>-230</v>
      </c>
      <c r="F156" t="s">
        <v>128</v>
      </c>
      <c r="G156" t="s">
        <v>46</v>
      </c>
      <c r="H156">
        <v>3.6738801377009915</v>
      </c>
      <c r="I156">
        <v>0.71478143245400583</v>
      </c>
      <c r="J156">
        <v>1.399029066223467</v>
      </c>
      <c r="K156">
        <v>1.4347826086956521</v>
      </c>
      <c r="L156">
        <v>-230</v>
      </c>
      <c r="M156">
        <v>0.69696969696969702</v>
      </c>
      <c r="P156">
        <v>1.781173548430881E-2</v>
      </c>
      <c r="Q156">
        <v>1.9744511576846977</v>
      </c>
      <c r="R156">
        <v>2.024910168887442</v>
      </c>
      <c r="S156" t="s">
        <v>195</v>
      </c>
      <c r="T156">
        <v>0</v>
      </c>
      <c r="U156">
        <f t="shared" si="4"/>
        <v>0</v>
      </c>
      <c r="V156">
        <f t="shared" si="5"/>
        <v>0</v>
      </c>
    </row>
    <row r="157" spans="1:22" x14ac:dyDescent="0.35">
      <c r="A157">
        <v>1214</v>
      </c>
      <c r="B157" t="s">
        <v>151</v>
      </c>
      <c r="C157" t="s">
        <v>167</v>
      </c>
      <c r="D157">
        <v>2</v>
      </c>
      <c r="E157">
        <v>150</v>
      </c>
      <c r="F157" t="s">
        <v>131</v>
      </c>
      <c r="G157" t="s">
        <v>41</v>
      </c>
      <c r="H157">
        <v>2.1389437385700703</v>
      </c>
      <c r="I157">
        <v>0.29121980339208936</v>
      </c>
      <c r="J157">
        <v>3.4338324123295654</v>
      </c>
      <c r="K157">
        <v>2.5</v>
      </c>
      <c r="L157">
        <v>150</v>
      </c>
      <c r="M157">
        <v>0.4</v>
      </c>
      <c r="P157">
        <v>-0.10878019660791066</v>
      </c>
      <c r="Q157">
        <v>0</v>
      </c>
      <c r="R157">
        <v>0</v>
      </c>
      <c r="S157" t="s">
        <v>193</v>
      </c>
      <c r="T157">
        <v>0</v>
      </c>
      <c r="U157">
        <f t="shared" si="4"/>
        <v>0</v>
      </c>
      <c r="V157">
        <f t="shared" si="5"/>
        <v>0</v>
      </c>
    </row>
    <row r="158" spans="1:22" x14ac:dyDescent="0.35">
      <c r="A158">
        <v>1214</v>
      </c>
      <c r="B158" t="s">
        <v>153</v>
      </c>
      <c r="C158" t="s">
        <v>180</v>
      </c>
      <c r="D158">
        <v>3</v>
      </c>
      <c r="E158">
        <v>-165</v>
      </c>
      <c r="F158" t="s">
        <v>128</v>
      </c>
      <c r="G158" t="s">
        <v>56</v>
      </c>
      <c r="H158">
        <v>3.4622173093317277</v>
      </c>
      <c r="I158">
        <v>0.70782921721417813</v>
      </c>
      <c r="J158">
        <v>1.4127701650063642</v>
      </c>
      <c r="K158">
        <v>1.606060606060606</v>
      </c>
      <c r="L158">
        <v>-165</v>
      </c>
      <c r="M158">
        <v>0.62264150943396235</v>
      </c>
      <c r="P158">
        <v>8.5187707780215782E-2</v>
      </c>
      <c r="Q158">
        <v>7.5831391365475778</v>
      </c>
      <c r="R158">
        <v>8.6206386142296818</v>
      </c>
      <c r="S158" t="s">
        <v>192</v>
      </c>
      <c r="T158">
        <v>4.5958419009379252</v>
      </c>
      <c r="U158">
        <f t="shared" si="4"/>
        <v>4.5958419009379252</v>
      </c>
      <c r="V158">
        <f t="shared" si="5"/>
        <v>4.5958419009379252</v>
      </c>
    </row>
    <row r="159" spans="1:22" x14ac:dyDescent="0.35">
      <c r="A159">
        <v>1214</v>
      </c>
      <c r="B159" t="s">
        <v>151</v>
      </c>
      <c r="C159" t="s">
        <v>179</v>
      </c>
      <c r="D159">
        <v>3</v>
      </c>
      <c r="E159">
        <v>-102</v>
      </c>
      <c r="F159" t="s">
        <v>131</v>
      </c>
      <c r="G159" t="s">
        <v>43</v>
      </c>
      <c r="H159">
        <v>1.6181662843194951</v>
      </c>
      <c r="I159">
        <v>0.33530765720591948</v>
      </c>
      <c r="J159">
        <v>2.9823357102336585</v>
      </c>
      <c r="K159">
        <v>1.9803921568627452</v>
      </c>
      <c r="L159">
        <v>-102</v>
      </c>
      <c r="M159">
        <v>0.50495049504950495</v>
      </c>
      <c r="P159">
        <v>-0.16964283784358547</v>
      </c>
      <c r="Q159">
        <v>0</v>
      </c>
      <c r="R159">
        <v>0</v>
      </c>
      <c r="S159" t="s">
        <v>193</v>
      </c>
      <c r="T159">
        <v>0</v>
      </c>
      <c r="U159">
        <f t="shared" si="4"/>
        <v>0</v>
      </c>
      <c r="V159">
        <f t="shared" si="5"/>
        <v>0</v>
      </c>
    </row>
    <row r="160" spans="1:22" x14ac:dyDescent="0.35">
      <c r="A160">
        <v>1214</v>
      </c>
      <c r="B160" t="s">
        <v>153</v>
      </c>
      <c r="C160" t="s">
        <v>152</v>
      </c>
      <c r="D160">
        <v>4</v>
      </c>
      <c r="E160">
        <v>-108</v>
      </c>
      <c r="F160" t="s">
        <v>128</v>
      </c>
      <c r="G160" t="s">
        <v>58</v>
      </c>
      <c r="H160">
        <v>2.5057157462340505</v>
      </c>
      <c r="I160">
        <v>0.66462833081788864</v>
      </c>
      <c r="J160">
        <v>1.5046003211590522</v>
      </c>
      <c r="K160">
        <v>1.925925925925926</v>
      </c>
      <c r="L160">
        <v>-108</v>
      </c>
      <c r="M160">
        <v>0.51923076923076916</v>
      </c>
      <c r="P160">
        <v>0.14539756158711947</v>
      </c>
      <c r="Q160">
        <v>10.158899788807252</v>
      </c>
      <c r="R160">
        <v>13.003645025860024</v>
      </c>
      <c r="S160" t="s">
        <v>192</v>
      </c>
      <c r="T160">
        <v>9.40638869334005</v>
      </c>
      <c r="U160">
        <f t="shared" si="4"/>
        <v>9.40638869334005</v>
      </c>
      <c r="V160">
        <f t="shared" si="5"/>
        <v>9.40638869334005</v>
      </c>
    </row>
    <row r="161" spans="1:22" x14ac:dyDescent="0.35">
      <c r="A161">
        <v>1214</v>
      </c>
      <c r="B161" t="s">
        <v>151</v>
      </c>
      <c r="C161" t="s">
        <v>164</v>
      </c>
      <c r="D161">
        <v>4</v>
      </c>
      <c r="E161">
        <v>-110</v>
      </c>
      <c r="F161" t="s">
        <v>131</v>
      </c>
      <c r="G161" t="s">
        <v>42</v>
      </c>
      <c r="H161">
        <v>2.6326463954557089</v>
      </c>
      <c r="I161">
        <v>0.63334168857106921</v>
      </c>
      <c r="J161">
        <v>1.5789265384632689</v>
      </c>
      <c r="K161">
        <v>1.9090909090909092</v>
      </c>
      <c r="L161">
        <v>-110</v>
      </c>
      <c r="M161">
        <v>0.52380952380952384</v>
      </c>
      <c r="P161">
        <v>0.10953216476154537</v>
      </c>
      <c r="Q161">
        <v>7.7265778353298682</v>
      </c>
      <c r="R161">
        <v>9.3422582650159942</v>
      </c>
      <c r="S161" t="s">
        <v>192</v>
      </c>
      <c r="T161">
        <v>7.0241616684816996</v>
      </c>
      <c r="U161">
        <f t="shared" si="4"/>
        <v>7.0241616684816996</v>
      </c>
      <c r="V161">
        <f t="shared" si="5"/>
        <v>7.0241616684816996</v>
      </c>
    </row>
    <row r="162" spans="1:22" x14ac:dyDescent="0.35">
      <c r="A162">
        <v>1214</v>
      </c>
      <c r="B162" t="s">
        <v>153</v>
      </c>
      <c r="C162" t="s">
        <v>173</v>
      </c>
      <c r="D162">
        <v>0</v>
      </c>
      <c r="E162">
        <v>100</v>
      </c>
      <c r="F162" t="s">
        <v>128</v>
      </c>
      <c r="G162" t="s">
        <v>44</v>
      </c>
      <c r="H162">
        <v>1.8882883223854829</v>
      </c>
      <c r="I162">
        <v>0.36655683147519424</v>
      </c>
      <c r="J162">
        <v>2.7280899280352719</v>
      </c>
      <c r="K162">
        <v>2</v>
      </c>
      <c r="L162">
        <v>100</v>
      </c>
      <c r="M162">
        <v>0.5</v>
      </c>
      <c r="P162">
        <v>-0.13344316852480576</v>
      </c>
      <c r="Q162">
        <v>0</v>
      </c>
      <c r="R162">
        <v>0</v>
      </c>
      <c r="S162" t="s">
        <v>195</v>
      </c>
      <c r="T162">
        <v>0</v>
      </c>
      <c r="U162">
        <f t="shared" si="4"/>
        <v>0</v>
      </c>
      <c r="V162">
        <f t="shared" si="5"/>
        <v>0</v>
      </c>
    </row>
    <row r="163" spans="1:22" x14ac:dyDescent="0.35">
      <c r="A163">
        <v>1214</v>
      </c>
      <c r="B163" t="s">
        <v>151</v>
      </c>
      <c r="C163" t="s">
        <v>166</v>
      </c>
      <c r="D163">
        <v>3</v>
      </c>
      <c r="E163">
        <v>125</v>
      </c>
      <c r="F163" t="s">
        <v>131</v>
      </c>
      <c r="G163" t="s">
        <v>57</v>
      </c>
      <c r="H163">
        <v>3.5459801255179091</v>
      </c>
      <c r="I163">
        <v>0.76169017755821011</v>
      </c>
      <c r="J163">
        <v>1.312869759205445</v>
      </c>
      <c r="K163">
        <v>2.25</v>
      </c>
      <c r="L163">
        <v>125</v>
      </c>
      <c r="M163">
        <v>0.44444444444444442</v>
      </c>
      <c r="P163">
        <v>0.31724573311376569</v>
      </c>
      <c r="Q163">
        <v>19.182027660220793</v>
      </c>
      <c r="R163">
        <v>32.874214622490165</v>
      </c>
      <c r="S163" t="s">
        <v>192</v>
      </c>
      <c r="T163">
        <v>-19.182027660220793</v>
      </c>
      <c r="U163">
        <f t="shared" si="4"/>
        <v>-19.182027660220793</v>
      </c>
      <c r="V163">
        <f t="shared" si="5"/>
        <v>-19.182027660220793</v>
      </c>
    </row>
    <row r="164" spans="1:22" x14ac:dyDescent="0.35">
      <c r="A164">
        <v>1214</v>
      </c>
      <c r="B164" t="s">
        <v>153</v>
      </c>
      <c r="C164" t="s">
        <v>176</v>
      </c>
      <c r="D164">
        <v>4</v>
      </c>
      <c r="E164">
        <v>-135</v>
      </c>
      <c r="F164" t="s">
        <v>128</v>
      </c>
      <c r="G164" t="s">
        <v>38</v>
      </c>
      <c r="H164">
        <v>1.8611131661542215</v>
      </c>
      <c r="I164">
        <v>0.23717600996562616</v>
      </c>
      <c r="J164">
        <v>4.2162780297422566</v>
      </c>
      <c r="K164">
        <v>1.7407407407407407</v>
      </c>
      <c r="L164">
        <v>-135</v>
      </c>
      <c r="M164">
        <v>0.57446808510638303</v>
      </c>
      <c r="P164">
        <v>-0.33729207514075688</v>
      </c>
      <c r="Q164">
        <v>0</v>
      </c>
      <c r="R164">
        <v>0</v>
      </c>
      <c r="S164" t="s">
        <v>195</v>
      </c>
      <c r="T164">
        <v>0</v>
      </c>
      <c r="U164">
        <f t="shared" si="4"/>
        <v>0</v>
      </c>
      <c r="V164">
        <f t="shared" si="5"/>
        <v>0</v>
      </c>
    </row>
    <row r="165" spans="1:22" x14ac:dyDescent="0.35">
      <c r="A165">
        <v>1214</v>
      </c>
      <c r="B165" t="s">
        <v>151</v>
      </c>
      <c r="C165" t="s">
        <v>172</v>
      </c>
      <c r="D165">
        <v>4</v>
      </c>
      <c r="E165">
        <v>135</v>
      </c>
      <c r="F165" t="s">
        <v>131</v>
      </c>
      <c r="G165" t="s">
        <v>47</v>
      </c>
      <c r="H165">
        <v>3.2895582445028668</v>
      </c>
      <c r="I165">
        <v>0.72685124332465689</v>
      </c>
      <c r="J165">
        <v>1.3757973301743915</v>
      </c>
      <c r="K165">
        <v>2.35</v>
      </c>
      <c r="L165">
        <v>135</v>
      </c>
      <c r="M165">
        <v>0.42553191489361702</v>
      </c>
      <c r="P165">
        <v>0.30131932843103987</v>
      </c>
      <c r="Q165">
        <v>17.619245331914556</v>
      </c>
      <c r="R165">
        <v>30.09544038346899</v>
      </c>
      <c r="S165" t="s">
        <v>192</v>
      </c>
      <c r="T165">
        <v>23.785981198084649</v>
      </c>
      <c r="U165">
        <f t="shared" si="4"/>
        <v>23.785981198084649</v>
      </c>
      <c r="V165">
        <f t="shared" si="5"/>
        <v>23.785981198084649</v>
      </c>
    </row>
    <row r="166" spans="1:22" x14ac:dyDescent="0.35">
      <c r="A166">
        <v>1214</v>
      </c>
      <c r="B166" t="s">
        <v>153</v>
      </c>
      <c r="C166" t="s">
        <v>170</v>
      </c>
      <c r="D166">
        <v>1</v>
      </c>
      <c r="E166">
        <v>-150</v>
      </c>
      <c r="F166" t="s">
        <v>128</v>
      </c>
      <c r="G166" t="s">
        <v>55</v>
      </c>
      <c r="H166">
        <v>1.8889598836537538</v>
      </c>
      <c r="I166">
        <v>0.27252209828336965</v>
      </c>
      <c r="J166">
        <v>3.6694271998456274</v>
      </c>
      <c r="K166">
        <v>1.6666666666666665</v>
      </c>
      <c r="L166">
        <v>-150</v>
      </c>
      <c r="M166">
        <v>0.60000000000000009</v>
      </c>
      <c r="P166">
        <v>-0.32747790171663044</v>
      </c>
      <c r="Q166">
        <v>0</v>
      </c>
      <c r="R166">
        <v>0</v>
      </c>
      <c r="S166" t="s">
        <v>195</v>
      </c>
      <c r="T166">
        <v>0</v>
      </c>
      <c r="U166">
        <f t="shared" si="4"/>
        <v>0</v>
      </c>
      <c r="V166">
        <f t="shared" si="5"/>
        <v>0</v>
      </c>
    </row>
    <row r="167" spans="1:22" x14ac:dyDescent="0.35">
      <c r="A167">
        <v>1214</v>
      </c>
      <c r="B167" t="s">
        <v>151</v>
      </c>
      <c r="C167" t="s">
        <v>183</v>
      </c>
      <c r="D167">
        <v>4</v>
      </c>
      <c r="E167">
        <v>180</v>
      </c>
      <c r="F167" t="s">
        <v>131</v>
      </c>
      <c r="G167" t="s">
        <v>51</v>
      </c>
      <c r="H167">
        <v>1.1807980604202259</v>
      </c>
      <c r="I167">
        <v>0.23426506183312451</v>
      </c>
      <c r="J167">
        <v>4.2686689691369182</v>
      </c>
      <c r="K167">
        <v>2.8</v>
      </c>
      <c r="L167">
        <v>180</v>
      </c>
      <c r="M167">
        <v>0.35714285714285715</v>
      </c>
      <c r="P167">
        <v>-0.12287779530973264</v>
      </c>
      <c r="Q167">
        <v>0</v>
      </c>
      <c r="R167">
        <v>0</v>
      </c>
      <c r="S167" t="s">
        <v>193</v>
      </c>
      <c r="T167">
        <v>0</v>
      </c>
      <c r="U167">
        <f t="shared" si="4"/>
        <v>0</v>
      </c>
      <c r="V167">
        <f t="shared" si="5"/>
        <v>0</v>
      </c>
    </row>
    <row r="168" spans="1:22" x14ac:dyDescent="0.35">
      <c r="A168">
        <v>1214</v>
      </c>
      <c r="B168" t="s">
        <v>153</v>
      </c>
      <c r="C168" t="s">
        <v>168</v>
      </c>
      <c r="D168">
        <v>5</v>
      </c>
      <c r="E168">
        <v>-200</v>
      </c>
      <c r="F168" t="s">
        <v>128</v>
      </c>
      <c r="G168" t="s">
        <v>60</v>
      </c>
      <c r="H168">
        <v>2.6211825302569389</v>
      </c>
      <c r="I168">
        <v>0.76564186300845849</v>
      </c>
      <c r="J168">
        <v>1.30609368206523</v>
      </c>
      <c r="K168">
        <v>1.5</v>
      </c>
      <c r="L168">
        <v>-200</v>
      </c>
      <c r="M168">
        <v>0.66666666666666663</v>
      </c>
      <c r="P168">
        <v>9.897519634179186E-2</v>
      </c>
      <c r="Q168">
        <v>9.9741029100156506</v>
      </c>
      <c r="R168">
        <v>11.454886100793704</v>
      </c>
      <c r="S168" t="s">
        <v>192</v>
      </c>
      <c r="T168">
        <v>4.9870514550078244</v>
      </c>
      <c r="U168">
        <f t="shared" si="4"/>
        <v>4.9870514550078244</v>
      </c>
      <c r="V168">
        <f t="shared" si="5"/>
        <v>4.9870514550078244</v>
      </c>
    </row>
    <row r="169" spans="1:22" x14ac:dyDescent="0.35">
      <c r="A169">
        <v>1214</v>
      </c>
      <c r="B169" t="s">
        <v>151</v>
      </c>
      <c r="C169" t="s">
        <v>178</v>
      </c>
      <c r="D169">
        <v>1</v>
      </c>
      <c r="E169">
        <v>108</v>
      </c>
      <c r="F169" t="s">
        <v>131</v>
      </c>
      <c r="G169" t="s">
        <v>59</v>
      </c>
      <c r="H169">
        <v>2.0702395861586171</v>
      </c>
      <c r="I169">
        <v>0.33935917451308467</v>
      </c>
      <c r="J169">
        <v>2.9467304116201021</v>
      </c>
      <c r="K169">
        <v>2.08</v>
      </c>
      <c r="L169">
        <v>108</v>
      </c>
      <c r="M169">
        <v>0.48076923076923073</v>
      </c>
      <c r="P169">
        <v>-0.14141005625614606</v>
      </c>
      <c r="Q169">
        <v>0</v>
      </c>
      <c r="R169">
        <v>0</v>
      </c>
      <c r="S169" t="s">
        <v>193</v>
      </c>
      <c r="T169">
        <v>0</v>
      </c>
      <c r="U169">
        <f t="shared" si="4"/>
        <v>0</v>
      </c>
      <c r="V169">
        <f t="shared" si="5"/>
        <v>0</v>
      </c>
    </row>
    <row r="170" spans="1:22" x14ac:dyDescent="0.35">
      <c r="A170">
        <v>1214</v>
      </c>
      <c r="B170" t="s">
        <v>153</v>
      </c>
      <c r="C170" t="s">
        <v>169</v>
      </c>
      <c r="D170">
        <v>4</v>
      </c>
      <c r="E170">
        <v>-118</v>
      </c>
      <c r="F170" t="s">
        <v>128</v>
      </c>
      <c r="G170" t="s">
        <v>52</v>
      </c>
      <c r="H170">
        <v>3.0258749179262252</v>
      </c>
      <c r="I170">
        <v>0.66031548777105908</v>
      </c>
      <c r="J170">
        <v>1.5144276009268989</v>
      </c>
      <c r="K170">
        <v>1.847457627118644</v>
      </c>
      <c r="L170">
        <v>-118</v>
      </c>
      <c r="M170">
        <v>0.54128440366972475</v>
      </c>
      <c r="P170">
        <v>0.11903108410133434</v>
      </c>
      <c r="Q170">
        <v>8.7165193944629173</v>
      </c>
      <c r="R170">
        <v>10.633324582417861</v>
      </c>
      <c r="S170" t="s">
        <v>192</v>
      </c>
      <c r="T170">
        <v>7.3868808427651835</v>
      </c>
      <c r="U170">
        <f t="shared" si="4"/>
        <v>7.3868808427651835</v>
      </c>
      <c r="V170">
        <f t="shared" si="5"/>
        <v>7.3868808427651835</v>
      </c>
    </row>
    <row r="171" spans="1:22" x14ac:dyDescent="0.35">
      <c r="A171">
        <v>1214</v>
      </c>
      <c r="B171" t="s">
        <v>151</v>
      </c>
      <c r="C171" t="s">
        <v>154</v>
      </c>
      <c r="D171">
        <v>4</v>
      </c>
      <c r="E171">
        <v>-135</v>
      </c>
      <c r="F171" t="s">
        <v>131</v>
      </c>
      <c r="G171" t="s">
        <v>64</v>
      </c>
      <c r="H171">
        <v>3.6424896820172199</v>
      </c>
      <c r="I171">
        <v>0.78261838649724191</v>
      </c>
      <c r="J171">
        <v>1.2777619555754256</v>
      </c>
      <c r="K171">
        <v>1.7407407407407407</v>
      </c>
      <c r="L171">
        <v>-135</v>
      </c>
      <c r="M171">
        <v>0.57446808510638303</v>
      </c>
      <c r="P171">
        <v>0.20815030139085888</v>
      </c>
      <c r="Q171">
        <v>16.431269713226268</v>
      </c>
      <c r="R171">
        <v>22.384905488152171</v>
      </c>
      <c r="S171" t="s">
        <v>192</v>
      </c>
      <c r="T171">
        <v>12.171310898686123</v>
      </c>
      <c r="U171">
        <f t="shared" si="4"/>
        <v>12.171310898686123</v>
      </c>
      <c r="V171">
        <f t="shared" si="5"/>
        <v>12.171310898686123</v>
      </c>
    </row>
    <row r="172" spans="1:22" x14ac:dyDescent="0.35">
      <c r="A172">
        <v>1214</v>
      </c>
      <c r="B172" t="s">
        <v>153</v>
      </c>
      <c r="C172" t="s">
        <v>158</v>
      </c>
      <c r="D172">
        <v>1</v>
      </c>
      <c r="E172">
        <v>125</v>
      </c>
      <c r="F172" t="s">
        <v>128</v>
      </c>
      <c r="G172" t="s">
        <v>49</v>
      </c>
      <c r="H172">
        <v>1.7917697459306801</v>
      </c>
      <c r="I172">
        <v>0.21598585475802939</v>
      </c>
      <c r="J172">
        <v>4.629932831112054</v>
      </c>
      <c r="K172">
        <v>2.25</v>
      </c>
      <c r="L172">
        <v>125</v>
      </c>
      <c r="M172">
        <v>0.44444444444444442</v>
      </c>
      <c r="P172">
        <v>-0.22845858968641503</v>
      </c>
      <c r="Q172">
        <v>0</v>
      </c>
      <c r="R172">
        <v>0</v>
      </c>
      <c r="S172" t="s">
        <v>195</v>
      </c>
      <c r="T172">
        <v>0</v>
      </c>
      <c r="U172">
        <f t="shared" si="4"/>
        <v>0</v>
      </c>
      <c r="V172">
        <f t="shared" si="5"/>
        <v>0</v>
      </c>
    </row>
    <row r="173" spans="1:22" x14ac:dyDescent="0.35">
      <c r="A173">
        <v>1214</v>
      </c>
      <c r="B173" t="s">
        <v>151</v>
      </c>
      <c r="C173" t="s">
        <v>171</v>
      </c>
      <c r="D173">
        <v>4</v>
      </c>
      <c r="E173">
        <v>-115</v>
      </c>
      <c r="F173" t="s">
        <v>131</v>
      </c>
      <c r="G173" t="s">
        <v>40</v>
      </c>
      <c r="H173">
        <v>3.5007774697236687</v>
      </c>
      <c r="I173">
        <v>0.69383438943063325</v>
      </c>
      <c r="J173">
        <v>1.4412661223388035</v>
      </c>
      <c r="K173">
        <v>1.8695652173913042</v>
      </c>
      <c r="L173">
        <v>-115</v>
      </c>
      <c r="M173">
        <v>0.53488372093023262</v>
      </c>
      <c r="P173">
        <v>0.15895066850040063</v>
      </c>
      <c r="Q173">
        <v>11.479607434481085</v>
      </c>
      <c r="R173">
        <v>14.890986776255708</v>
      </c>
      <c r="S173" t="s">
        <v>192</v>
      </c>
      <c r="T173">
        <v>9.9822673343313788</v>
      </c>
      <c r="U173">
        <f t="shared" si="4"/>
        <v>9.9822673343313788</v>
      </c>
      <c r="V173">
        <f t="shared" si="5"/>
        <v>9.9822673343313788</v>
      </c>
    </row>
    <row r="174" spans="1:22" x14ac:dyDescent="0.35">
      <c r="A174">
        <v>1214</v>
      </c>
      <c r="B174" t="s">
        <v>153</v>
      </c>
      <c r="C174" t="s">
        <v>161</v>
      </c>
      <c r="D174">
        <v>2</v>
      </c>
      <c r="E174">
        <v>105</v>
      </c>
      <c r="F174" t="s">
        <v>128</v>
      </c>
      <c r="G174" t="s">
        <v>50</v>
      </c>
      <c r="H174">
        <v>2.2565716634938298</v>
      </c>
      <c r="I174">
        <v>0.30511959174627523</v>
      </c>
      <c r="J174">
        <v>3.2774034413088704</v>
      </c>
      <c r="K174">
        <v>2.0499999999999998</v>
      </c>
      <c r="L174">
        <v>105</v>
      </c>
      <c r="M174">
        <v>0.48780487804878053</v>
      </c>
      <c r="P174">
        <v>-0.1826852863025053</v>
      </c>
      <c r="Q174">
        <v>0</v>
      </c>
      <c r="R174">
        <v>0</v>
      </c>
      <c r="S174" t="s">
        <v>195</v>
      </c>
      <c r="T174">
        <v>0</v>
      </c>
      <c r="U174">
        <f t="shared" si="4"/>
        <v>0</v>
      </c>
      <c r="V174">
        <f t="shared" si="5"/>
        <v>0</v>
      </c>
    </row>
    <row r="175" spans="1:22" x14ac:dyDescent="0.35">
      <c r="A175">
        <v>1214</v>
      </c>
      <c r="B175" t="s">
        <v>151</v>
      </c>
      <c r="C175" t="s">
        <v>155</v>
      </c>
      <c r="D175">
        <v>5</v>
      </c>
      <c r="E175">
        <v>132</v>
      </c>
      <c r="F175" t="s">
        <v>131</v>
      </c>
      <c r="G175" t="s">
        <v>67</v>
      </c>
      <c r="H175">
        <v>3.4693996731199297</v>
      </c>
      <c r="I175">
        <v>0.7183650252967283</v>
      </c>
      <c r="J175">
        <v>1.392049953416008</v>
      </c>
      <c r="K175">
        <v>2.3200000000000003</v>
      </c>
      <c r="L175">
        <v>132</v>
      </c>
      <c r="M175">
        <v>0.43103448275862066</v>
      </c>
      <c r="P175">
        <v>0.28733054253810764</v>
      </c>
      <c r="Q175">
        <v>16.963757860315166</v>
      </c>
      <c r="R175">
        <v>28.271915199130682</v>
      </c>
      <c r="S175" t="s">
        <v>192</v>
      </c>
      <c r="T175">
        <v>22.392160375616026</v>
      </c>
      <c r="U175">
        <f t="shared" si="4"/>
        <v>22.392160375616026</v>
      </c>
      <c r="V175">
        <f t="shared" si="5"/>
        <v>22.392160375616026</v>
      </c>
    </row>
    <row r="176" spans="1:22" x14ac:dyDescent="0.35">
      <c r="A176">
        <v>1214</v>
      </c>
      <c r="B176" t="s">
        <v>153</v>
      </c>
      <c r="C176" t="s">
        <v>162</v>
      </c>
      <c r="D176">
        <v>2</v>
      </c>
      <c r="E176">
        <v>-145</v>
      </c>
      <c r="F176" t="s">
        <v>128</v>
      </c>
      <c r="G176" t="s">
        <v>63</v>
      </c>
      <c r="H176">
        <v>2.078887793657715</v>
      </c>
      <c r="I176">
        <v>0.28067202802335234</v>
      </c>
      <c r="J176">
        <v>3.5628773093013688</v>
      </c>
      <c r="K176">
        <v>1.6896551724137931</v>
      </c>
      <c r="L176">
        <v>-145</v>
      </c>
      <c r="M176">
        <v>0.59183673469387754</v>
      </c>
      <c r="P176">
        <v>-0.3111647066705252</v>
      </c>
      <c r="Q176">
        <v>0</v>
      </c>
      <c r="R176">
        <v>0</v>
      </c>
      <c r="S176" t="s">
        <v>195</v>
      </c>
      <c r="T176">
        <v>0</v>
      </c>
      <c r="U176">
        <f t="shared" si="4"/>
        <v>0</v>
      </c>
      <c r="V176">
        <f t="shared" si="5"/>
        <v>0</v>
      </c>
    </row>
    <row r="177" spans="1:22" x14ac:dyDescent="0.35">
      <c r="A177">
        <v>1214</v>
      </c>
      <c r="B177" t="s">
        <v>151</v>
      </c>
      <c r="C177" t="s">
        <v>182</v>
      </c>
      <c r="D177">
        <v>2</v>
      </c>
      <c r="E177">
        <v>200</v>
      </c>
      <c r="F177" t="s">
        <v>131</v>
      </c>
      <c r="G177" t="s">
        <v>48</v>
      </c>
      <c r="H177">
        <v>2.516212634628209</v>
      </c>
      <c r="I177">
        <v>0.37541430303925538</v>
      </c>
      <c r="J177">
        <v>2.6637237630646013</v>
      </c>
      <c r="K177">
        <v>3</v>
      </c>
      <c r="L177">
        <v>200</v>
      </c>
      <c r="M177">
        <v>0.33333333333333331</v>
      </c>
      <c r="P177">
        <v>4.2080969705922067E-2</v>
      </c>
      <c r="Q177">
        <v>2.1203288193068865</v>
      </c>
      <c r="R177">
        <v>2.3880052977424264</v>
      </c>
      <c r="S177" t="s">
        <v>193</v>
      </c>
      <c r="T177">
        <v>0</v>
      </c>
      <c r="U177">
        <f t="shared" si="4"/>
        <v>0</v>
      </c>
      <c r="V177">
        <f t="shared" si="5"/>
        <v>0</v>
      </c>
    </row>
    <row r="178" spans="1:22" x14ac:dyDescent="0.35">
      <c r="A178">
        <v>1214</v>
      </c>
      <c r="B178" t="s">
        <v>153</v>
      </c>
      <c r="C178" t="s">
        <v>163</v>
      </c>
      <c r="D178">
        <v>1</v>
      </c>
      <c r="E178">
        <v>-220</v>
      </c>
      <c r="F178" t="s">
        <v>128</v>
      </c>
      <c r="G178" t="s">
        <v>53</v>
      </c>
      <c r="H178">
        <v>3.297236948688048</v>
      </c>
      <c r="I178">
        <v>0.62388697231905355</v>
      </c>
      <c r="J178">
        <v>1.6028544341660071</v>
      </c>
      <c r="K178">
        <v>1.4545454545454546</v>
      </c>
      <c r="L178">
        <v>-220</v>
      </c>
      <c r="M178">
        <v>0.6875</v>
      </c>
      <c r="P178">
        <v>-6.3613027680946455E-2</v>
      </c>
      <c r="Q178">
        <v>0</v>
      </c>
      <c r="R178">
        <v>0</v>
      </c>
      <c r="S178" t="s">
        <v>195</v>
      </c>
      <c r="T178">
        <v>0</v>
      </c>
      <c r="U178">
        <f t="shared" si="4"/>
        <v>0</v>
      </c>
      <c r="V178">
        <f t="shared" si="5"/>
        <v>0</v>
      </c>
    </row>
    <row r="179" spans="1:22" x14ac:dyDescent="0.35">
      <c r="A179">
        <v>1214</v>
      </c>
      <c r="B179" t="s">
        <v>151</v>
      </c>
      <c r="C179" t="s">
        <v>177</v>
      </c>
      <c r="D179">
        <v>3</v>
      </c>
      <c r="E179">
        <v>170</v>
      </c>
      <c r="F179" t="s">
        <v>131</v>
      </c>
      <c r="G179" t="s">
        <v>45</v>
      </c>
      <c r="H179">
        <v>2.1354013319630849</v>
      </c>
      <c r="I179">
        <v>0.42785462195342927</v>
      </c>
      <c r="J179">
        <v>2.3372424853899254</v>
      </c>
      <c r="K179">
        <v>2.7</v>
      </c>
      <c r="L179">
        <v>170</v>
      </c>
      <c r="M179">
        <v>0.37037037037037035</v>
      </c>
      <c r="P179">
        <v>5.7484251583058921E-2</v>
      </c>
      <c r="Q179">
        <v>3.0668316909790261</v>
      </c>
      <c r="R179">
        <v>3.5428269070942942</v>
      </c>
      <c r="S179" t="s">
        <v>192</v>
      </c>
      <c r="T179">
        <v>-3.0668316909790261</v>
      </c>
      <c r="U179">
        <f t="shared" si="4"/>
        <v>-3.0668316909790261</v>
      </c>
      <c r="V179">
        <f t="shared" si="5"/>
        <v>-3.0668316909790261</v>
      </c>
    </row>
    <row r="180" spans="1:22" x14ac:dyDescent="0.35">
      <c r="A180">
        <v>1214</v>
      </c>
      <c r="B180" t="s">
        <v>153</v>
      </c>
      <c r="C180" t="s">
        <v>156</v>
      </c>
      <c r="D180">
        <v>4</v>
      </c>
      <c r="E180">
        <v>-190</v>
      </c>
      <c r="F180" t="s">
        <v>128</v>
      </c>
      <c r="G180" t="s">
        <v>62</v>
      </c>
      <c r="H180">
        <v>2.5394640143739649</v>
      </c>
      <c r="I180">
        <v>0.57205960484008134</v>
      </c>
      <c r="J180">
        <v>1.7480695919432188</v>
      </c>
      <c r="K180">
        <v>1.5263157894736841</v>
      </c>
      <c r="L180">
        <v>-190</v>
      </c>
      <c r="M180">
        <v>0.65517241379310354</v>
      </c>
      <c r="P180">
        <v>-8.3112808953022199E-2</v>
      </c>
      <c r="Q180">
        <v>0</v>
      </c>
      <c r="R180">
        <v>0</v>
      </c>
      <c r="S180" t="s">
        <v>195</v>
      </c>
      <c r="T180">
        <v>0</v>
      </c>
      <c r="U180">
        <f t="shared" si="4"/>
        <v>0</v>
      </c>
      <c r="V180">
        <f t="shared" si="5"/>
        <v>0</v>
      </c>
    </row>
    <row r="181" spans="1:22" x14ac:dyDescent="0.35">
      <c r="A181">
        <v>1214</v>
      </c>
      <c r="B181" t="s">
        <v>151</v>
      </c>
      <c r="C181" t="s">
        <v>181</v>
      </c>
      <c r="D181">
        <v>2</v>
      </c>
      <c r="E181">
        <v>195</v>
      </c>
      <c r="F181" t="s">
        <v>131</v>
      </c>
      <c r="G181" t="s">
        <v>54</v>
      </c>
      <c r="H181">
        <v>1.9508670335135252</v>
      </c>
      <c r="I181">
        <v>0.37383576468175139</v>
      </c>
      <c r="J181">
        <v>2.6749714566537151</v>
      </c>
      <c r="K181">
        <v>2.95</v>
      </c>
      <c r="L181">
        <v>195</v>
      </c>
      <c r="M181">
        <v>0.33898305084745761</v>
      </c>
      <c r="P181">
        <v>3.485271383429378E-2</v>
      </c>
      <c r="Q181">
        <v>1.7711291185728923</v>
      </c>
      <c r="R181">
        <v>1.9532286547558499</v>
      </c>
      <c r="S181" t="s">
        <v>193</v>
      </c>
      <c r="T181">
        <v>0</v>
      </c>
      <c r="U181">
        <f t="shared" si="4"/>
        <v>0</v>
      </c>
      <c r="V181">
        <f t="shared" si="5"/>
        <v>0</v>
      </c>
    </row>
    <row r="182" spans="1:22" x14ac:dyDescent="0.35">
      <c r="A182">
        <v>1214</v>
      </c>
      <c r="B182" t="s">
        <v>153</v>
      </c>
      <c r="C182" t="s">
        <v>175</v>
      </c>
      <c r="D182">
        <v>1</v>
      </c>
      <c r="E182">
        <v>-215</v>
      </c>
      <c r="F182" t="s">
        <v>128</v>
      </c>
      <c r="G182" t="s">
        <v>39</v>
      </c>
      <c r="H182">
        <v>2.6599216824065155</v>
      </c>
      <c r="I182">
        <v>0.62605205504714734</v>
      </c>
      <c r="J182">
        <v>1.5973112649948749</v>
      </c>
      <c r="K182">
        <v>1.4651162790697674</v>
      </c>
      <c r="L182">
        <v>-215</v>
      </c>
      <c r="M182">
        <v>0.68253968253968256</v>
      </c>
      <c r="P182">
        <v>-5.648762749253522E-2</v>
      </c>
      <c r="Q182">
        <v>0</v>
      </c>
      <c r="R182">
        <v>0</v>
      </c>
      <c r="S182" t="s">
        <v>195</v>
      </c>
      <c r="T182">
        <v>0</v>
      </c>
      <c r="U182">
        <f t="shared" si="4"/>
        <v>0</v>
      </c>
      <c r="V182">
        <f t="shared" si="5"/>
        <v>0</v>
      </c>
    </row>
    <row r="183" spans="1:22" x14ac:dyDescent="0.35">
      <c r="A183">
        <v>1214</v>
      </c>
      <c r="B183" t="s">
        <v>151</v>
      </c>
      <c r="C183" t="s">
        <v>157</v>
      </c>
      <c r="D183">
        <v>2</v>
      </c>
      <c r="E183">
        <v>118</v>
      </c>
      <c r="F183" t="s">
        <v>131</v>
      </c>
      <c r="G183" t="s">
        <v>65</v>
      </c>
      <c r="H183">
        <v>3.5401825280557362</v>
      </c>
      <c r="I183">
        <v>0.61019800500110699</v>
      </c>
      <c r="J183">
        <v>1.6388123065039943</v>
      </c>
      <c r="K183">
        <v>2.1799999999999997</v>
      </c>
      <c r="L183">
        <v>118</v>
      </c>
      <c r="M183">
        <v>0.45871559633027531</v>
      </c>
      <c r="P183">
        <v>0.15148240867083168</v>
      </c>
      <c r="Q183">
        <v>9.4007587268034438</v>
      </c>
      <c r="R183">
        <v>12.505186800891011</v>
      </c>
      <c r="S183" t="s">
        <v>192</v>
      </c>
      <c r="T183">
        <v>-9.4007587268034438</v>
      </c>
      <c r="U183">
        <f t="shared" si="4"/>
        <v>-9.4007587268034438</v>
      </c>
      <c r="V183">
        <f t="shared" si="5"/>
        <v>-9.4007587268034438</v>
      </c>
    </row>
    <row r="184" spans="1:22" x14ac:dyDescent="0.35">
      <c r="A184">
        <v>1214</v>
      </c>
      <c r="B184" t="s">
        <v>153</v>
      </c>
      <c r="C184" t="s">
        <v>159</v>
      </c>
      <c r="D184">
        <v>4</v>
      </c>
      <c r="E184">
        <v>-128</v>
      </c>
      <c r="F184" t="s">
        <v>128</v>
      </c>
      <c r="G184" t="s">
        <v>61</v>
      </c>
      <c r="H184">
        <v>2.8137992797042473</v>
      </c>
      <c r="I184">
        <v>0.38851633853735268</v>
      </c>
      <c r="J184">
        <v>2.5738943277513107</v>
      </c>
      <c r="K184">
        <v>1.78125</v>
      </c>
      <c r="L184">
        <v>-128</v>
      </c>
      <c r="M184">
        <v>0.56140350877192979</v>
      </c>
      <c r="P184">
        <v>-0.17288717023457711</v>
      </c>
      <c r="Q184">
        <v>0</v>
      </c>
      <c r="R184">
        <v>0</v>
      </c>
      <c r="S184" t="s">
        <v>195</v>
      </c>
      <c r="T184">
        <v>0</v>
      </c>
      <c r="U184">
        <f t="shared" si="4"/>
        <v>0</v>
      </c>
      <c r="V184">
        <f t="shared" si="5"/>
        <v>0</v>
      </c>
    </row>
    <row r="185" spans="1:22" x14ac:dyDescent="0.35">
      <c r="A185">
        <v>1215</v>
      </c>
      <c r="B185" t="s">
        <v>151</v>
      </c>
      <c r="C185" t="s">
        <v>178</v>
      </c>
      <c r="D185">
        <v>3</v>
      </c>
      <c r="E185">
        <v>137</v>
      </c>
      <c r="F185" t="s">
        <v>131</v>
      </c>
      <c r="G185" t="s">
        <v>59</v>
      </c>
      <c r="H185">
        <v>1.6142578785415203</v>
      </c>
      <c r="I185">
        <v>0.38981169968699247</v>
      </c>
      <c r="J185">
        <v>2.5653411654985501</v>
      </c>
      <c r="K185">
        <v>2.37</v>
      </c>
      <c r="L185">
        <v>137</v>
      </c>
      <c r="M185">
        <v>0.42194092827004215</v>
      </c>
      <c r="P185">
        <v>-3.2129228583049674E-2</v>
      </c>
      <c r="Q185">
        <v>0</v>
      </c>
      <c r="R185">
        <v>0</v>
      </c>
      <c r="S185" t="s">
        <v>193</v>
      </c>
      <c r="T185">
        <v>0</v>
      </c>
      <c r="U185">
        <f t="shared" si="4"/>
        <v>0</v>
      </c>
      <c r="V185">
        <f t="shared" si="5"/>
        <v>0</v>
      </c>
    </row>
    <row r="186" spans="1:22" x14ac:dyDescent="0.35">
      <c r="A186">
        <v>1215</v>
      </c>
      <c r="B186" t="s">
        <v>153</v>
      </c>
      <c r="C186" t="s">
        <v>165</v>
      </c>
      <c r="D186">
        <v>7</v>
      </c>
      <c r="E186">
        <v>-152</v>
      </c>
      <c r="F186" t="s">
        <v>128</v>
      </c>
      <c r="G186" t="s">
        <v>66</v>
      </c>
      <c r="H186">
        <v>2.1774995843858593</v>
      </c>
      <c r="I186">
        <v>0.61016914925672538</v>
      </c>
      <c r="J186">
        <v>1.638889808208339</v>
      </c>
      <c r="K186">
        <v>1.6578947368421053</v>
      </c>
      <c r="L186">
        <v>-152</v>
      </c>
      <c r="M186">
        <v>0.60317460317460314</v>
      </c>
      <c r="P186">
        <v>6.9945460821222438E-3</v>
      </c>
      <c r="Q186">
        <v>0.81444039164714577</v>
      </c>
      <c r="R186">
        <v>0.82388482253089868</v>
      </c>
      <c r="S186" t="s">
        <v>195</v>
      </c>
      <c r="T186">
        <v>0</v>
      </c>
      <c r="U186">
        <f t="shared" si="4"/>
        <v>0</v>
      </c>
      <c r="V186">
        <f t="shared" si="5"/>
        <v>0</v>
      </c>
    </row>
    <row r="187" spans="1:22" x14ac:dyDescent="0.35">
      <c r="A187">
        <v>1215</v>
      </c>
      <c r="B187" t="s">
        <v>151</v>
      </c>
      <c r="C187" t="s">
        <v>183</v>
      </c>
      <c r="D187">
        <v>4</v>
      </c>
      <c r="E187">
        <v>-124</v>
      </c>
      <c r="F187" t="s">
        <v>131</v>
      </c>
      <c r="G187" t="s">
        <v>51</v>
      </c>
      <c r="H187">
        <v>2.4694796491440325</v>
      </c>
      <c r="I187">
        <v>0.73737993791102274</v>
      </c>
      <c r="J187">
        <v>1.356152979741994</v>
      </c>
      <c r="K187">
        <v>1.8064516129032258</v>
      </c>
      <c r="L187">
        <v>-124</v>
      </c>
      <c r="M187">
        <v>0.5535714285714286</v>
      </c>
      <c r="P187">
        <v>0.18380850933959414</v>
      </c>
      <c r="Q187">
        <v>19.024482799661047</v>
      </c>
      <c r="R187">
        <v>25.341394482380306</v>
      </c>
      <c r="S187" t="s">
        <v>192</v>
      </c>
      <c r="T187">
        <v>15.34232483843633</v>
      </c>
      <c r="U187">
        <f t="shared" si="4"/>
        <v>15.34232483843633</v>
      </c>
      <c r="V187">
        <f t="shared" si="5"/>
        <v>15.34232483843633</v>
      </c>
    </row>
    <row r="188" spans="1:22" x14ac:dyDescent="0.35">
      <c r="A188">
        <v>1215</v>
      </c>
      <c r="B188" t="s">
        <v>153</v>
      </c>
      <c r="C188" t="s">
        <v>182</v>
      </c>
      <c r="D188">
        <v>2</v>
      </c>
      <c r="E188">
        <v>114</v>
      </c>
      <c r="F188" t="s">
        <v>128</v>
      </c>
      <c r="G188" t="s">
        <v>48</v>
      </c>
      <c r="H188">
        <v>1.2197297467974504</v>
      </c>
      <c r="I188">
        <v>0.26256465208747054</v>
      </c>
      <c r="J188">
        <v>3.8085857789679203</v>
      </c>
      <c r="K188">
        <v>2.1399999999999997</v>
      </c>
      <c r="L188">
        <v>114</v>
      </c>
      <c r="M188">
        <v>0.46728971962616828</v>
      </c>
      <c r="P188">
        <v>-0.20472506753869774</v>
      </c>
      <c r="Q188">
        <v>0</v>
      </c>
      <c r="R188">
        <v>0</v>
      </c>
      <c r="S188" t="s">
        <v>195</v>
      </c>
      <c r="T188">
        <v>0</v>
      </c>
      <c r="U188">
        <f t="shared" si="4"/>
        <v>0</v>
      </c>
      <c r="V188">
        <f t="shared" si="5"/>
        <v>0</v>
      </c>
    </row>
    <row r="189" spans="1:22" x14ac:dyDescent="0.35">
      <c r="A189">
        <v>1215</v>
      </c>
      <c r="B189" t="s">
        <v>151</v>
      </c>
      <c r="C189" t="s">
        <v>169</v>
      </c>
      <c r="D189">
        <v>3</v>
      </c>
      <c r="E189">
        <v>-105</v>
      </c>
      <c r="F189" t="s">
        <v>131</v>
      </c>
      <c r="G189" t="s">
        <v>52</v>
      </c>
      <c r="H189">
        <v>3.7294816620459046</v>
      </c>
      <c r="I189">
        <v>0.65868300358051513</v>
      </c>
      <c r="J189">
        <v>1.5181809680288243</v>
      </c>
      <c r="K189">
        <v>1.9523809523809523</v>
      </c>
      <c r="L189">
        <v>-105</v>
      </c>
      <c r="M189">
        <v>0.51219512195121952</v>
      </c>
      <c r="P189">
        <v>0.1464878816292956</v>
      </c>
      <c r="Q189">
        <v>13.875696347213088</v>
      </c>
      <c r="R189">
        <v>17.844147581756832</v>
      </c>
      <c r="S189" t="s">
        <v>192</v>
      </c>
      <c r="T189">
        <v>-13.875696347213088</v>
      </c>
      <c r="U189">
        <f t="shared" si="4"/>
        <v>-13.875696347213088</v>
      </c>
      <c r="V189">
        <f t="shared" si="5"/>
        <v>-13.875696347213088</v>
      </c>
    </row>
    <row r="190" spans="1:22" x14ac:dyDescent="0.35">
      <c r="A190">
        <v>1215</v>
      </c>
      <c r="B190" t="s">
        <v>153</v>
      </c>
      <c r="C190" t="s">
        <v>177</v>
      </c>
      <c r="D190">
        <v>5</v>
      </c>
      <c r="E190">
        <v>-105</v>
      </c>
      <c r="F190" t="s">
        <v>128</v>
      </c>
      <c r="G190" t="s">
        <v>45</v>
      </c>
      <c r="H190">
        <v>2.6658940378395468</v>
      </c>
      <c r="I190">
        <v>0.3395383213241932</v>
      </c>
      <c r="J190">
        <v>2.9451756611743218</v>
      </c>
      <c r="K190">
        <v>1.9523809523809523</v>
      </c>
      <c r="L190">
        <v>-105</v>
      </c>
      <c r="M190">
        <v>0.51219512195121952</v>
      </c>
      <c r="P190">
        <v>-0.17265680062702632</v>
      </c>
      <c r="Q190">
        <v>0</v>
      </c>
      <c r="R190">
        <v>0</v>
      </c>
      <c r="S190" t="s">
        <v>195</v>
      </c>
      <c r="T190">
        <v>0</v>
      </c>
      <c r="U190">
        <f t="shared" si="4"/>
        <v>0</v>
      </c>
      <c r="V190">
        <f t="shared" si="5"/>
        <v>0</v>
      </c>
    </row>
    <row r="191" spans="1:22" x14ac:dyDescent="0.35">
      <c r="A191">
        <v>1215</v>
      </c>
      <c r="B191" t="s">
        <v>151</v>
      </c>
      <c r="C191" t="s">
        <v>157</v>
      </c>
      <c r="D191">
        <v>3</v>
      </c>
      <c r="E191">
        <v>170</v>
      </c>
      <c r="F191" t="s">
        <v>131</v>
      </c>
      <c r="G191" t="s">
        <v>65</v>
      </c>
      <c r="H191">
        <v>2.8928007900932386</v>
      </c>
      <c r="I191">
        <v>0.56135065546382379</v>
      </c>
      <c r="J191">
        <v>1.7814177114903982</v>
      </c>
      <c r="K191">
        <v>2.7</v>
      </c>
      <c r="L191">
        <v>170</v>
      </c>
      <c r="M191">
        <v>0.37037037037037035</v>
      </c>
      <c r="P191">
        <v>0.19098028509345344</v>
      </c>
      <c r="Q191">
        <v>14.01530675347594</v>
      </c>
      <c r="R191">
        <v>21.242254407993745</v>
      </c>
      <c r="S191" t="s">
        <v>192</v>
      </c>
      <c r="T191">
        <v>-14.01530675347594</v>
      </c>
      <c r="U191">
        <f t="shared" si="4"/>
        <v>-14.01530675347594</v>
      </c>
      <c r="V191">
        <f t="shared" si="5"/>
        <v>-14.01530675347594</v>
      </c>
    </row>
    <row r="192" spans="1:22" x14ac:dyDescent="0.35">
      <c r="A192">
        <v>1215</v>
      </c>
      <c r="B192" t="s">
        <v>153</v>
      </c>
      <c r="C192" t="s">
        <v>160</v>
      </c>
      <c r="D192">
        <v>6</v>
      </c>
      <c r="E192">
        <v>-190</v>
      </c>
      <c r="F192" t="s">
        <v>128</v>
      </c>
      <c r="G192" t="s">
        <v>68</v>
      </c>
      <c r="H192">
        <v>2.5235368076597542</v>
      </c>
      <c r="I192">
        <v>0.43836681660840704</v>
      </c>
      <c r="J192">
        <v>2.2811945660871036</v>
      </c>
      <c r="K192">
        <v>1.5263157894736841</v>
      </c>
      <c r="L192">
        <v>-190</v>
      </c>
      <c r="M192">
        <v>0.65517241379310354</v>
      </c>
      <c r="P192">
        <v>-0.2168055971846965</v>
      </c>
      <c r="Q192">
        <v>0</v>
      </c>
      <c r="R192">
        <v>0</v>
      </c>
      <c r="S192" t="s">
        <v>195</v>
      </c>
      <c r="T192">
        <v>0</v>
      </c>
      <c r="U192">
        <f t="shared" si="4"/>
        <v>0</v>
      </c>
      <c r="V192">
        <f t="shared" si="5"/>
        <v>0</v>
      </c>
    </row>
    <row r="193" spans="1:22" x14ac:dyDescent="0.35">
      <c r="A193">
        <v>1216</v>
      </c>
      <c r="B193" t="s">
        <v>151</v>
      </c>
      <c r="C193" t="s">
        <v>152</v>
      </c>
      <c r="D193">
        <v>1</v>
      </c>
      <c r="E193">
        <v>165</v>
      </c>
      <c r="F193" t="s">
        <v>131</v>
      </c>
      <c r="G193" t="s">
        <v>58</v>
      </c>
      <c r="H193">
        <v>2.2037773294768148</v>
      </c>
      <c r="I193">
        <v>0.42046084596985051</v>
      </c>
      <c r="J193">
        <v>2.378342738890141</v>
      </c>
      <c r="K193">
        <v>2.65</v>
      </c>
      <c r="L193">
        <v>165</v>
      </c>
      <c r="M193">
        <v>0.37735849056603776</v>
      </c>
      <c r="P193">
        <v>4.3102355403812742E-2</v>
      </c>
      <c r="Q193">
        <v>3.0422536145568593</v>
      </c>
      <c r="R193">
        <v>3.3897436003432428</v>
      </c>
      <c r="S193" t="s">
        <v>193</v>
      </c>
      <c r="T193">
        <v>-3.0422536145568593</v>
      </c>
      <c r="U193">
        <f t="shared" si="4"/>
        <v>0</v>
      </c>
      <c r="V193">
        <f t="shared" si="5"/>
        <v>0</v>
      </c>
    </row>
    <row r="194" spans="1:22" x14ac:dyDescent="0.35">
      <c r="A194">
        <v>1216</v>
      </c>
      <c r="B194" t="s">
        <v>153</v>
      </c>
      <c r="C194" t="s">
        <v>161</v>
      </c>
      <c r="D194">
        <v>6</v>
      </c>
      <c r="E194">
        <v>-185</v>
      </c>
      <c r="F194" t="s">
        <v>128</v>
      </c>
      <c r="G194" t="s">
        <v>50</v>
      </c>
      <c r="H194">
        <v>2.6579949912603587</v>
      </c>
      <c r="I194">
        <v>0.5794141406967076</v>
      </c>
      <c r="J194">
        <v>1.7258812475607954</v>
      </c>
      <c r="K194">
        <v>1.5405405405405406</v>
      </c>
      <c r="L194">
        <v>-185</v>
      </c>
      <c r="M194">
        <v>0.64912280701754388</v>
      </c>
      <c r="P194">
        <v>-6.9708666320836277E-2</v>
      </c>
      <c r="Q194">
        <v>0</v>
      </c>
      <c r="R194">
        <v>0</v>
      </c>
      <c r="S194" t="s">
        <v>195</v>
      </c>
      <c r="T194">
        <v>0</v>
      </c>
      <c r="U194">
        <f t="shared" si="4"/>
        <v>0</v>
      </c>
      <c r="V194">
        <f t="shared" si="5"/>
        <v>0</v>
      </c>
    </row>
    <row r="195" spans="1:22" x14ac:dyDescent="0.35">
      <c r="A195">
        <v>1216</v>
      </c>
      <c r="B195" t="s">
        <v>151</v>
      </c>
      <c r="C195" t="s">
        <v>170</v>
      </c>
      <c r="D195">
        <v>5</v>
      </c>
      <c r="E195">
        <v>-130</v>
      </c>
      <c r="F195" t="s">
        <v>131</v>
      </c>
      <c r="G195" t="s">
        <v>55</v>
      </c>
      <c r="H195">
        <v>2.7705458362021576</v>
      </c>
      <c r="I195">
        <v>0.62713933744334038</v>
      </c>
      <c r="J195">
        <v>1.5945419786242419</v>
      </c>
      <c r="K195">
        <v>1.7692307692307692</v>
      </c>
      <c r="L195">
        <v>-130</v>
      </c>
      <c r="M195">
        <v>0.56521739130434789</v>
      </c>
      <c r="P195">
        <v>6.192194613899249E-2</v>
      </c>
      <c r="Q195">
        <v>6.2589994841615564</v>
      </c>
      <c r="R195">
        <v>6.9446992430593548</v>
      </c>
      <c r="S195" t="s">
        <v>192</v>
      </c>
      <c r="T195">
        <v>4.8146149878165811</v>
      </c>
      <c r="U195">
        <f t="shared" si="4"/>
        <v>4.8146149878165811</v>
      </c>
      <c r="V195">
        <f t="shared" si="5"/>
        <v>4.8146149878165811</v>
      </c>
    </row>
    <row r="196" spans="1:22" x14ac:dyDescent="0.35">
      <c r="A196">
        <v>1216</v>
      </c>
      <c r="B196" t="s">
        <v>153</v>
      </c>
      <c r="C196" t="s">
        <v>166</v>
      </c>
      <c r="D196">
        <v>2</v>
      </c>
      <c r="E196">
        <v>120</v>
      </c>
      <c r="F196" t="s">
        <v>128</v>
      </c>
      <c r="G196" t="s">
        <v>57</v>
      </c>
      <c r="H196">
        <v>2.0404296466080072</v>
      </c>
      <c r="I196">
        <v>0.3727010266884952</v>
      </c>
      <c r="J196">
        <v>2.6831157640888481</v>
      </c>
      <c r="K196">
        <v>2.2000000000000002</v>
      </c>
      <c r="L196">
        <v>120</v>
      </c>
      <c r="M196">
        <v>0.45454545454545453</v>
      </c>
      <c r="P196">
        <v>-8.1844427856959334E-2</v>
      </c>
      <c r="Q196">
        <v>0</v>
      </c>
      <c r="R196">
        <v>0</v>
      </c>
      <c r="S196" t="s">
        <v>195</v>
      </c>
      <c r="T196">
        <v>0</v>
      </c>
      <c r="U196">
        <f t="shared" ref="U196:U202" si="6">IF(AND(R196&gt;3.5,R196&lt;50),T196,0)</f>
        <v>0</v>
      </c>
      <c r="V196">
        <f t="shared" ref="V196:V202" si="7">IF(S196="BET",T196,0)</f>
        <v>0</v>
      </c>
    </row>
    <row r="197" spans="1:22" x14ac:dyDescent="0.35">
      <c r="A197">
        <v>1216</v>
      </c>
      <c r="B197" t="s">
        <v>151</v>
      </c>
      <c r="C197" t="s">
        <v>155</v>
      </c>
      <c r="D197">
        <v>0</v>
      </c>
      <c r="E197">
        <v>-160</v>
      </c>
      <c r="F197" t="s">
        <v>131</v>
      </c>
      <c r="G197" t="s">
        <v>67</v>
      </c>
      <c r="H197">
        <v>2.9535576957093417</v>
      </c>
      <c r="I197">
        <v>0.7516822233313728</v>
      </c>
      <c r="J197">
        <v>1.3303494069184052</v>
      </c>
      <c r="K197">
        <v>1.625</v>
      </c>
      <c r="L197">
        <v>-160</v>
      </c>
      <c r="M197">
        <v>0.61538461538461542</v>
      </c>
      <c r="P197">
        <v>0.13629760794675738</v>
      </c>
      <c r="Q197">
        <v>15.573781037617298</v>
      </c>
      <c r="R197">
        <v>19.023118328552236</v>
      </c>
      <c r="S197" t="s">
        <v>192</v>
      </c>
      <c r="T197">
        <v>-15.573781037617298</v>
      </c>
      <c r="U197">
        <f t="shared" si="6"/>
        <v>-15.573781037617298</v>
      </c>
      <c r="V197">
        <f t="shared" si="7"/>
        <v>-15.573781037617298</v>
      </c>
    </row>
    <row r="198" spans="1:22" x14ac:dyDescent="0.35">
      <c r="A198">
        <v>1216</v>
      </c>
      <c r="B198" t="s">
        <v>153</v>
      </c>
      <c r="C198" t="s">
        <v>179</v>
      </c>
      <c r="D198">
        <v>3</v>
      </c>
      <c r="E198">
        <v>145</v>
      </c>
      <c r="F198" t="s">
        <v>128</v>
      </c>
      <c r="G198" t="s">
        <v>43</v>
      </c>
      <c r="H198">
        <v>1.493233736366429</v>
      </c>
      <c r="I198">
        <v>0.24806055601098193</v>
      </c>
      <c r="J198">
        <v>4.0312737183243632</v>
      </c>
      <c r="K198">
        <v>2.4500000000000002</v>
      </c>
      <c r="L198">
        <v>145</v>
      </c>
      <c r="M198">
        <v>0.4081632653061224</v>
      </c>
      <c r="P198">
        <v>-0.16010270929514048</v>
      </c>
      <c r="Q198">
        <v>0</v>
      </c>
      <c r="R198">
        <v>0</v>
      </c>
      <c r="S198" t="s">
        <v>195</v>
      </c>
      <c r="T198">
        <v>0</v>
      </c>
      <c r="U198">
        <f t="shared" si="6"/>
        <v>0</v>
      </c>
      <c r="V198">
        <f t="shared" si="7"/>
        <v>0</v>
      </c>
    </row>
    <row r="199" spans="1:22" x14ac:dyDescent="0.35">
      <c r="A199">
        <v>1216</v>
      </c>
      <c r="B199" t="s">
        <v>151</v>
      </c>
      <c r="C199" t="s">
        <v>174</v>
      </c>
      <c r="D199">
        <v>2</v>
      </c>
      <c r="E199">
        <v>104</v>
      </c>
      <c r="F199" t="s">
        <v>131</v>
      </c>
      <c r="G199" t="s">
        <v>46</v>
      </c>
      <c r="H199">
        <v>2.7377170286231265</v>
      </c>
      <c r="I199">
        <v>0.58422810962613059</v>
      </c>
      <c r="J199">
        <v>1.7116601949193053</v>
      </c>
      <c r="K199">
        <v>2.04</v>
      </c>
      <c r="L199">
        <v>104</v>
      </c>
      <c r="M199">
        <v>0.49019607843137253</v>
      </c>
      <c r="P199">
        <v>9.4032031194758059E-2</v>
      </c>
      <c r="Q199">
        <v>8.1059725371154343</v>
      </c>
      <c r="R199">
        <v>9.660903504562171</v>
      </c>
      <c r="S199" t="s">
        <v>192</v>
      </c>
      <c r="T199">
        <v>-8.1059725371154343</v>
      </c>
      <c r="U199">
        <f t="shared" si="6"/>
        <v>-8.1059725371154343</v>
      </c>
      <c r="V199">
        <f t="shared" si="7"/>
        <v>-8.1059725371154343</v>
      </c>
    </row>
    <row r="200" spans="1:22" x14ac:dyDescent="0.35">
      <c r="A200">
        <v>1216</v>
      </c>
      <c r="B200" t="s">
        <v>153</v>
      </c>
      <c r="C200" t="s">
        <v>156</v>
      </c>
      <c r="D200">
        <v>5</v>
      </c>
      <c r="E200">
        <v>-114</v>
      </c>
      <c r="F200" t="s">
        <v>128</v>
      </c>
      <c r="G200" t="s">
        <v>62</v>
      </c>
      <c r="H200">
        <v>2.2496354416591764</v>
      </c>
      <c r="I200">
        <v>0.41561251839800906</v>
      </c>
      <c r="J200">
        <v>2.4060872946140557</v>
      </c>
      <c r="K200">
        <v>1.8771929824561404</v>
      </c>
      <c r="L200">
        <v>-114</v>
      </c>
      <c r="M200">
        <v>0.53271028037383172</v>
      </c>
      <c r="P200">
        <v>-0.11709776197582267</v>
      </c>
      <c r="Q200">
        <v>0</v>
      </c>
      <c r="R200">
        <v>0</v>
      </c>
      <c r="S200" t="s">
        <v>195</v>
      </c>
      <c r="T200">
        <v>0</v>
      </c>
      <c r="U200">
        <f t="shared" si="6"/>
        <v>0</v>
      </c>
      <c r="V200">
        <f t="shared" si="7"/>
        <v>0</v>
      </c>
    </row>
    <row r="201" spans="1:22" x14ac:dyDescent="0.35">
      <c r="A201">
        <v>1216</v>
      </c>
      <c r="B201" t="s">
        <v>151</v>
      </c>
      <c r="C201" t="s">
        <v>158</v>
      </c>
      <c r="D201">
        <v>2</v>
      </c>
      <c r="E201">
        <v>160</v>
      </c>
      <c r="F201" t="s">
        <v>131</v>
      </c>
      <c r="G201" t="s">
        <v>49</v>
      </c>
      <c r="H201">
        <v>2.2288663957050874</v>
      </c>
      <c r="I201">
        <v>0.4426602509146666</v>
      </c>
      <c r="J201">
        <v>2.2590688862026918</v>
      </c>
      <c r="K201">
        <v>2.04</v>
      </c>
      <c r="L201">
        <v>104</v>
      </c>
      <c r="M201">
        <v>0.49019607843137253</v>
      </c>
      <c r="P201">
        <v>-4.7535827516705931E-2</v>
      </c>
      <c r="Q201">
        <v>0</v>
      </c>
      <c r="R201">
        <v>0</v>
      </c>
      <c r="S201" t="s">
        <v>193</v>
      </c>
      <c r="T201">
        <v>0</v>
      </c>
      <c r="U201">
        <f t="shared" si="6"/>
        <v>0</v>
      </c>
      <c r="V201">
        <f t="shared" si="7"/>
        <v>0</v>
      </c>
    </row>
    <row r="202" spans="1:22" x14ac:dyDescent="0.35">
      <c r="A202">
        <v>1216</v>
      </c>
      <c r="B202" t="s">
        <v>153</v>
      </c>
      <c r="C202" t="s">
        <v>172</v>
      </c>
      <c r="D202">
        <v>1</v>
      </c>
      <c r="E202">
        <v>-180</v>
      </c>
      <c r="F202" t="s">
        <v>128</v>
      </c>
      <c r="G202" t="s">
        <v>47</v>
      </c>
      <c r="H202">
        <v>2.5528232338358978</v>
      </c>
      <c r="I202">
        <v>0.55724353192288578</v>
      </c>
      <c r="J202">
        <v>1.7945475231435888</v>
      </c>
      <c r="K202">
        <v>1.8771929824561404</v>
      </c>
      <c r="L202">
        <v>-114</v>
      </c>
      <c r="M202">
        <v>0.53271028037383172</v>
      </c>
      <c r="P202">
        <v>2.4533251549054058E-2</v>
      </c>
      <c r="Q202">
        <v>2.3072856640022388</v>
      </c>
      <c r="R202">
        <v>2.4135445849879016</v>
      </c>
      <c r="S202" t="s">
        <v>195</v>
      </c>
      <c r="T202">
        <v>0</v>
      </c>
      <c r="U202">
        <f t="shared" si="6"/>
        <v>0</v>
      </c>
      <c r="V202">
        <f t="shared" si="7"/>
        <v>0</v>
      </c>
    </row>
  </sheetData>
  <conditionalFormatting sqref="R3:R202">
    <cfRule type="cellIs" dxfId="0" priority="1" operator="greaterThan">
      <formula>40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3F1B75-38A0-409F-9CAE-251522CCE1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Data</vt:lpstr>
      <vt:lpstr>Expected Goals Against</vt:lpstr>
      <vt:lpstr>Expected Goals For </vt:lpstr>
      <vt:lpstr>Model Outputs</vt:lpstr>
      <vt:lpstr>Sheet1</vt:lpstr>
      <vt:lpstr>Backtest</vt:lpstr>
      <vt:lpstr>Sheet40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Sheahen</dc:creator>
  <cp:lastModifiedBy>Kevin Sheahen</cp:lastModifiedBy>
  <dcterms:created xsi:type="dcterms:W3CDTF">2021-01-11T17:43:08Z</dcterms:created>
  <dcterms:modified xsi:type="dcterms:W3CDTF">2022-11-04T12:56:18Z</dcterms:modified>
</cp:coreProperties>
</file>